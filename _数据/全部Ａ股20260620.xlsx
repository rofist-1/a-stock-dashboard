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全部Ａ股202606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<sst xmlns="http://schemas.openxmlformats.org/spreadsheetml/2006/main" count="16970" uniqueCount="5573">
  <si>
    <t>代码</t>
  </si>
  <si>
    <t>名称</t>
  </si>
  <si>
    <t>涨幅%</t>
  </si>
  <si>
    <t>现价</t>
  </si>
  <si>
    <t>封单额</t>
  </si>
  <si>
    <t>连板天</t>
  </si>
  <si>
    <t>两日分时图</t>
  </si>
  <si>
    <t>涨速%</t>
  </si>
  <si>
    <t>10日涨幅%</t>
  </si>
  <si>
    <t>回头波%</t>
  </si>
  <si>
    <t>几天几板</t>
  </si>
  <si>
    <t>开盘%</t>
  </si>
  <si>
    <t>开盘金额</t>
  </si>
  <si>
    <t>开盘换手Z</t>
  </si>
  <si>
    <t>竞价昨比</t>
  </si>
  <si>
    <t>平安银行</t>
  </si>
  <si>
    <t xml:space="preserve">--  </t>
  </si>
  <si>
    <t>万 科Ａ</t>
  </si>
  <si>
    <t>*ST国华</t>
  </si>
  <si>
    <t>深振业Ａ</t>
  </si>
  <si>
    <t>全新好</t>
  </si>
  <si>
    <t>神州高铁</t>
  </si>
  <si>
    <t>中国宝安</t>
  </si>
  <si>
    <t>*ST美丽</t>
  </si>
  <si>
    <t>深物业A</t>
  </si>
  <si>
    <t>南 玻Ａ</t>
  </si>
  <si>
    <t>3天1板</t>
  </si>
  <si>
    <t>沙河股份</t>
  </si>
  <si>
    <t>*ST康佳A</t>
  </si>
  <si>
    <t>深中华A</t>
  </si>
  <si>
    <t>深粮控股</t>
  </si>
  <si>
    <t>深华发Ａ</t>
  </si>
  <si>
    <t>深科技</t>
  </si>
  <si>
    <t>特 力Ａ</t>
  </si>
  <si>
    <t>飞亚达</t>
  </si>
  <si>
    <t>深圳能源</t>
  </si>
  <si>
    <t>国药一致</t>
  </si>
  <si>
    <t>深深房Ａ</t>
  </si>
  <si>
    <t>8天3板</t>
  </si>
  <si>
    <t>富奥股份</t>
  </si>
  <si>
    <t>大悦城</t>
  </si>
  <si>
    <t>深桑达Ａ</t>
  </si>
  <si>
    <t>6天4板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</si>
  <si>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</si>
  <si>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</si>
  <si>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</si>
  <si>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</si>
  <si>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</si>
  <si>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</si>
  <si>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</si>
  <si>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</si>
  <si>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8天4板</t>
  </si>
  <si>
    <t>德赛电池</t>
  </si>
  <si>
    <t>深天马Ａ</t>
  </si>
  <si>
    <t>2天1板</t>
  </si>
  <si>
    <t>方大集团</t>
  </si>
  <si>
    <t>*ST皇庭</t>
  </si>
  <si>
    <t>4天1板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</si>
  <si>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</si>
  <si>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</si>
  <si>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</si>
  <si>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</si>
  <si>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</si>
  <si>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</si>
  <si>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</si>
  <si>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</si>
  <si>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</si>
  <si>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</si>
  <si>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特发信息</t>
  </si>
  <si>
    <t>ST海王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</si>
  <si>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</si>
  <si>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</si>
  <si>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</si>
  <si>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</si>
  <si>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</si>
  <si>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</si>
  <si>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</si>
  <si>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</si>
  <si>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</si>
  <si>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</si>
  <si>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</si>
  <si>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</si>
  <si>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</si>
  <si>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</si>
  <si>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</si>
  <si>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</si>
  <si>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</si>
  <si>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</si>
  <si>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金隅冀东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</si>
  <si>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</si>
  <si>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</si>
  <si>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</si>
  <si>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</si>
  <si>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</si>
  <si>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</si>
  <si>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</si>
  <si>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</si>
  <si>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</si>
  <si>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</si>
  <si>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</si>
  <si>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</si>
  <si>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</si>
  <si>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</si>
  <si>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</si>
  <si>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</si>
  <si>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</si>
  <si>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</si>
  <si>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</si>
  <si>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张家界</t>
  </si>
  <si>
    <t>ST晨鸣</t>
  </si>
  <si>
    <t>山东路桥</t>
  </si>
  <si>
    <t>武商集团</t>
  </si>
  <si>
    <t>国新健康</t>
  </si>
  <si>
    <t>南华生物</t>
  </si>
  <si>
    <t>京粮控股</t>
  </si>
  <si>
    <t>招金黄金</t>
  </si>
  <si>
    <t>5天2板</t>
  </si>
  <si>
    <t>珠海港</t>
  </si>
  <si>
    <t>华塑控股</t>
  </si>
  <si>
    <t>新金路</t>
  </si>
  <si>
    <t>6天3板</t>
  </si>
  <si>
    <t>丽珠集团</t>
  </si>
  <si>
    <t>渝 开 发</t>
  </si>
  <si>
    <t>国际医学</t>
  </si>
  <si>
    <t>荣安地产</t>
  </si>
  <si>
    <t>四环生物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</si>
  <si>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</si>
  <si>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</si>
  <si>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</si>
  <si>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</si>
  <si>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</si>
  <si>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</si>
  <si>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</si>
  <si>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 工</t>
  </si>
  <si>
    <t>广弘控股</t>
  </si>
  <si>
    <t>冰山冷热</t>
  </si>
  <si>
    <t>穗恒运Ａ</t>
  </si>
  <si>
    <t>华金资本</t>
  </si>
  <si>
    <t>顺钠股份</t>
  </si>
  <si>
    <t>万泽股份</t>
  </si>
  <si>
    <t>首板</t>
  </si>
  <si>
    <t>华映科技</t>
  </si>
  <si>
    <t>绿发电力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</si>
  <si>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</si>
  <si>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</si>
  <si>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</si>
  <si>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</si>
  <si>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</si>
  <si>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</si>
  <si>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</si>
  <si>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</si>
  <si>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</si>
  <si>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</si>
  <si>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</si>
  <si>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</si>
  <si>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</si>
  <si>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</si>
  <si>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</si>
  <si>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</si>
  <si>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</si>
  <si>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</si>
  <si>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</si>
  <si>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</si>
  <si>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</si>
  <si>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</si>
  <si>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</si>
  <si>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</si>
  <si>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</si>
  <si>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</si>
  <si>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</si>
  <si>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</si>
  <si>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</si>
  <si>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</si>
  <si>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</si>
  <si>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</si>
  <si>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</si>
  <si>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汇源通信</t>
  </si>
  <si>
    <t>贵州轮胎</t>
  </si>
  <si>
    <t>古汉医药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</si>
  <si>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</si>
  <si>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</si>
  <si>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</si>
  <si>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</si>
  <si>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</si>
  <si>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</si>
  <si>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</si>
  <si>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</si>
  <si>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</si>
  <si>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</si>
  <si>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</si>
  <si>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</si>
  <si>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</si>
  <si>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</si>
  <si>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*ST中迪</t>
  </si>
  <si>
    <t>*ST西旅</t>
  </si>
  <si>
    <t>焦作万方</t>
  </si>
  <si>
    <t>*ST美谷</t>
  </si>
  <si>
    <t>中油资本</t>
  </si>
  <si>
    <t>海螺新材</t>
  </si>
  <si>
    <t>盈新发展</t>
  </si>
  <si>
    <t>吉林敖东</t>
  </si>
  <si>
    <t>长安汽车</t>
  </si>
  <si>
    <t>远大控股</t>
  </si>
  <si>
    <t>高新发展</t>
  </si>
  <si>
    <t>钒钛股份</t>
  </si>
  <si>
    <t>铜陵有色</t>
  </si>
  <si>
    <t>顺发恒能</t>
  </si>
  <si>
    <t>ST三木</t>
  </si>
  <si>
    <t>合金投资</t>
  </si>
  <si>
    <t>英 力 特</t>
  </si>
  <si>
    <t>风华高科</t>
  </si>
  <si>
    <t>8天2板</t>
  </si>
  <si>
    <t>茂化实华</t>
  </si>
  <si>
    <t>ST西王</t>
  </si>
  <si>
    <t>仁和药业</t>
  </si>
  <si>
    <t>格力电器</t>
  </si>
  <si>
    <t>泰达股份</t>
  </si>
  <si>
    <t>金岭矿业</t>
  </si>
  <si>
    <t>*ST金科</t>
  </si>
  <si>
    <t>中钨高新</t>
  </si>
  <si>
    <t>4天2板</t>
  </si>
  <si>
    <t>珠海中富</t>
  </si>
  <si>
    <t>长春高新</t>
  </si>
  <si>
    <t>永安林业</t>
  </si>
  <si>
    <t>湖北广电</t>
  </si>
  <si>
    <t>荣丰控股</t>
  </si>
  <si>
    <t>ST金鸿</t>
  </si>
  <si>
    <t>盈方微</t>
  </si>
  <si>
    <t>上峰材料</t>
  </si>
  <si>
    <t>智度股份</t>
  </si>
  <si>
    <t>ST海龙</t>
  </si>
  <si>
    <t>襄阳轴承</t>
  </si>
  <si>
    <t>大连友谊</t>
  </si>
  <si>
    <t>3天2板</t>
  </si>
  <si>
    <t>山推股份</t>
  </si>
  <si>
    <t>视觉中国</t>
  </si>
  <si>
    <t>东方电子</t>
  </si>
  <si>
    <t>博源化工</t>
  </si>
  <si>
    <t>中山公用</t>
  </si>
  <si>
    <t>东北证券</t>
  </si>
  <si>
    <t>国城矿业</t>
  </si>
  <si>
    <t>宝新能源</t>
  </si>
  <si>
    <t>亚太实业</t>
  </si>
  <si>
    <t>惠天热电</t>
  </si>
  <si>
    <t>滨海能源</t>
  </si>
  <si>
    <t>炼石航空</t>
  </si>
  <si>
    <t>ST沈化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</si>
  <si>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</si>
  <si>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</si>
  <si>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</si>
  <si>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</si>
  <si>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</si>
  <si>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</si>
  <si>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</si>
  <si>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</si>
  <si>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</si>
  <si>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</si>
  <si>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</si>
  <si>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</si>
  <si>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</si>
  <si>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</si>
  <si>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</si>
  <si>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</si>
  <si>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</si>
  <si>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</si>
  <si>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</si>
  <si>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</si>
  <si>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</si>
  <si>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</si>
  <si>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泰Ａ</t>
  </si>
  <si>
    <t>冠捷科技</t>
  </si>
  <si>
    <t>国元证券</t>
  </si>
  <si>
    <t>燕京啤酒</t>
  </si>
  <si>
    <t>四川美丰</t>
  </si>
  <si>
    <t>振华科技</t>
  </si>
  <si>
    <t>罗 牛 山</t>
  </si>
  <si>
    <t>中交发展</t>
  </si>
  <si>
    <t>北方铜业</t>
  </si>
  <si>
    <t>航发控制</t>
  </si>
  <si>
    <t>普洛药业</t>
  </si>
  <si>
    <t>国海证券</t>
  </si>
  <si>
    <t>锌业股份</t>
  </si>
  <si>
    <t>*ST西发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</si>
  <si>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</si>
  <si>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</si>
  <si>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</si>
  <si>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</si>
  <si>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</si>
  <si>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</si>
  <si>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</si>
  <si>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</si>
  <si>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</si>
  <si>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</si>
  <si>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</si>
  <si>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</si>
  <si>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</si>
  <si>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4天3板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</si>
  <si>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</si>
  <si>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</si>
  <si>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</si>
  <si>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</si>
  <si>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</si>
  <si>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</si>
  <si>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</si>
  <si>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</si>
  <si>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</si>
  <si>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</si>
  <si>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</si>
  <si>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*ST华闻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</si>
  <si>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</si>
  <si>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</si>
  <si>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</si>
  <si>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</si>
  <si>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</si>
  <si>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</si>
  <si>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</si>
  <si>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</si>
  <si>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</si>
  <si>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</si>
  <si>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</si>
  <si>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</si>
  <si>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</si>
  <si>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</si>
  <si>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</si>
  <si>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</si>
  <si>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</si>
  <si>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</si>
  <si>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</si>
  <si>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</si>
  <si>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ST京机</t>
  </si>
  <si>
    <t>山东海化</t>
  </si>
  <si>
    <t>超声电子</t>
  </si>
  <si>
    <t>太钢不锈</t>
  </si>
  <si>
    <t>*ST启环</t>
  </si>
  <si>
    <t>东莞控股</t>
  </si>
  <si>
    <t>天音控股</t>
  </si>
  <si>
    <t>鲁西化工</t>
  </si>
  <si>
    <t>中国稀土</t>
  </si>
  <si>
    <t>粤桂股份</t>
  </si>
  <si>
    <t>秦川机床</t>
  </si>
  <si>
    <t>*ST发展</t>
  </si>
  <si>
    <t>国安股份</t>
  </si>
  <si>
    <t>承德露露</t>
  </si>
  <si>
    <t>华茂股份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</si>
  <si>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</si>
  <si>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</si>
  <si>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</si>
  <si>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</si>
  <si>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</si>
  <si>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</si>
  <si>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</si>
  <si>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</si>
  <si>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裕Ａ</t>
  </si>
  <si>
    <t>电投绿能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</si>
  <si>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</si>
  <si>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</si>
  <si>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</si>
  <si>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</si>
  <si>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</si>
  <si>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</si>
  <si>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</si>
  <si>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</si>
  <si>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</si>
  <si>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</si>
  <si>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</si>
  <si>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</si>
  <si>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</si>
  <si>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</si>
  <si>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</si>
  <si>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</si>
  <si>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</si>
  <si>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</si>
  <si>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</si>
  <si>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</si>
  <si>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</si>
  <si>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</si>
  <si>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ST云动</t>
  </si>
  <si>
    <t>厦门港务</t>
  </si>
  <si>
    <t>浙商中拓</t>
  </si>
  <si>
    <t>景峰医药</t>
  </si>
  <si>
    <t>*ST数源</t>
  </si>
  <si>
    <t>大亚圣象</t>
  </si>
  <si>
    <t>*ST广糖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</si>
  <si>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</si>
  <si>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</si>
  <si>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</si>
  <si>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</si>
  <si>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</si>
  <si>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</si>
  <si>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</si>
  <si>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</si>
  <si>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</si>
  <si>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</si>
  <si>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</si>
  <si>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</si>
  <si>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</si>
  <si>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</si>
  <si>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</si>
  <si>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</si>
  <si>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</si>
  <si>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</si>
  <si>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</si>
  <si>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</si>
  <si>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</si>
  <si>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</si>
  <si>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</si>
  <si>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</si>
  <si>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</si>
  <si>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</si>
  <si>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</si>
  <si>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中哲精化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</si>
  <si>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</si>
  <si>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</si>
  <si>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</si>
  <si>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</si>
  <si>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</si>
  <si>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</si>
  <si>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</si>
  <si>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</si>
  <si>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</si>
  <si>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</si>
  <si>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</si>
  <si>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</si>
  <si>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</si>
  <si>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9天3板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</si>
  <si>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</si>
  <si>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</si>
  <si>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</si>
  <si>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</si>
  <si>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</si>
  <si>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</si>
  <si>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</si>
  <si>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</si>
  <si>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</si>
  <si>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</si>
  <si>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</si>
  <si>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</si>
  <si>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</si>
  <si>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</si>
  <si>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</si>
  <si>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</si>
  <si>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</si>
  <si>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</si>
  <si>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</si>
  <si>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</si>
  <si>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</si>
  <si>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</si>
  <si>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</si>
  <si>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</si>
  <si>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</si>
  <si>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</si>
  <si>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</si>
  <si>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</si>
  <si>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</si>
  <si>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</si>
  <si>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</si>
  <si>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</si>
  <si>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</si>
  <si>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</si>
  <si>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</si>
  <si>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世盟股份</t>
  </si>
  <si>
    <t>悍高集团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</si>
  <si>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</si>
  <si>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</si>
  <si>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</si>
  <si>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</si>
  <si>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</si>
  <si>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</si>
  <si>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</si>
  <si>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</si>
  <si>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</si>
  <si>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海安集团</t>
  </si>
  <si>
    <t>泰慕士</t>
  </si>
  <si>
    <t>弘业期货</t>
  </si>
  <si>
    <t>惠康科技</t>
  </si>
  <si>
    <t>浙江正特</t>
  </si>
  <si>
    <t>永达股份</t>
  </si>
  <si>
    <t>博菲电气</t>
  </si>
  <si>
    <t>炜冈科技</t>
  </si>
  <si>
    <t>盛龙股份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</si>
  <si>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</si>
  <si>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</si>
  <si>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</si>
  <si>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</si>
  <si>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</si>
  <si>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</si>
  <si>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</si>
  <si>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铖昌科技</t>
  </si>
  <si>
    <t>速达股份</t>
  </si>
  <si>
    <t>一彬科技</t>
  </si>
  <si>
    <t>强邦新材</t>
  </si>
  <si>
    <t>中国铀业</t>
  </si>
  <si>
    <t>三联锻造</t>
  </si>
  <si>
    <t>豪鹏科技</t>
  </si>
  <si>
    <t>瑞立科密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</si>
  <si>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</si>
  <si>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</si>
  <si>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</si>
  <si>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</si>
  <si>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</si>
  <si>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</si>
  <si>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</si>
  <si>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</si>
  <si>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</si>
  <si>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</si>
  <si>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</si>
  <si>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</si>
  <si>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</si>
  <si>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福恩股份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</si>
  <si>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</si>
  <si>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</si>
  <si>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</si>
  <si>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</si>
  <si>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</si>
  <si>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</si>
  <si>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</si>
  <si>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</si>
  <si>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</si>
  <si>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元创股份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</si>
  <si>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</si>
  <si>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</si>
  <si>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</si>
  <si>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</si>
  <si>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</si>
  <si>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</si>
  <si>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</si>
  <si>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</si>
  <si>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</si>
  <si>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</si>
  <si>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</si>
  <si>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2连板</t>
  </si>
  <si>
    <t>富岭股份</t>
  </si>
  <si>
    <t>兴欣新材</t>
  </si>
  <si>
    <t>平安电工</t>
  </si>
  <si>
    <t>南矿集团</t>
  </si>
  <si>
    <t>天海电子</t>
  </si>
  <si>
    <t>播恩集团</t>
  </si>
  <si>
    <t>海森药业</t>
  </si>
  <si>
    <t>通达创智</t>
  </si>
  <si>
    <t>双欣材料</t>
  </si>
  <si>
    <t>翔腾新材</t>
  </si>
  <si>
    <t>百通能源</t>
  </si>
  <si>
    <t>德冠新材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</si>
  <si>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</si>
  <si>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</si>
  <si>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</si>
  <si>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</si>
  <si>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</si>
  <si>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</si>
  <si>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</si>
  <si>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</si>
  <si>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</si>
  <si>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维通利</t>
  </si>
  <si>
    <t>亚联机械</t>
  </si>
  <si>
    <t>誉帆科技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</si>
  <si>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</si>
  <si>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</si>
  <si>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</si>
  <si>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</si>
  <si>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</si>
  <si>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</si>
  <si>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</si>
  <si>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</si>
  <si>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</si>
  <si>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</si>
  <si>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</si>
  <si>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</si>
  <si>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</si>
  <si>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</si>
  <si>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</si>
  <si>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</si>
  <si>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</si>
  <si>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</si>
  <si>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</si>
  <si>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</si>
  <si>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</si>
  <si>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</si>
  <si>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</si>
  <si>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</si>
  <si>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</si>
  <si>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</si>
  <si>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</si>
  <si>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</si>
  <si>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</si>
  <si>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</si>
  <si>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</si>
  <si>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</si>
  <si>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</si>
  <si>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</si>
  <si>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</si>
  <si>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</si>
  <si>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</si>
  <si>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</si>
  <si>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</si>
  <si>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</si>
  <si>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</si>
  <si>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</si>
  <si>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</si>
  <si>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</si>
  <si>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</si>
  <si>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</si>
  <si>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</si>
  <si>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</si>
  <si>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</si>
  <si>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</si>
  <si>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</si>
  <si>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</si>
  <si>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</si>
  <si>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</si>
  <si>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</si>
  <si>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11天3板</t>
  </si>
  <si>
    <t>同洲电子</t>
  </si>
  <si>
    <t>云南能投</t>
  </si>
  <si>
    <t>德美化工</t>
  </si>
  <si>
    <t>ST得润</t>
  </si>
  <si>
    <t>横店东磁</t>
  </si>
  <si>
    <t>中钢天源</t>
  </si>
  <si>
    <t>威尔泰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</si>
  <si>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</si>
  <si>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</si>
  <si>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</si>
  <si>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</si>
  <si>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</si>
  <si>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</si>
  <si>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</si>
  <si>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</si>
  <si>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</si>
  <si>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</si>
  <si>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</si>
  <si>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</si>
  <si>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</si>
  <si>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</si>
  <si>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</si>
  <si>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</si>
  <si>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</si>
  <si>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</si>
  <si>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</si>
  <si>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</si>
  <si>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 螳 螂</t>
  </si>
  <si>
    <t>ST万邦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</si>
  <si>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</si>
  <si>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</si>
  <si>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</si>
  <si>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</si>
  <si>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</si>
  <si>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</si>
  <si>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</si>
  <si>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</si>
  <si>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</si>
  <si>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</si>
  <si>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</si>
  <si>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</si>
  <si>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</si>
  <si>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</si>
  <si>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</si>
  <si>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</si>
  <si>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</si>
  <si>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ST能特</t>
  </si>
  <si>
    <t>广博股份</t>
  </si>
  <si>
    <t>恒宝股份</t>
  </si>
  <si>
    <t>信隆健康</t>
  </si>
  <si>
    <t>莱宝高科</t>
  </si>
  <si>
    <t>沃华医药</t>
  </si>
  <si>
    <t>沧州明珠</t>
  </si>
  <si>
    <t>ST兴化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</si>
  <si>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</si>
  <si>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</si>
  <si>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</si>
  <si>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</si>
  <si>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</si>
  <si>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</si>
  <si>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</si>
  <si>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</si>
  <si>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</si>
  <si>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</si>
  <si>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ST汇洲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</si>
  <si>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</si>
  <si>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</si>
  <si>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</si>
  <si>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</si>
  <si>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</si>
  <si>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</si>
  <si>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</si>
  <si>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</si>
  <si>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</si>
  <si>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</si>
  <si>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</si>
  <si>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</si>
  <si>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</si>
  <si>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</si>
  <si>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</si>
  <si>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13天4板</t>
  </si>
  <si>
    <t>顺络电子</t>
  </si>
  <si>
    <t>拓邦股份</t>
  </si>
  <si>
    <t>东华科技</t>
  </si>
  <si>
    <t>贤丰控股</t>
  </si>
  <si>
    <t>3连板</t>
  </si>
  <si>
    <t>宁波银行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</si>
  <si>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</si>
  <si>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</si>
  <si>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</si>
  <si>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</si>
  <si>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</si>
  <si>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</si>
  <si>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</si>
  <si>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</si>
  <si>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</si>
  <si>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</si>
  <si>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</si>
  <si>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</si>
  <si>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</si>
  <si>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</si>
  <si>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</si>
  <si>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</si>
  <si>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</si>
  <si>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</si>
  <si>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</si>
  <si>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</si>
  <si>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</si>
  <si>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</si>
  <si>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</si>
  <si>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ST惠程</t>
  </si>
  <si>
    <t>智光电气</t>
  </si>
  <si>
    <t>芭田股份</t>
  </si>
  <si>
    <t>楚江新材</t>
  </si>
  <si>
    <t>澳洋健康</t>
  </si>
  <si>
    <t>创新医疗</t>
  </si>
  <si>
    <t>游族网络</t>
  </si>
  <si>
    <t>*ST东智</t>
  </si>
  <si>
    <t>江特电机</t>
  </si>
  <si>
    <t>御银股份</t>
  </si>
  <si>
    <t>延华智能</t>
  </si>
  <si>
    <t>中航光电</t>
  </si>
  <si>
    <t>奔图科技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</si>
  <si>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</si>
  <si>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</si>
  <si>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</si>
  <si>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</si>
  <si>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</si>
  <si>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</si>
  <si>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</si>
  <si>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</si>
  <si>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</si>
  <si>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</si>
  <si>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</si>
  <si>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</si>
  <si>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ST如意</t>
  </si>
  <si>
    <t>5天3板</t>
  </si>
  <si>
    <t>武汉凡谷</t>
  </si>
  <si>
    <t>岩山科技</t>
  </si>
  <si>
    <t>方正电机</t>
  </si>
  <si>
    <t>证通电子</t>
  </si>
  <si>
    <t>ST嘉应</t>
  </si>
  <si>
    <t>*ST东晶</t>
  </si>
  <si>
    <t>交投生态</t>
  </si>
  <si>
    <t>九鼎新材</t>
  </si>
  <si>
    <t>金风科技</t>
  </si>
  <si>
    <t>海亮股份</t>
  </si>
  <si>
    <t>大连重工</t>
  </si>
  <si>
    <t>国统股份</t>
  </si>
  <si>
    <t>海 利 得</t>
  </si>
  <si>
    <t>*ST准油</t>
  </si>
  <si>
    <t>合肥城建</t>
  </si>
  <si>
    <t>达 意 隆</t>
  </si>
  <si>
    <t>飞马国际</t>
  </si>
  <si>
    <t>ST宏达</t>
  </si>
  <si>
    <t>天融信</t>
  </si>
  <si>
    <t>大为股份</t>
  </si>
  <si>
    <t>*ST大立</t>
  </si>
  <si>
    <t>诺 普 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</si>
  <si>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</si>
  <si>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</si>
  <si>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</si>
  <si>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</si>
  <si>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</si>
  <si>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</si>
  <si>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</si>
  <si>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 力 士</t>
  </si>
  <si>
    <t>濮耐股份</t>
  </si>
  <si>
    <t>江南化工</t>
  </si>
  <si>
    <t>*ST特迅</t>
  </si>
  <si>
    <t>合兴包装</t>
  </si>
  <si>
    <t>鸿博股份</t>
  </si>
  <si>
    <t>科大讯飞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</si>
  <si>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</si>
  <si>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</si>
  <si>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</si>
  <si>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</si>
  <si>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</si>
  <si>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</si>
  <si>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</si>
  <si>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</si>
  <si>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</si>
  <si>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</si>
  <si>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</si>
  <si>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</si>
  <si>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</si>
  <si>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</si>
  <si>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</si>
  <si>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</si>
  <si>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</si>
  <si>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</si>
  <si>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</si>
  <si>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</si>
  <si>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</si>
  <si>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</si>
  <si>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</si>
  <si>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10天5板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</si>
  <si>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</si>
  <si>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</si>
  <si>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</si>
  <si>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</si>
  <si>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</si>
  <si>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</si>
  <si>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</si>
  <si>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</si>
  <si>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</si>
  <si>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</si>
  <si>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</si>
  <si>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</si>
  <si>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</si>
  <si>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</si>
  <si>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</si>
  <si>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</si>
  <si>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</si>
  <si>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</si>
  <si>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</si>
  <si>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</si>
  <si>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</si>
  <si>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</si>
  <si>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</si>
  <si>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</si>
  <si>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</si>
  <si>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</si>
  <si>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</si>
  <si>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</si>
  <si>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</si>
  <si>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</si>
  <si>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</si>
  <si>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</si>
  <si>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</si>
  <si>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</si>
  <si>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</si>
  <si>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</si>
  <si>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</si>
  <si>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</si>
  <si>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</si>
  <si>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</si>
  <si>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</si>
  <si>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</si>
  <si>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</si>
  <si>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</si>
  <si>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</si>
  <si>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</si>
  <si>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</si>
  <si>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ST云网</t>
  </si>
  <si>
    <t>北新路桥</t>
  </si>
  <si>
    <t>中利集团</t>
  </si>
  <si>
    <t>东方新能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</si>
  <si>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</si>
  <si>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</si>
  <si>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</si>
  <si>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</si>
  <si>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</si>
  <si>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</si>
  <si>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</si>
  <si>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</si>
  <si>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</si>
  <si>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</si>
  <si>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华英农业</t>
  </si>
  <si>
    <t>理工能科</t>
  </si>
  <si>
    <t>*ST雅博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</si>
  <si>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</si>
  <si>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</si>
  <si>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</si>
  <si>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</si>
  <si>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</si>
  <si>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</si>
  <si>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</si>
  <si>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</si>
  <si>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</si>
  <si>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</si>
  <si>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</si>
  <si>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</si>
  <si>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</si>
  <si>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</si>
  <si>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</si>
  <si>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</si>
  <si>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</si>
  <si>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</si>
  <si>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</si>
  <si>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</si>
  <si>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</si>
  <si>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</si>
  <si>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</si>
  <si>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</si>
  <si>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</si>
  <si>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</si>
  <si>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</si>
  <si>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</si>
  <si>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</si>
  <si>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</si>
  <si>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</si>
  <si>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</si>
  <si>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ST同德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</si>
  <si>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</si>
  <si>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</si>
  <si>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</si>
  <si>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</si>
  <si>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</si>
  <si>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</si>
  <si>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</si>
  <si>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</si>
  <si>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</si>
  <si>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</si>
  <si>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</si>
  <si>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</si>
  <si>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</si>
  <si>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</si>
  <si>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</si>
  <si>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</si>
  <si>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</si>
  <si>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</si>
  <si>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宏桥控股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</si>
  <si>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</si>
  <si>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</si>
  <si>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</si>
  <si>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</si>
  <si>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</si>
  <si>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</si>
  <si>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</si>
  <si>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</si>
  <si>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</si>
  <si>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</si>
  <si>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</si>
  <si>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</si>
  <si>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</si>
  <si>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</si>
  <si>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</si>
  <si>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</si>
  <si>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</si>
  <si>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</si>
  <si>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</si>
  <si>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</si>
  <si>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</si>
  <si>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</si>
  <si>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</si>
  <si>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</si>
  <si>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</si>
  <si>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</si>
  <si>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</si>
  <si>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</si>
  <si>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</si>
  <si>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</si>
  <si>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</si>
  <si>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</si>
  <si>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</si>
  <si>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</si>
  <si>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</si>
  <si>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</si>
  <si>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</si>
  <si>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</si>
  <si>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</si>
  <si>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</si>
  <si>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</si>
  <si>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</si>
  <si>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ST百灵</t>
  </si>
  <si>
    <t>凯撒文化</t>
  </si>
  <si>
    <t>胜利精密</t>
  </si>
  <si>
    <t>尤夫股份</t>
  </si>
  <si>
    <t>云南锗业</t>
  </si>
  <si>
    <t>6天2板</t>
  </si>
  <si>
    <t>兆驰股份</t>
  </si>
  <si>
    <t>杭氧股份</t>
  </si>
  <si>
    <t>ST棕榈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</si>
  <si>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</si>
  <si>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</si>
  <si>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</si>
  <si>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</si>
  <si>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</si>
  <si>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</si>
  <si>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</si>
  <si>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</si>
  <si>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</si>
  <si>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</si>
  <si>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</si>
  <si>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</si>
  <si>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</si>
  <si>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</si>
  <si>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</si>
  <si>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</si>
  <si>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长高电气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</si>
  <si>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</si>
  <si>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</si>
  <si>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</si>
  <si>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</si>
  <si>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</si>
  <si>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</si>
  <si>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</si>
  <si>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</si>
  <si>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</si>
  <si>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</si>
  <si>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</si>
  <si>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</si>
  <si>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</si>
  <si>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</si>
  <si>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</si>
  <si>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</si>
  <si>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</si>
  <si>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</si>
  <si>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</si>
  <si>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</si>
  <si>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</si>
  <si>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新叶股份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</si>
  <si>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</si>
  <si>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</si>
  <si>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</si>
  <si>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</si>
  <si>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</si>
  <si>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</si>
  <si>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</si>
  <si>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</si>
  <si>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</si>
  <si>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</si>
  <si>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</si>
  <si>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</si>
  <si>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</si>
  <si>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</si>
  <si>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</si>
  <si>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</si>
  <si>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</si>
  <si>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</si>
  <si>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辉丰股份</t>
  </si>
  <si>
    <t>雅化集团</t>
  </si>
  <si>
    <t>汉缆股份</t>
  </si>
  <si>
    <t>山西证券</t>
  </si>
  <si>
    <t>*ST利源</t>
  </si>
  <si>
    <t>协鑫集成</t>
  </si>
  <si>
    <t>涪陵榨菜</t>
  </si>
  <si>
    <t>老板电器</t>
  </si>
  <si>
    <t>天汽模</t>
  </si>
  <si>
    <t>中顺洁柔</t>
  </si>
  <si>
    <t>ST达华</t>
  </si>
  <si>
    <t>蓝丰生化</t>
  </si>
  <si>
    <t>*ST宝馨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</si>
  <si>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</si>
  <si>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</si>
  <si>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</si>
  <si>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</si>
  <si>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</si>
  <si>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</si>
  <si>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</si>
  <si>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</si>
  <si>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</si>
  <si>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</si>
  <si>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</si>
  <si>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</si>
  <si>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*ST英飞</t>
  </si>
  <si>
    <t>海源复材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</si>
  <si>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</si>
  <si>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</si>
  <si>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</si>
  <si>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</si>
  <si>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</si>
  <si>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</si>
  <si>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</si>
  <si>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</si>
  <si>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ST司特</t>
  </si>
  <si>
    <t>云图控股</t>
  </si>
  <si>
    <t>亚太科技</t>
  </si>
  <si>
    <t>鸿路钢构</t>
  </si>
  <si>
    <t>*ST中岩</t>
  </si>
  <si>
    <t>万和电气</t>
  </si>
  <si>
    <t>普天科技</t>
  </si>
  <si>
    <t>东方铁塔</t>
  </si>
  <si>
    <t>新联电子</t>
  </si>
  <si>
    <t>*ST春兴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</si>
  <si>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</si>
  <si>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</si>
  <si>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</si>
  <si>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</si>
  <si>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</si>
  <si>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</si>
  <si>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</si>
  <si>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</si>
  <si>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</si>
  <si>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</si>
  <si>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</si>
  <si>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</si>
  <si>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</si>
  <si>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</si>
  <si>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</si>
  <si>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</si>
  <si>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</si>
  <si>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</si>
  <si>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</si>
  <si>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</si>
  <si>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</si>
  <si>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</si>
  <si>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</si>
  <si>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</si>
  <si>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</si>
  <si>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</si>
  <si>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</si>
  <si>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</si>
  <si>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</si>
  <si>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</si>
  <si>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</si>
  <si>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</si>
  <si>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</si>
  <si>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*ST未名</t>
  </si>
  <si>
    <t>好想你</t>
  </si>
  <si>
    <t>海能达</t>
  </si>
  <si>
    <t>西陇科学</t>
  </si>
  <si>
    <t>双星新材</t>
  </si>
  <si>
    <t>11天5板</t>
  </si>
  <si>
    <t>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</si>
  <si>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</si>
  <si>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</si>
  <si>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</si>
  <si>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</si>
  <si>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</si>
  <si>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</si>
  <si>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</si>
  <si>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</si>
  <si>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</si>
  <si>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</si>
  <si>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</si>
  <si>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ST章鼓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</si>
  <si>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</si>
  <si>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</si>
  <si>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</si>
  <si>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</si>
  <si>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</si>
  <si>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</si>
  <si>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</si>
  <si>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</si>
  <si>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</si>
  <si>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</si>
  <si>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</si>
  <si>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</si>
  <si>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</si>
  <si>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</si>
  <si>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</si>
  <si>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</si>
  <si>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</si>
  <si>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*ST瑞和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</si>
  <si>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</si>
  <si>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</si>
  <si>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</si>
  <si>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</si>
  <si>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</si>
  <si>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</si>
  <si>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</si>
  <si>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</si>
  <si>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*ST华西</t>
  </si>
  <si>
    <t>德尔未来</t>
  </si>
  <si>
    <t>道明光学</t>
  </si>
  <si>
    <t>申科股份</t>
  </si>
  <si>
    <t>*ST棒杰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</si>
  <si>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</si>
  <si>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</si>
  <si>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</si>
  <si>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</si>
  <si>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</si>
  <si>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</si>
  <si>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</si>
  <si>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</si>
  <si>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</si>
  <si>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</si>
  <si>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</si>
  <si>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</si>
  <si>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</si>
  <si>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</si>
  <si>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</si>
  <si>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</si>
  <si>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</si>
  <si>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</si>
  <si>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</si>
  <si>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</si>
  <si>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</si>
  <si>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</si>
  <si>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</si>
  <si>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</si>
  <si>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</si>
  <si>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</si>
  <si>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</si>
  <si>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</si>
  <si>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</si>
  <si>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</si>
  <si>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</si>
  <si>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*ST威领</t>
  </si>
  <si>
    <t>TCL智家</t>
  </si>
  <si>
    <t>康达新材</t>
  </si>
  <si>
    <t>国盛证券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</si>
  <si>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</si>
  <si>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</si>
  <si>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</si>
  <si>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</si>
  <si>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</si>
  <si>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</si>
  <si>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</si>
  <si>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</si>
  <si>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</si>
  <si>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</si>
  <si>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</si>
  <si>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</si>
  <si>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</si>
  <si>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</si>
  <si>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</si>
  <si>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</si>
  <si>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ST远智</t>
  </si>
  <si>
    <t>美亚光电</t>
  </si>
  <si>
    <t>*ST冀凯</t>
  </si>
  <si>
    <t>远程股份</t>
  </si>
  <si>
    <t>双成药业</t>
  </si>
  <si>
    <t>*ST顾地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</si>
  <si>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</si>
  <si>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</si>
  <si>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</si>
  <si>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</si>
  <si>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</si>
  <si>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</si>
  <si>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</si>
  <si>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</si>
  <si>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</si>
  <si>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</si>
  <si>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</si>
  <si>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</si>
  <si>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</si>
  <si>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</si>
  <si>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</si>
  <si>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</si>
  <si>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</si>
  <si>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</si>
  <si>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*ST岭南</t>
  </si>
  <si>
    <t>友邦吊顶</t>
  </si>
  <si>
    <t>ST麦趣</t>
  </si>
  <si>
    <t>金一文化</t>
  </si>
  <si>
    <t>物产金轮</t>
  </si>
  <si>
    <t>小崧股份</t>
  </si>
  <si>
    <t>海洋王</t>
  </si>
  <si>
    <t>跃岭股份</t>
  </si>
  <si>
    <t>ST龙大</t>
  </si>
  <si>
    <t>一心堂</t>
  </si>
  <si>
    <t>特一药业</t>
  </si>
  <si>
    <t>好利科技</t>
  </si>
  <si>
    <t>电光科技</t>
  </si>
  <si>
    <t>ST萃华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</si>
  <si>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</si>
  <si>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</si>
  <si>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</si>
  <si>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</si>
  <si>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</si>
  <si>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</si>
  <si>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</si>
  <si>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儒意电影</t>
  </si>
  <si>
    <t>光华科技</t>
  </si>
  <si>
    <t>冀衡医药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</si>
  <si>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</si>
  <si>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</si>
  <si>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</si>
  <si>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</si>
  <si>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</si>
  <si>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</si>
  <si>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</si>
  <si>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</si>
  <si>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</si>
  <si>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</si>
  <si>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</si>
  <si>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</si>
  <si>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</si>
  <si>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</si>
  <si>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</si>
  <si>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</si>
  <si>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</si>
  <si>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</si>
  <si>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</si>
  <si>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</si>
  <si>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</si>
  <si>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</si>
  <si>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</si>
  <si>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</si>
  <si>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</si>
  <si>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</si>
  <si>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</si>
  <si>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</si>
  <si>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</si>
  <si>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</si>
  <si>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</si>
  <si>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</si>
  <si>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</si>
  <si>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</si>
  <si>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</si>
  <si>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</si>
  <si>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</si>
  <si>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</si>
  <si>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</si>
  <si>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</si>
  <si>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</si>
  <si>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</si>
  <si>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</si>
  <si>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</si>
  <si>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</si>
  <si>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</si>
  <si>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</si>
  <si>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</si>
  <si>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</si>
  <si>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</si>
  <si>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</si>
  <si>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</si>
  <si>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</si>
  <si>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</si>
  <si>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</si>
  <si>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</si>
  <si>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</si>
  <si>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</si>
  <si>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</si>
  <si>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</si>
  <si>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</si>
  <si>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</si>
  <si>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</si>
  <si>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</si>
  <si>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</si>
  <si>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</si>
  <si>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</si>
  <si>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</si>
  <si>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</si>
  <si>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</si>
  <si>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</si>
  <si>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</si>
  <si>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</si>
  <si>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</si>
  <si>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</si>
  <si>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</si>
  <si>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</si>
  <si>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</si>
  <si>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</si>
  <si>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</si>
  <si>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</si>
  <si>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</si>
  <si>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</si>
  <si>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</si>
  <si>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</si>
  <si>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</si>
  <si>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</si>
  <si>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</si>
  <si>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</si>
  <si>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</si>
  <si>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</si>
  <si>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</si>
  <si>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</si>
  <si>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</si>
  <si>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</si>
  <si>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</si>
  <si>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</si>
  <si>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</si>
  <si>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*ST美芝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</si>
  <si>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</si>
  <si>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</si>
  <si>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</si>
  <si>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</si>
  <si>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</si>
  <si>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</si>
  <si>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</si>
  <si>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</si>
  <si>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</si>
  <si>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</si>
  <si>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</si>
  <si>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</si>
  <si>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</si>
  <si>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</si>
  <si>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</si>
  <si>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</si>
  <si>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</si>
  <si>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</si>
  <si>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</si>
  <si>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</si>
  <si>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</si>
  <si>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</si>
  <si>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</si>
  <si>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</si>
  <si>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</si>
  <si>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*ST中设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</si>
  <si>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</si>
  <si>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</si>
  <si>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</si>
  <si>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</si>
  <si>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</si>
  <si>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</si>
  <si>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</si>
  <si>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</si>
  <si>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</si>
  <si>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</si>
  <si>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</si>
  <si>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</si>
  <si>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</si>
  <si>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</si>
  <si>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</si>
  <si>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</si>
  <si>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</si>
  <si>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</si>
  <si>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</si>
  <si>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</si>
  <si>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</si>
  <si>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</si>
  <si>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</si>
  <si>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</si>
  <si>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</si>
  <si>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</si>
  <si>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</si>
  <si>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</si>
  <si>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</si>
  <si>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</si>
  <si>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</si>
  <si>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</si>
  <si>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</si>
  <si>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</si>
  <si>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</si>
  <si>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</si>
  <si>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</si>
  <si>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</si>
  <si>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</si>
  <si>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</si>
  <si>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</si>
  <si>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</si>
  <si>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</si>
  <si>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</si>
  <si>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*ST明德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</si>
  <si>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</si>
  <si>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</si>
  <si>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</si>
  <si>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</si>
  <si>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</si>
  <si>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</si>
  <si>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</si>
  <si>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</si>
  <si>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</si>
  <si>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</si>
  <si>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</si>
  <si>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</si>
  <si>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</si>
  <si>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</si>
  <si>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</si>
  <si>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</si>
  <si>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</si>
  <si>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</si>
  <si>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</si>
  <si>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</si>
  <si>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</si>
  <si>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</si>
  <si>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</si>
  <si>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</si>
  <si>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青鸟智控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</si>
  <si>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</si>
  <si>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</si>
  <si>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</si>
  <si>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</si>
  <si>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</si>
  <si>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</si>
  <si>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</si>
  <si>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</si>
  <si>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</si>
  <si>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</si>
  <si>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11天6板</t>
  </si>
  <si>
    <t>科安达</t>
  </si>
  <si>
    <t>侨银股份</t>
  </si>
  <si>
    <t>博杰股份</t>
  </si>
  <si>
    <t>瑞玛精密</t>
  </si>
  <si>
    <t>*ST天箭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</si>
  <si>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</si>
  <si>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</si>
  <si>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</si>
  <si>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</si>
  <si>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</si>
  <si>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</si>
  <si>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</si>
  <si>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</si>
  <si>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</si>
  <si>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</si>
  <si>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</si>
  <si>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</si>
  <si>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</si>
  <si>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</si>
  <si>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</si>
  <si>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</si>
  <si>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</si>
  <si>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</si>
  <si>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</si>
  <si>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</si>
  <si>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</si>
  <si>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</si>
  <si>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</si>
  <si>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</si>
  <si>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</si>
  <si>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</si>
  <si>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</si>
  <si>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</si>
  <si>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</si>
  <si>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</si>
  <si>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</si>
  <si>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</si>
  <si>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</si>
  <si>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</si>
  <si>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</si>
  <si>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</si>
  <si>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</si>
  <si>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</si>
  <si>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</si>
  <si>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</si>
  <si>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</si>
  <si>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</si>
  <si>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</si>
  <si>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</si>
  <si>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</si>
  <si>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</si>
  <si>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</si>
  <si>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</si>
  <si>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</si>
  <si>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</si>
  <si>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</si>
  <si>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</si>
  <si>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</si>
  <si>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</si>
  <si>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</si>
  <si>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11天4板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</si>
  <si>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</si>
  <si>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</si>
  <si>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</si>
  <si>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</si>
  <si>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</si>
  <si>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</si>
  <si>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</si>
  <si>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</si>
  <si>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</si>
  <si>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</si>
  <si>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</si>
  <si>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</si>
  <si>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</si>
  <si>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</si>
  <si>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</si>
  <si>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</si>
  <si>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</si>
  <si>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ST豆神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</si>
  <si>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</si>
  <si>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</si>
  <si>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</si>
  <si>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</si>
  <si>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</si>
  <si>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</si>
  <si>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</si>
  <si>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</si>
  <si>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</si>
  <si>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</si>
  <si>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</si>
  <si>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</si>
  <si>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</si>
  <si>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</si>
  <si>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</si>
  <si>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ST华谊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</si>
  <si>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</si>
  <si>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</si>
  <si>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</si>
  <si>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</si>
  <si>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</si>
  <si>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</si>
  <si>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</si>
  <si>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</si>
  <si>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</si>
  <si>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</si>
  <si>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</si>
  <si>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</si>
  <si>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</si>
  <si>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*ST赛为</t>
  </si>
  <si>
    <t>华力创通</t>
  </si>
  <si>
    <t>台基股份</t>
  </si>
  <si>
    <t>天源迪科</t>
  </si>
  <si>
    <t>合康新能</t>
  </si>
  <si>
    <t>福瑞医科</t>
  </si>
  <si>
    <t>世纪鼎利</t>
  </si>
  <si>
    <t>琏升科技</t>
  </si>
  <si>
    <t>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</si>
  <si>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</si>
  <si>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</si>
  <si>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</si>
  <si>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</si>
  <si>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</si>
  <si>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</si>
  <si>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</si>
  <si>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</si>
  <si>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</si>
  <si>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</si>
  <si>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</si>
  <si>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</si>
  <si>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</si>
  <si>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ST南都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</si>
  <si>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</si>
  <si>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</si>
  <si>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</si>
  <si>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</si>
  <si>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</si>
  <si>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</si>
  <si>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</si>
  <si>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*ST宁视</t>
  </si>
  <si>
    <t>国民技术</t>
  </si>
  <si>
    <t>思创智联</t>
  </si>
  <si>
    <t>数码视讯</t>
  </si>
  <si>
    <t>易成新能</t>
  </si>
  <si>
    <t>ST恒信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</si>
  <si>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</si>
  <si>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</si>
  <si>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</si>
  <si>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</si>
  <si>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</si>
  <si>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</si>
  <si>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</si>
  <si>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*ST金灵</t>
  </si>
  <si>
    <t>科新机电</t>
  </si>
  <si>
    <t>金刚光伏</t>
  </si>
  <si>
    <t>国联水产</t>
  </si>
  <si>
    <t>华伍股份</t>
  </si>
  <si>
    <t>ST易联众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</si>
  <si>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</si>
  <si>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</si>
  <si>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</si>
  <si>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</si>
  <si>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</si>
  <si>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</si>
  <si>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</si>
  <si>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</si>
  <si>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</si>
  <si>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</si>
  <si>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</si>
  <si>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</si>
  <si>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</si>
  <si>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</si>
  <si>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</si>
  <si>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</si>
  <si>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</si>
  <si>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</si>
  <si>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</si>
  <si>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</si>
  <si>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</si>
  <si>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ST亚光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</si>
  <si>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</si>
  <si>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</si>
  <si>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</si>
  <si>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</si>
  <si>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</si>
  <si>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</si>
  <si>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</si>
  <si>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</si>
  <si>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</si>
  <si>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</si>
  <si>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</si>
  <si>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</si>
  <si>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</si>
  <si>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</si>
  <si>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</si>
  <si>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</si>
  <si>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</si>
  <si>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</si>
  <si>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</si>
  <si>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</si>
  <si>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</si>
  <si>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</si>
  <si>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</si>
  <si>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*ST香雪</t>
  </si>
  <si>
    <t>天舟文化</t>
  </si>
  <si>
    <t>睿智医药</t>
  </si>
  <si>
    <t>世纪瑞尔</t>
  </si>
  <si>
    <t>昌红科技</t>
  </si>
  <si>
    <t>*ST动力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</si>
  <si>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</si>
  <si>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</si>
  <si>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</si>
  <si>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</si>
  <si>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</si>
  <si>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</si>
  <si>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</si>
  <si>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</si>
  <si>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</si>
  <si>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</si>
  <si>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</si>
  <si>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</si>
  <si>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</si>
  <si>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</si>
  <si>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</si>
  <si>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</si>
  <si>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</si>
  <si>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</si>
  <si>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</si>
  <si>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ST福能</t>
  </si>
  <si>
    <t>元力股份</t>
  </si>
  <si>
    <t>朗源股份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</si>
  <si>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</si>
  <si>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</si>
  <si>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</si>
  <si>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</si>
  <si>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</si>
  <si>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</si>
  <si>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</si>
  <si>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</si>
  <si>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</si>
  <si>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</si>
  <si>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</si>
  <si>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</si>
  <si>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</si>
  <si>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</si>
  <si>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</si>
  <si>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</si>
  <si>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</si>
  <si>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</si>
  <si>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</si>
  <si>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</si>
  <si>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*ST纳川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</si>
  <si>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</si>
  <si>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</si>
  <si>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</si>
  <si>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</si>
  <si>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</si>
  <si>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</si>
  <si>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</si>
  <si>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</si>
  <si>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行云科技</t>
  </si>
  <si>
    <t>森远股份</t>
  </si>
  <si>
    <t>*ST亿通</t>
  </si>
  <si>
    <t>*ST易录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</si>
  <si>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</si>
  <si>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</si>
  <si>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</si>
  <si>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</si>
  <si>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</si>
  <si>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</si>
  <si>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</si>
  <si>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</si>
  <si>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</si>
  <si>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</si>
  <si>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</si>
  <si>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</si>
  <si>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</si>
  <si>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</si>
  <si>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</si>
  <si>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</si>
  <si>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</si>
  <si>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</si>
  <si>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</si>
  <si>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</si>
  <si>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</si>
  <si>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</si>
  <si>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</si>
  <si>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</si>
  <si>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</si>
  <si>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</si>
  <si>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</si>
  <si>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</si>
  <si>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</si>
  <si>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</si>
  <si>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</si>
  <si>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ST天玑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</si>
  <si>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</si>
  <si>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</si>
  <si>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</si>
  <si>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</si>
  <si>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</si>
  <si>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</si>
  <si>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</si>
  <si>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</si>
  <si>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</si>
  <si>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</si>
  <si>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</si>
  <si>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</si>
  <si>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</si>
  <si>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</si>
  <si>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</si>
  <si>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</si>
  <si>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</si>
  <si>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</si>
  <si>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</si>
  <si>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</si>
  <si>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</si>
  <si>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佳沃食品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</si>
  <si>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</si>
  <si>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</si>
  <si>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</si>
  <si>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</si>
  <si>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</si>
  <si>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</si>
  <si>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</si>
  <si>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汽轮科技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</si>
  <si>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</si>
  <si>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</si>
  <si>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</si>
  <si>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</si>
  <si>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</si>
  <si>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</si>
  <si>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</si>
  <si>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</si>
  <si>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</si>
  <si>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</si>
  <si>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</si>
  <si>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</si>
  <si>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</si>
  <si>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</si>
  <si>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</si>
  <si>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*ST三六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</si>
  <si>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</si>
  <si>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</si>
  <si>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</si>
  <si>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</si>
  <si>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</si>
  <si>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</si>
  <si>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</si>
  <si>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</si>
  <si>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</si>
  <si>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</si>
  <si>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</si>
  <si>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</si>
  <si>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</si>
  <si>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</si>
  <si>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</si>
  <si>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</si>
  <si>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</si>
  <si>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</si>
  <si>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</si>
  <si>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</si>
  <si>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</si>
  <si>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</si>
  <si>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</si>
  <si>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</si>
  <si>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</si>
  <si>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</si>
  <si>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</si>
  <si>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</si>
  <si>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</si>
  <si>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</si>
  <si>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</si>
  <si>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</si>
  <si>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</si>
  <si>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</si>
  <si>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</si>
  <si>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</si>
  <si>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*ST开元</t>
  </si>
  <si>
    <t>润和软件</t>
  </si>
  <si>
    <t>科恒股份</t>
  </si>
  <si>
    <t>麦克奥迪</t>
  </si>
  <si>
    <t>天银机电</t>
  </si>
  <si>
    <t>联创股份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</si>
  <si>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</si>
  <si>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</si>
  <si>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</si>
  <si>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</si>
  <si>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</si>
  <si>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</si>
  <si>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</si>
  <si>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ST信源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</si>
  <si>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</si>
  <si>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</si>
  <si>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</si>
  <si>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</si>
  <si>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</si>
  <si>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</si>
  <si>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</si>
  <si>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</si>
  <si>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</si>
  <si>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</si>
  <si>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</si>
  <si>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</si>
  <si>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</si>
  <si>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</si>
  <si>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</si>
  <si>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</si>
  <si>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</si>
  <si>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</si>
  <si>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</si>
  <si>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</si>
  <si>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</si>
  <si>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</si>
  <si>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</si>
  <si>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</si>
  <si>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</si>
  <si>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</si>
  <si>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ST雪浪</t>
  </si>
  <si>
    <t>飞天诚信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</si>
  <si>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</si>
  <si>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</si>
  <si>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</si>
  <si>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</si>
  <si>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</si>
  <si>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</si>
  <si>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</si>
  <si>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ST迪瑞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</si>
  <si>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</si>
  <si>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</si>
  <si>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</si>
  <si>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</si>
  <si>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</si>
  <si>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</si>
  <si>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</si>
  <si>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</si>
  <si>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</si>
  <si>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</si>
  <si>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</si>
  <si>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</si>
  <si>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</si>
  <si>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</si>
  <si>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</si>
  <si>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</si>
  <si>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</si>
  <si>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</si>
  <si>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</si>
  <si>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</si>
  <si>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</si>
  <si>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</si>
  <si>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</si>
  <si>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</si>
  <si>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</si>
  <si>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</si>
  <si>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</si>
  <si>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</si>
  <si>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</si>
  <si>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</si>
  <si>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</si>
  <si>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</si>
  <si>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</si>
  <si>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*ST益通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</si>
  <si>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</si>
  <si>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</si>
  <si>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</si>
  <si>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</si>
  <si>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</si>
  <si>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</si>
  <si>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</si>
  <si>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</si>
  <si>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</si>
  <si>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</si>
  <si>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</si>
  <si>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</si>
  <si>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</si>
  <si>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</si>
  <si>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</si>
  <si>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</si>
  <si>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</si>
  <si>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</si>
  <si>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</si>
  <si>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</si>
  <si>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</si>
  <si>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</si>
  <si>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</si>
  <si>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</si>
  <si>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</si>
  <si>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</si>
  <si>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</si>
  <si>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</si>
  <si>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ST惠伦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</si>
  <si>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</si>
  <si>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</si>
  <si>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</si>
  <si>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</si>
  <si>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</si>
  <si>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</si>
  <si>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</si>
  <si>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</si>
  <si>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</si>
  <si>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</si>
  <si>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</si>
  <si>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</si>
  <si>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</si>
  <si>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</si>
  <si>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</si>
  <si>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</si>
  <si>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</si>
  <si>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</si>
  <si>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</si>
  <si>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</si>
  <si>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</si>
  <si>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</si>
  <si>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</si>
  <si>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</si>
  <si>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</si>
  <si>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</si>
  <si>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</si>
  <si>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</si>
  <si>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</si>
  <si>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</si>
  <si>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</si>
  <si>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</si>
  <si>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</si>
  <si>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</si>
  <si>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</si>
  <si>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富祥股份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</si>
  <si>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</si>
  <si>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</si>
  <si>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</si>
  <si>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</si>
  <si>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</si>
  <si>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</si>
  <si>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</si>
  <si>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</si>
  <si>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</si>
  <si>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</si>
  <si>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</si>
  <si>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</si>
  <si>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</si>
  <si>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</si>
  <si>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</si>
  <si>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</si>
  <si>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</si>
  <si>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</si>
  <si>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</si>
  <si>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</si>
  <si>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</si>
  <si>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</si>
  <si>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</si>
  <si>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</si>
  <si>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</si>
  <si>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</si>
  <si>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</si>
  <si>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</si>
  <si>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</si>
  <si>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</si>
  <si>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</si>
  <si>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</si>
  <si>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</si>
  <si>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</si>
  <si>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</si>
  <si>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</si>
  <si>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</si>
  <si>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</si>
  <si>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</si>
  <si>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</si>
  <si>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</si>
  <si>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</si>
  <si>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</si>
  <si>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</si>
  <si>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</si>
  <si>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</si>
  <si>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</si>
  <si>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</si>
  <si>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</si>
  <si>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</si>
  <si>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</si>
  <si>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</si>
  <si>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</si>
  <si>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</si>
  <si>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</si>
  <si>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</si>
  <si>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</si>
  <si>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</si>
  <si>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</si>
  <si>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</si>
  <si>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</si>
  <si>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</si>
  <si>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</si>
  <si>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</si>
  <si>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</si>
  <si>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</si>
  <si>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</si>
  <si>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</si>
  <si>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</si>
  <si>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</si>
  <si>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</si>
  <si>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</si>
  <si>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</si>
  <si>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</si>
  <si>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</si>
  <si>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</si>
  <si>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</si>
  <si>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</si>
  <si>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</si>
  <si>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</si>
  <si>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</si>
  <si>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</si>
  <si>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</si>
  <si>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</si>
  <si>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</si>
  <si>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</si>
  <si>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</si>
  <si>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</si>
  <si>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</si>
  <si>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</si>
  <si>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</si>
  <si>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</si>
  <si>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ST朗进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</si>
  <si>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</si>
  <si>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</si>
  <si>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</si>
  <si>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</si>
  <si>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</si>
  <si>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</si>
  <si>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</si>
  <si>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</si>
  <si>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</si>
  <si>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</si>
  <si>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</si>
  <si>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</si>
  <si>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</si>
  <si>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</si>
  <si>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</si>
  <si>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</si>
  <si>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</si>
  <si>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</si>
  <si>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</si>
  <si>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</si>
  <si>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</si>
  <si>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</si>
  <si>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</si>
  <si>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</si>
  <si>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</si>
  <si>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</si>
  <si>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</si>
  <si>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</si>
  <si>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</si>
  <si>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</si>
  <si>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</si>
  <si>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</si>
  <si>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</si>
  <si>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</si>
  <si>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</si>
  <si>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</si>
  <si>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</si>
  <si>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</si>
  <si>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</si>
  <si>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</si>
  <si>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</si>
  <si>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</si>
  <si>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</si>
  <si>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</si>
  <si>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</si>
  <si>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</si>
  <si>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</si>
  <si>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</si>
  <si>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</si>
  <si>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</si>
  <si>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</si>
  <si>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</si>
  <si>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</si>
  <si>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</si>
  <si>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</si>
  <si>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</si>
  <si>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</si>
  <si>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</si>
  <si>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</si>
  <si>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</si>
  <si>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</si>
  <si>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</si>
  <si>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</si>
  <si>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</si>
  <si>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</si>
  <si>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</si>
  <si>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</si>
  <si>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</si>
  <si>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</si>
  <si>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</si>
  <si>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</si>
  <si>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杰恩股份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</si>
  <si>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</si>
  <si>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</si>
  <si>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</si>
  <si>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</si>
  <si>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</si>
  <si>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</si>
  <si>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</si>
  <si>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</si>
  <si>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</si>
  <si>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</si>
  <si>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</si>
  <si>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</si>
  <si>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</si>
  <si>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</si>
  <si>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</si>
  <si>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</si>
  <si>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</si>
  <si>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</si>
  <si>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</si>
  <si>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</si>
  <si>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</si>
  <si>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</si>
  <si>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</si>
  <si>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</si>
  <si>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</si>
  <si>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</si>
  <si>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</si>
  <si>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</si>
  <si>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</si>
  <si>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</si>
  <si>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</si>
  <si>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</si>
  <si>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</si>
  <si>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</si>
  <si>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</si>
  <si>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</si>
  <si>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</si>
  <si>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</si>
  <si>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</si>
  <si>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</si>
  <si>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</si>
  <si>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</si>
  <si>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</si>
  <si>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</si>
  <si>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</si>
  <si>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*ST泉为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</si>
  <si>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</si>
  <si>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</si>
  <si>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</si>
  <si>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</si>
  <si>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</si>
  <si>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</si>
  <si>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</si>
  <si>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</si>
  <si>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</si>
  <si>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</si>
  <si>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</si>
  <si>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</si>
  <si>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</si>
  <si>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</si>
  <si>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</si>
  <si>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</si>
  <si>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</si>
  <si>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</si>
  <si>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</si>
  <si>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</si>
  <si>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</si>
  <si>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</si>
  <si>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</si>
  <si>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</si>
  <si>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</si>
  <si>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</si>
  <si>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</si>
  <si>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</si>
  <si>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</si>
  <si>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</si>
  <si>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</si>
  <si>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</si>
  <si>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</si>
  <si>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</si>
  <si>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</si>
  <si>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</si>
  <si>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</si>
  <si>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</si>
  <si>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</si>
  <si>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</si>
  <si>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</si>
  <si>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</si>
  <si>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石药创新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</si>
  <si>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</si>
  <si>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</si>
  <si>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</si>
  <si>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</si>
  <si>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</si>
  <si>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</si>
  <si>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</si>
  <si>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</si>
  <si>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</si>
  <si>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</si>
  <si>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</si>
  <si>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</si>
  <si>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</si>
  <si>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</si>
  <si>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</si>
  <si>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</si>
  <si>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</si>
  <si>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</si>
  <si>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</si>
  <si>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</si>
  <si>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</si>
  <si>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</si>
  <si>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</si>
  <si>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</si>
  <si>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</si>
  <si>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</si>
  <si>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</si>
  <si>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</si>
  <si>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</si>
  <si>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</si>
  <si>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</si>
  <si>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</si>
  <si>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</si>
  <si>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</si>
  <si>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</si>
  <si>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</si>
  <si>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</si>
  <si>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</si>
  <si>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</si>
  <si>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</si>
  <si>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</si>
  <si>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</si>
  <si>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</si>
  <si>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</si>
  <si>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</si>
  <si>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</si>
  <si>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</si>
  <si>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</si>
  <si>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</si>
  <si>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</si>
  <si>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</si>
  <si>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</si>
  <si>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</si>
  <si>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</si>
  <si>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</si>
  <si>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</si>
  <si>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</si>
  <si>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</si>
  <si>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</si>
  <si>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</si>
  <si>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</si>
  <si>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</si>
  <si>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</si>
  <si>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ST派瑞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</si>
  <si>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</si>
  <si>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</si>
  <si>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</si>
  <si>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</si>
  <si>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</si>
  <si>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</si>
  <si>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</si>
  <si>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</si>
  <si>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</si>
  <si>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</si>
  <si>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</si>
  <si>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</si>
  <si>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</si>
  <si>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</si>
  <si>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</si>
  <si>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</si>
  <si>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</si>
  <si>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</si>
  <si>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</si>
  <si>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</si>
  <si>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</si>
  <si>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</si>
  <si>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</si>
  <si>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</si>
  <si>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</si>
  <si>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</si>
  <si>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</si>
  <si>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</si>
  <si>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</si>
  <si>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</si>
  <si>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</si>
  <si>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</si>
  <si>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</si>
  <si>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</si>
  <si>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</si>
  <si>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</si>
  <si>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</si>
  <si>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</si>
  <si>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</si>
  <si>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</si>
  <si>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</si>
  <si>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</si>
  <si>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</si>
  <si>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</si>
  <si>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</si>
  <si>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</si>
  <si>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</si>
  <si>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</si>
  <si>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</si>
  <si>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</si>
  <si>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</si>
  <si>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</si>
  <si>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</si>
  <si>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</si>
  <si>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</si>
  <si>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</si>
  <si>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</si>
  <si>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</si>
  <si>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</si>
  <si>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</si>
  <si>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</si>
  <si>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</si>
  <si>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</si>
  <si>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</si>
  <si>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</si>
  <si>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</si>
  <si>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</si>
  <si>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</si>
  <si>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</si>
  <si>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</si>
  <si>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</si>
  <si>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</si>
  <si>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</si>
  <si>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</si>
  <si>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</si>
  <si>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</si>
  <si>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</si>
  <si>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</si>
  <si>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</si>
  <si>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</si>
  <si>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</si>
  <si>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</si>
  <si>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</si>
  <si>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</si>
  <si>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</si>
  <si>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</si>
  <si>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</si>
  <si>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</si>
  <si>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</si>
  <si>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</si>
  <si>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</si>
  <si>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</si>
  <si>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</si>
  <si>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</si>
  <si>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</si>
  <si>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</si>
  <si>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</si>
  <si>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</si>
  <si>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</si>
  <si>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</si>
  <si>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</si>
  <si>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</si>
  <si>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</si>
  <si>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</si>
  <si>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</si>
  <si>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</si>
  <si>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</si>
  <si>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</si>
  <si>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</si>
  <si>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</si>
  <si>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</si>
  <si>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</si>
  <si>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</si>
  <si>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</si>
  <si>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</si>
  <si>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</si>
  <si>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</si>
  <si>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</si>
  <si>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</si>
  <si>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</si>
  <si>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</si>
  <si>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</si>
  <si>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</si>
  <si>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</si>
  <si>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</si>
  <si>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</si>
  <si>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</si>
  <si>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</si>
  <si>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</si>
  <si>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</si>
  <si>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</si>
  <si>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</si>
  <si>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</si>
  <si>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</si>
  <si>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</si>
  <si>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</si>
  <si>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</si>
  <si>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</si>
  <si>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</si>
  <si>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</si>
  <si>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</si>
  <si>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</si>
  <si>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</si>
  <si>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</si>
  <si>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</si>
  <si>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</si>
  <si>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</si>
  <si>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</si>
  <si>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</si>
  <si>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</si>
  <si>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</si>
  <si>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</si>
  <si>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</si>
  <si>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</si>
  <si>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</si>
  <si>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</si>
  <si>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</si>
  <si>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</si>
  <si>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</si>
  <si>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</si>
  <si>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</si>
  <si>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</si>
  <si>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</si>
  <si>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</si>
  <si>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</si>
  <si>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</si>
  <si>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</si>
  <si>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</si>
  <si>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</si>
  <si>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</si>
  <si>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</si>
  <si>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</si>
  <si>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</si>
  <si>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</si>
  <si>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</si>
  <si>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</si>
  <si>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</si>
  <si>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</si>
  <si>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</si>
  <si>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</si>
  <si>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</si>
  <si>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</si>
  <si>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</si>
  <si>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</si>
  <si>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</si>
  <si>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</si>
  <si>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</si>
  <si>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</si>
  <si>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</si>
  <si>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</si>
  <si>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*ST仕净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</si>
  <si>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</si>
  <si>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</si>
  <si>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</si>
  <si>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</si>
  <si>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</si>
  <si>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</si>
  <si>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</si>
  <si>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</si>
  <si>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</si>
  <si>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</si>
  <si>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</si>
  <si>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</si>
  <si>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</si>
  <si>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</si>
  <si>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</si>
  <si>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</si>
  <si>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</si>
  <si>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</si>
  <si>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</si>
  <si>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</si>
  <si>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</si>
  <si>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</si>
  <si>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</si>
  <si>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</si>
  <si>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</si>
  <si>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</si>
  <si>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</si>
  <si>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</si>
  <si>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</si>
  <si>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</si>
  <si>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</si>
  <si>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</si>
  <si>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</si>
  <si>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</si>
  <si>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</si>
  <si>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</si>
  <si>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</si>
  <si>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</si>
  <si>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</si>
  <si>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</si>
  <si>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</si>
  <si>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</si>
  <si>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</si>
  <si>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</si>
  <si>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</si>
  <si>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</si>
  <si>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</si>
  <si>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</si>
  <si>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</si>
  <si>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</si>
  <si>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</si>
  <si>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</si>
  <si>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</si>
  <si>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</si>
  <si>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</si>
  <si>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</si>
  <si>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</si>
  <si>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</si>
  <si>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</si>
  <si>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</si>
  <si>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</si>
  <si>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</si>
  <si>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</si>
  <si>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</si>
  <si>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</si>
  <si>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</si>
  <si>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</si>
  <si>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</si>
  <si>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</si>
  <si>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</si>
  <si>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</si>
  <si>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</si>
  <si>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</si>
  <si>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</si>
  <si>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</si>
  <si>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</si>
  <si>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</si>
  <si>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</si>
  <si>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</si>
  <si>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</si>
  <si>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</si>
  <si>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</si>
  <si>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</si>
  <si>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</si>
  <si>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</si>
  <si>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</si>
  <si>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</si>
  <si>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</si>
  <si>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</si>
  <si>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</si>
  <si>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</si>
  <si>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</si>
  <si>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</si>
  <si>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</si>
  <si>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</si>
  <si>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</si>
  <si>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</si>
  <si>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*ST元道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</si>
  <si>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</si>
  <si>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</si>
  <si>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</si>
  <si>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</si>
  <si>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</si>
  <si>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</si>
  <si>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</si>
  <si>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</si>
  <si>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</si>
  <si>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</si>
  <si>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</si>
  <si>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</si>
  <si>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</si>
  <si>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</si>
  <si>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</si>
  <si>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</si>
  <si>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</si>
  <si>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</si>
  <si>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</si>
  <si>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</si>
  <si>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</si>
  <si>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</si>
  <si>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</si>
  <si>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</si>
  <si>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</si>
  <si>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</si>
  <si>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</si>
  <si>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</si>
  <si>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</si>
  <si>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</si>
  <si>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</si>
  <si>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</si>
  <si>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</si>
  <si>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</si>
  <si>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</si>
  <si>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</si>
  <si>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</si>
  <si>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</si>
  <si>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</si>
  <si>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</si>
  <si>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</si>
  <si>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</si>
  <si>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</si>
  <si>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</si>
  <si>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</si>
  <si>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</si>
  <si>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</si>
  <si>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</si>
  <si>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</si>
  <si>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</si>
  <si>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</si>
  <si>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</si>
  <si>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</si>
  <si>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</si>
  <si>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</si>
  <si>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</si>
  <si>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</si>
  <si>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</si>
  <si>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</si>
  <si>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</si>
  <si>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</si>
  <si>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</si>
  <si>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</si>
  <si>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</si>
  <si>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</si>
  <si>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</si>
  <si>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</si>
  <si>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</si>
  <si>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</si>
  <si>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</si>
  <si>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</si>
  <si>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</si>
  <si>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</si>
  <si>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</si>
  <si>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</si>
  <si>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</si>
  <si>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</si>
  <si>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</si>
  <si>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</si>
  <si>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</si>
  <si>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</si>
  <si>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</si>
  <si>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</si>
  <si>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</si>
  <si>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</si>
  <si>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</si>
  <si>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</si>
  <si>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</si>
  <si>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</si>
  <si>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</si>
  <si>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</si>
  <si>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</si>
  <si>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</si>
  <si>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</si>
  <si>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</si>
  <si>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</si>
  <si>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</si>
  <si>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</si>
  <si>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华新科技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</si>
  <si>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</si>
  <si>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</si>
  <si>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</si>
  <si>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</si>
  <si>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</si>
  <si>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</si>
  <si>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</si>
  <si>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</si>
  <si>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</si>
  <si>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</si>
  <si>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</si>
  <si>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</si>
  <si>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</si>
  <si>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</si>
  <si>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</si>
  <si>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</si>
  <si>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</si>
  <si>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</si>
  <si>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</si>
  <si>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</si>
  <si>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</si>
  <si>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</si>
  <si>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</si>
  <si>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</si>
  <si>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</si>
  <si>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</si>
  <si>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</si>
  <si>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</si>
  <si>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</si>
  <si>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</si>
  <si>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</si>
  <si>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</si>
  <si>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</si>
  <si>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</si>
  <si>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</si>
  <si>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</si>
  <si>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</si>
  <si>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</si>
  <si>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</si>
  <si>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</si>
  <si>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</si>
  <si>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</si>
  <si>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</si>
  <si>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</si>
  <si>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</si>
  <si>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</si>
  <si>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</si>
  <si>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</si>
  <si>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</si>
  <si>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</si>
  <si>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</si>
  <si>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</si>
  <si>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</si>
  <si>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</si>
  <si>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</si>
  <si>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</si>
  <si>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</si>
  <si>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</si>
  <si>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</si>
  <si>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</si>
  <si>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</si>
  <si>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</si>
  <si>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</si>
  <si>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</si>
  <si>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</si>
  <si>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</si>
  <si>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</si>
  <si>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</si>
  <si>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</si>
  <si>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</si>
  <si>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</si>
  <si>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</si>
  <si>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</si>
  <si>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</si>
  <si>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</si>
  <si>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</si>
  <si>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</si>
  <si>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</si>
  <si>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</si>
  <si>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</si>
  <si>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</si>
  <si>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</si>
  <si>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</si>
  <si>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</si>
  <si>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</si>
  <si>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</si>
  <si>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</si>
  <si>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</si>
  <si>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</si>
  <si>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</si>
  <si>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</si>
  <si>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</si>
  <si>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</si>
  <si>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</si>
  <si>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</si>
  <si>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</si>
  <si>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</si>
  <si>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</si>
  <si>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</si>
  <si>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</si>
  <si>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</si>
  <si>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</si>
  <si>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</si>
  <si>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</si>
  <si>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</si>
  <si>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</si>
  <si>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</si>
  <si>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</si>
  <si>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</si>
  <si>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</si>
  <si>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</si>
  <si>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</si>
  <si>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</si>
  <si>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</si>
  <si>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</si>
  <si>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</si>
  <si>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</si>
  <si>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</si>
  <si>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</si>
  <si>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</si>
  <si>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</si>
  <si>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</si>
  <si>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</si>
  <si>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</si>
  <si>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</si>
  <si>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</si>
  <si>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</si>
  <si>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</si>
  <si>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</si>
  <si>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</si>
  <si>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</si>
  <si>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</si>
  <si>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</si>
  <si>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</si>
  <si>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</si>
  <si>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</si>
  <si>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</si>
  <si>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</si>
  <si>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</si>
  <si>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</si>
  <si>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</si>
  <si>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</si>
  <si>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</si>
  <si>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</si>
  <si>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</si>
  <si>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尚水智能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</si>
  <si>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</si>
  <si>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</si>
  <si>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</si>
  <si>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</si>
  <si>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</si>
  <si>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</si>
  <si>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</si>
  <si>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</si>
  <si>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</si>
  <si>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</si>
  <si>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</si>
  <si>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春光集团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</si>
  <si>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</si>
  <si>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</si>
  <si>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</si>
  <si>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</si>
  <si>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</si>
  <si>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</si>
  <si>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</si>
  <si>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</si>
  <si>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</si>
  <si>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</si>
  <si>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</si>
  <si>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</si>
  <si>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</si>
  <si>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</si>
  <si>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</si>
  <si>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</si>
  <si>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</si>
  <si>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</si>
  <si>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</si>
  <si>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</si>
  <si>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</si>
  <si>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</si>
  <si>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</si>
  <si>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</si>
  <si>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</si>
  <si>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</si>
  <si>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</si>
  <si>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</si>
  <si>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</si>
  <si>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</si>
  <si>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</si>
  <si>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</si>
  <si>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</si>
  <si>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</si>
  <si>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</si>
  <si>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</si>
  <si>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</si>
  <si>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</si>
  <si>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理奇智能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</si>
  <si>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</si>
  <si>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</si>
  <si>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</si>
  <si>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</si>
  <si>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</si>
  <si>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</si>
  <si>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</si>
  <si>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</si>
  <si>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</si>
  <si>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</si>
  <si>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</si>
  <si>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博苑新材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</si>
  <si>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</si>
  <si>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</si>
  <si>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</si>
  <si>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</si>
  <si>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</si>
  <si>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</si>
  <si>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</si>
  <si>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</si>
  <si>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</si>
  <si>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</si>
  <si>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</si>
  <si>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</si>
  <si>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</si>
  <si>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</si>
  <si>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</si>
  <si>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大普微-UW</t>
  </si>
  <si>
    <t>纳百川</t>
  </si>
  <si>
    <t>昊创瑞通</t>
  </si>
  <si>
    <t>高特电子</t>
  </si>
  <si>
    <t>新恒汇</t>
  </si>
  <si>
    <t>固德电材</t>
  </si>
  <si>
    <t>宏明电子</t>
  </si>
  <si>
    <t>慧谷新材</t>
  </si>
  <si>
    <t>新广益</t>
  </si>
  <si>
    <t>三瑞智能</t>
  </si>
  <si>
    <t>中航成飞</t>
  </si>
  <si>
    <t>华润新能源</t>
  </si>
  <si>
    <t>惠科股份</t>
  </si>
  <si>
    <t>浦发银行</t>
  </si>
  <si>
    <t>白云机场</t>
  </si>
  <si>
    <t>东风股份</t>
  </si>
  <si>
    <t>中国国贸</t>
  </si>
  <si>
    <t>XD首创环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</si>
  <si>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</si>
  <si>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</si>
  <si>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</si>
  <si>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</si>
  <si>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</si>
  <si>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</si>
  <si>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</si>
  <si>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</si>
  <si>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</si>
  <si>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</si>
  <si>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</si>
  <si>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</si>
  <si>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</si>
  <si>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</si>
  <si>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</si>
  <si>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</si>
  <si>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</si>
  <si>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</si>
  <si>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</si>
  <si>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</si>
  <si>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</si>
  <si>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</si>
  <si>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</si>
  <si>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</si>
  <si>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XD歌华有</t>
  </si>
  <si>
    <t>中直股份</t>
  </si>
  <si>
    <t>四川路桥</t>
  </si>
  <si>
    <t>保利发展</t>
  </si>
  <si>
    <t>中国联通</t>
  </si>
  <si>
    <t>宁波联合</t>
  </si>
  <si>
    <t>东望时代</t>
  </si>
  <si>
    <t>*ST九鼎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</si>
  <si>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</si>
  <si>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</si>
  <si>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</si>
  <si>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</si>
  <si>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</si>
  <si>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</si>
  <si>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</si>
  <si>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</si>
  <si>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</si>
  <si>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</si>
  <si>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</si>
  <si>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</si>
  <si>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</si>
  <si>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</si>
  <si>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</si>
  <si>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</si>
  <si>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</si>
  <si>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</si>
  <si>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</si>
  <si>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ST人福</t>
  </si>
  <si>
    <t>ST金花</t>
  </si>
  <si>
    <t>东风科技</t>
  </si>
  <si>
    <t>ST海泰</t>
  </si>
  <si>
    <t>*ST尼雅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</si>
  <si>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</si>
  <si>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</si>
  <si>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</si>
  <si>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</si>
  <si>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</si>
  <si>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</si>
  <si>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</si>
  <si>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</si>
  <si>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</si>
  <si>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</si>
  <si>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</si>
  <si>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</si>
  <si>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</si>
  <si>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</si>
  <si>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</si>
  <si>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*ST尔雅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</si>
  <si>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</si>
  <si>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</si>
  <si>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</si>
  <si>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</si>
  <si>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</si>
  <si>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</si>
  <si>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</si>
  <si>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</si>
  <si>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</si>
  <si>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</si>
  <si>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*ST长投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</si>
  <si>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</si>
  <si>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</si>
  <si>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</si>
  <si>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</si>
  <si>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</si>
  <si>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</si>
  <si>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</si>
  <si>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</si>
  <si>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波导股份</t>
  </si>
  <si>
    <t>国网信通</t>
  </si>
  <si>
    <t>XD重庆啤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</si>
  <si>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</si>
  <si>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</si>
  <si>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</si>
  <si>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</si>
  <si>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</si>
  <si>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</si>
  <si>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</si>
  <si>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XD长春一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</si>
  <si>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</si>
  <si>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</si>
  <si>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</si>
  <si>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</si>
  <si>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</si>
  <si>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</si>
  <si>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</si>
  <si>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</si>
  <si>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</si>
  <si>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</si>
  <si>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</si>
  <si>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</si>
  <si>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</si>
  <si>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</si>
  <si>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</si>
  <si>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</si>
  <si>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</si>
  <si>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</si>
  <si>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ST太重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</si>
  <si>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</si>
  <si>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</si>
  <si>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</si>
  <si>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</si>
  <si>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</si>
  <si>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</si>
  <si>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</si>
  <si>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</si>
  <si>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*ST瑞茂</t>
  </si>
  <si>
    <t>S佳通</t>
  </si>
  <si>
    <t>生益科技</t>
  </si>
  <si>
    <t>光电股份</t>
  </si>
  <si>
    <t>珠免集团</t>
  </si>
  <si>
    <t>莲花控股</t>
  </si>
  <si>
    <t>*ST国中</t>
  </si>
  <si>
    <t>兖矿能源</t>
  </si>
  <si>
    <t>泉阳泉</t>
  </si>
  <si>
    <t>华资实业</t>
  </si>
  <si>
    <t>长城电工</t>
  </si>
  <si>
    <t>中牧股份</t>
  </si>
  <si>
    <t>复星医药</t>
  </si>
  <si>
    <t>伊力特</t>
  </si>
  <si>
    <t>大唐电信</t>
  </si>
  <si>
    <t>金种子酒</t>
  </si>
  <si>
    <t>生物股份</t>
  </si>
  <si>
    <t>哈空调</t>
  </si>
  <si>
    <t>福日电子</t>
  </si>
  <si>
    <t>有研新材</t>
  </si>
  <si>
    <t>7天2板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</si>
  <si>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</si>
  <si>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</si>
  <si>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</si>
  <si>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</si>
  <si>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</si>
  <si>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</si>
  <si>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</si>
  <si>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</si>
  <si>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XD全柴动</t>
  </si>
  <si>
    <t>南山铝业</t>
  </si>
  <si>
    <t>海航控股</t>
  </si>
  <si>
    <t>太龙药业</t>
  </si>
  <si>
    <t>福瑞达</t>
  </si>
  <si>
    <t>亨通股份</t>
  </si>
  <si>
    <t>赤天化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</si>
  <si>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</si>
  <si>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</si>
  <si>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</si>
  <si>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</si>
  <si>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</si>
  <si>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</si>
  <si>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</si>
  <si>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</si>
  <si>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</si>
  <si>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</si>
  <si>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</si>
  <si>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ST云城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</si>
  <si>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</si>
  <si>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</si>
  <si>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</si>
  <si>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</si>
  <si>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</si>
  <si>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</si>
  <si>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</si>
  <si>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</si>
  <si>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</si>
  <si>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</si>
  <si>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</si>
  <si>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XD首旅酒</t>
  </si>
  <si>
    <t>中稀有色</t>
  </si>
  <si>
    <t>阳光照明</t>
  </si>
  <si>
    <t>北方股份</t>
  </si>
  <si>
    <t>*ST景谷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</si>
  <si>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</si>
  <si>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</si>
  <si>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</si>
  <si>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</si>
  <si>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</si>
  <si>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</si>
  <si>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</si>
  <si>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</si>
  <si>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</si>
  <si>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</si>
  <si>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</si>
  <si>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</si>
  <si>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</si>
  <si>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</si>
  <si>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</si>
  <si>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</si>
  <si>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苏豪时尚</t>
  </si>
  <si>
    <t>大恒科技</t>
  </si>
  <si>
    <t>ST信通</t>
  </si>
  <si>
    <t>电投水电</t>
  </si>
  <si>
    <t>三峡新材</t>
  </si>
  <si>
    <t>鄂尔多斯</t>
  </si>
  <si>
    <t>安琪酵母</t>
  </si>
  <si>
    <t>安迪苏</t>
  </si>
  <si>
    <t>维维股份</t>
  </si>
  <si>
    <t>华锡有色</t>
  </si>
  <si>
    <t>ST标准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</si>
  <si>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</si>
  <si>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</si>
  <si>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</si>
  <si>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</si>
  <si>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</si>
  <si>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</si>
  <si>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</si>
  <si>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XD农发种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</si>
  <si>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</si>
  <si>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</si>
  <si>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</si>
  <si>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</si>
  <si>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</si>
  <si>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</si>
  <si>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</si>
  <si>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</si>
  <si>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</si>
  <si>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</si>
  <si>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</si>
  <si>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</si>
  <si>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</si>
  <si>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</si>
  <si>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</si>
  <si>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</si>
  <si>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</si>
  <si>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</si>
  <si>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ST美克</t>
  </si>
  <si>
    <t>西藏珠峰</t>
  </si>
  <si>
    <t>中油工程</t>
  </si>
  <si>
    <t>*ST华幸</t>
  </si>
  <si>
    <t>航天动力</t>
  </si>
  <si>
    <t>长江通信</t>
  </si>
  <si>
    <t>恒力石化</t>
  </si>
  <si>
    <t>华阳股份</t>
  </si>
  <si>
    <t>XD山东高</t>
  </si>
  <si>
    <t>亚宝药业</t>
  </si>
  <si>
    <t>XD浙江龙</t>
  </si>
  <si>
    <t>旭光电子</t>
  </si>
  <si>
    <t>6天5板</t>
  </si>
  <si>
    <t>敦煌种业</t>
  </si>
  <si>
    <t>恒丰纸业</t>
  </si>
  <si>
    <t>国旅联合</t>
  </si>
  <si>
    <t>新农开发</t>
  </si>
  <si>
    <t>华微电子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</si>
  <si>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</si>
  <si>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</si>
  <si>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</si>
  <si>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</si>
  <si>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</si>
  <si>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</si>
  <si>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</si>
  <si>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</si>
  <si>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*ST三房</t>
  </si>
  <si>
    <t>7天3板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</si>
  <si>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</si>
  <si>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</si>
  <si>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</si>
  <si>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</si>
  <si>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</si>
  <si>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</si>
  <si>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</si>
  <si>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</si>
  <si>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</si>
  <si>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</si>
  <si>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</si>
  <si>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</si>
  <si>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</si>
  <si>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</si>
  <si>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</si>
  <si>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</si>
  <si>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</si>
  <si>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</si>
  <si>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</si>
  <si>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</si>
  <si>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江钨装备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</si>
  <si>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</si>
  <si>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</si>
  <si>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</si>
  <si>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</si>
  <si>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</si>
  <si>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</si>
  <si>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</si>
  <si>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</si>
  <si>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</si>
  <si>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XD小商品</t>
  </si>
  <si>
    <t>湘电股份</t>
  </si>
  <si>
    <t>江淮汽车</t>
  </si>
  <si>
    <t>天润乳业</t>
  </si>
  <si>
    <t>国药现代</t>
  </si>
  <si>
    <t>昆药集团</t>
  </si>
  <si>
    <t>*ST柳化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</si>
  <si>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</si>
  <si>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</si>
  <si>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</si>
  <si>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</si>
  <si>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</si>
  <si>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</si>
  <si>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</si>
  <si>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</si>
  <si>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</si>
  <si>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</si>
  <si>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</si>
  <si>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</si>
  <si>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</si>
  <si>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</si>
  <si>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</si>
  <si>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</si>
  <si>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</si>
  <si>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</si>
  <si>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</si>
  <si>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</si>
  <si>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</si>
  <si>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</si>
  <si>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</si>
  <si>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</si>
  <si>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</si>
  <si>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</si>
  <si>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*ST湘邮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</si>
  <si>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</si>
  <si>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</si>
  <si>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</si>
  <si>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</si>
  <si>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</si>
  <si>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</si>
  <si>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</si>
  <si>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</si>
  <si>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</si>
  <si>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</si>
  <si>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</si>
  <si>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</si>
  <si>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ST龙元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</si>
  <si>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</si>
  <si>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</si>
  <si>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</si>
  <si>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</si>
  <si>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</si>
  <si>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</si>
  <si>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</si>
  <si>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</si>
  <si>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XD安徽建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</si>
  <si>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</si>
  <si>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</si>
  <si>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</si>
  <si>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</si>
  <si>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</si>
  <si>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</si>
  <si>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</si>
  <si>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XD国药股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</si>
  <si>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</si>
  <si>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</si>
  <si>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</si>
  <si>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</si>
  <si>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</si>
  <si>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</si>
  <si>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</si>
  <si>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</si>
  <si>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XD华海药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</si>
  <si>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</si>
  <si>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</si>
  <si>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</si>
  <si>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</si>
  <si>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</si>
  <si>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</si>
  <si>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</si>
  <si>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</si>
  <si>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</si>
  <si>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</si>
  <si>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</si>
  <si>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</si>
  <si>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*ST亿晶</t>
  </si>
  <si>
    <t>国发股份</t>
  </si>
  <si>
    <t>狮头股份</t>
  </si>
  <si>
    <t>新赛股份</t>
  </si>
  <si>
    <t>*ST莫高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</si>
  <si>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</si>
  <si>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</si>
  <si>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</si>
  <si>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</si>
  <si>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</si>
  <si>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</si>
  <si>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</si>
  <si>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</si>
  <si>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</si>
  <si>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</si>
  <si>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</si>
  <si>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</si>
  <si>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</si>
  <si>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</si>
  <si>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</si>
  <si>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</si>
  <si>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</si>
  <si>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</si>
  <si>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</si>
  <si>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</si>
  <si>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</si>
  <si>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</si>
  <si>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</si>
  <si>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</si>
  <si>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</si>
  <si>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</si>
  <si>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</si>
  <si>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</si>
  <si>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</si>
  <si>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</si>
  <si>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*ST八钢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</si>
  <si>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</si>
  <si>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</si>
  <si>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</si>
  <si>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</si>
  <si>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</si>
  <si>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</si>
  <si>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</si>
  <si>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</si>
  <si>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</si>
  <si>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XD龙溪股</t>
  </si>
  <si>
    <t>大连圣亚</t>
  </si>
  <si>
    <t>益佰制药</t>
  </si>
  <si>
    <t>中孚实业</t>
  </si>
  <si>
    <t>新安股份</t>
  </si>
  <si>
    <t>光明乳业</t>
  </si>
  <si>
    <t>北大荒</t>
  </si>
  <si>
    <t>青岛啤酒</t>
  </si>
  <si>
    <t>方正科技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</si>
  <si>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</si>
  <si>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</si>
  <si>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</si>
  <si>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</si>
  <si>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</si>
  <si>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</si>
  <si>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</si>
  <si>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</si>
  <si>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</si>
  <si>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</si>
  <si>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</si>
  <si>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</si>
  <si>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</si>
  <si>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</si>
  <si>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</si>
  <si>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</si>
  <si>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</si>
  <si>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</si>
  <si>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</si>
  <si>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ST复华</t>
  </si>
  <si>
    <t>申达股份</t>
  </si>
  <si>
    <t>新世界</t>
  </si>
  <si>
    <t>华建集团</t>
  </si>
  <si>
    <t>龙头股份</t>
  </si>
  <si>
    <t>浙数文化</t>
  </si>
  <si>
    <t>大众公用</t>
  </si>
  <si>
    <t>东方明珠</t>
  </si>
  <si>
    <t>新黄浦</t>
  </si>
  <si>
    <t>浦东金桥</t>
  </si>
  <si>
    <t>国脉文化</t>
  </si>
  <si>
    <t>先导基电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</si>
  <si>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</si>
  <si>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</si>
  <si>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</si>
  <si>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</si>
  <si>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</si>
  <si>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</si>
  <si>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</si>
  <si>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</si>
  <si>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</si>
  <si>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</si>
  <si>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</si>
  <si>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</si>
  <si>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</si>
  <si>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</si>
  <si>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</si>
  <si>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</si>
  <si>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</si>
  <si>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</si>
  <si>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</si>
  <si>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</si>
  <si>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</si>
  <si>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</si>
  <si>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</si>
  <si>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</si>
  <si>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</si>
  <si>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</si>
  <si>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</si>
  <si>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ST金顶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</si>
  <si>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</si>
  <si>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</si>
  <si>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</si>
  <si>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</si>
  <si>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</si>
  <si>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</si>
  <si>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</si>
  <si>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</si>
  <si>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</si>
  <si>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</si>
  <si>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潞化科技</t>
  </si>
  <si>
    <t>亚通股份</t>
  </si>
  <si>
    <t>东百集团</t>
  </si>
  <si>
    <t>大商股份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</si>
  <si>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</si>
  <si>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</si>
  <si>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</si>
  <si>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</si>
  <si>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</si>
  <si>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</si>
  <si>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</si>
  <si>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</si>
  <si>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</si>
  <si>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XD苏美达</t>
  </si>
  <si>
    <t>盛屯矿业</t>
  </si>
  <si>
    <t>南宁百货</t>
  </si>
  <si>
    <t>南京医药</t>
  </si>
  <si>
    <t>金瑞矿业</t>
  </si>
  <si>
    <t>文投控股</t>
  </si>
  <si>
    <t>凤凰股份</t>
  </si>
  <si>
    <t>XD天津港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</si>
  <si>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</si>
  <si>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</si>
  <si>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</si>
  <si>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</si>
  <si>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</si>
  <si>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</si>
  <si>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</si>
  <si>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</si>
  <si>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</si>
  <si>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</si>
  <si>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重百集团</t>
  </si>
  <si>
    <t>*ST高科</t>
  </si>
  <si>
    <t>湖南海利</t>
  </si>
  <si>
    <t>爱旭股份</t>
  </si>
  <si>
    <t>北汽蓝谷</t>
  </si>
  <si>
    <t>*ST实达</t>
  </si>
  <si>
    <t>ST新华锦</t>
  </si>
  <si>
    <t>苏州高新</t>
  </si>
  <si>
    <t>中粮糖业</t>
  </si>
  <si>
    <t>丽尚国潮</t>
  </si>
  <si>
    <t>辽宁成大</t>
  </si>
  <si>
    <t>山西焦化</t>
  </si>
  <si>
    <t>华域汽车</t>
  </si>
  <si>
    <t>富维股份</t>
  </si>
  <si>
    <t>华远控股</t>
  </si>
  <si>
    <t>华银电力</t>
  </si>
  <si>
    <t>*ST闻泰</t>
  </si>
  <si>
    <t>江苏索普</t>
  </si>
  <si>
    <t>上实发展</t>
  </si>
  <si>
    <t>西藏旅游</t>
  </si>
  <si>
    <t>华润江中</t>
  </si>
  <si>
    <t>海航科技</t>
  </si>
  <si>
    <t>ST海钦</t>
  </si>
  <si>
    <t>锦江酒店</t>
  </si>
  <si>
    <t>XD厦门国</t>
  </si>
  <si>
    <t>浪潮软件</t>
  </si>
  <si>
    <t>长江传媒</t>
  </si>
  <si>
    <t>辽宁能源</t>
  </si>
  <si>
    <t>ST洲际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</si>
  <si>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</si>
  <si>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</si>
  <si>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</si>
  <si>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</si>
  <si>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</si>
  <si>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</si>
  <si>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</si>
  <si>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</si>
  <si>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</si>
  <si>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</si>
  <si>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</si>
  <si>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XD南京熊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</si>
  <si>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</si>
  <si>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</si>
  <si>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</si>
  <si>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</si>
  <si>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</si>
  <si>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</si>
  <si>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</si>
  <si>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</si>
  <si>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</si>
  <si>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</si>
  <si>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</si>
  <si>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</si>
  <si>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</si>
  <si>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</si>
  <si>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</si>
  <si>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</si>
  <si>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</si>
  <si>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</si>
  <si>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</si>
  <si>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</si>
  <si>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</si>
  <si>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华新建材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</si>
  <si>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</si>
  <si>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</si>
  <si>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</si>
  <si>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</si>
  <si>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</si>
  <si>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</si>
  <si>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</si>
  <si>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</si>
  <si>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</si>
  <si>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</si>
  <si>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</si>
  <si>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</si>
  <si>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ST中路</t>
  </si>
  <si>
    <t>耀皮玻璃</t>
  </si>
  <si>
    <t>隧道股份</t>
  </si>
  <si>
    <t>金开新能</t>
  </si>
  <si>
    <t>上海物贸</t>
  </si>
  <si>
    <t>益民集团</t>
  </si>
  <si>
    <t>新华传媒</t>
  </si>
  <si>
    <t>XD兰生股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</si>
  <si>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</si>
  <si>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</si>
  <si>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</si>
  <si>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</si>
  <si>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</si>
  <si>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</si>
  <si>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</si>
  <si>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</si>
  <si>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</si>
  <si>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</si>
  <si>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</si>
  <si>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</si>
  <si>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</si>
  <si>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</si>
  <si>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</si>
  <si>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</si>
  <si>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</si>
  <si>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</si>
  <si>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</si>
  <si>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</si>
  <si>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</si>
  <si>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</si>
  <si>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</si>
  <si>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</si>
  <si>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</si>
  <si>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</si>
  <si>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</si>
  <si>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</si>
  <si>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华能蒙电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</si>
  <si>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</si>
  <si>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</si>
  <si>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</si>
  <si>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</si>
  <si>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</si>
  <si>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</si>
  <si>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</si>
  <si>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</si>
  <si>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</si>
  <si>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</si>
  <si>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</si>
  <si>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</si>
  <si>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</si>
  <si>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</si>
  <si>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</si>
  <si>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</si>
  <si>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</si>
  <si>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</si>
  <si>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</si>
  <si>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</si>
  <si>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</si>
  <si>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</si>
  <si>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</si>
  <si>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*ST京化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</si>
  <si>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</si>
  <si>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</si>
  <si>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</si>
  <si>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</si>
  <si>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</si>
  <si>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</si>
  <si>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</si>
  <si>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</si>
  <si>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</si>
  <si>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</si>
  <si>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</si>
  <si>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</si>
  <si>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</si>
  <si>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</si>
  <si>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</si>
  <si>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</si>
  <si>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</si>
  <si>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</si>
  <si>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</si>
  <si>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</si>
  <si>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</si>
  <si>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</si>
  <si>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</si>
  <si>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</si>
  <si>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北投科技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</si>
  <si>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</si>
  <si>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</si>
  <si>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</si>
  <si>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</si>
  <si>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</si>
  <si>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</si>
  <si>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</si>
  <si>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</si>
  <si>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</si>
  <si>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</si>
  <si>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</si>
  <si>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*ST福成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</si>
  <si>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</si>
  <si>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</si>
  <si>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</si>
  <si>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</si>
  <si>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</si>
  <si>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</si>
  <si>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</si>
  <si>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</si>
  <si>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</si>
  <si>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</si>
  <si>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</si>
  <si>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XD北矿科</t>
  </si>
  <si>
    <t>苏豪汇鸿</t>
  </si>
  <si>
    <t>宁波能源</t>
  </si>
  <si>
    <t>XD惠而浦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</si>
  <si>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</si>
  <si>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</si>
  <si>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</si>
  <si>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</si>
  <si>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</si>
  <si>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</si>
  <si>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</si>
  <si>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</si>
  <si>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</si>
  <si>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</si>
  <si>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</si>
  <si>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</si>
  <si>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</si>
  <si>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</si>
  <si>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</si>
  <si>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</si>
  <si>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</si>
  <si>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</si>
  <si>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</si>
  <si>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</si>
  <si>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</si>
  <si>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</si>
  <si>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</si>
  <si>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ST文峰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</si>
  <si>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</si>
  <si>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</si>
  <si>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</si>
  <si>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</si>
  <si>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</si>
  <si>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</si>
  <si>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</si>
  <si>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</si>
  <si>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</si>
  <si>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XD道生天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</si>
  <si>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</si>
  <si>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</si>
  <si>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</si>
  <si>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</si>
  <si>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</si>
  <si>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</si>
  <si>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</si>
  <si>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</si>
  <si>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</si>
  <si>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</si>
  <si>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</si>
  <si>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</si>
  <si>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</si>
  <si>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</si>
  <si>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</si>
  <si>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</si>
  <si>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</si>
  <si>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</si>
  <si>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</si>
  <si>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</si>
  <si>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</si>
  <si>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</si>
  <si>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</si>
  <si>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振石股份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</si>
  <si>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</si>
  <si>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</si>
  <si>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</si>
  <si>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</si>
  <si>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</si>
  <si>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</si>
  <si>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</si>
  <si>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</si>
  <si>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</si>
  <si>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</si>
  <si>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</si>
  <si>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</si>
  <si>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XD深圳燃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</si>
  <si>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</si>
  <si>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</si>
  <si>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</si>
  <si>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</si>
  <si>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</si>
  <si>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</si>
  <si>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</si>
  <si>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</si>
  <si>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</si>
  <si>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</si>
  <si>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</si>
  <si>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</si>
  <si>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</si>
  <si>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</si>
  <si>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</si>
  <si>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</si>
  <si>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</si>
  <si>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</si>
  <si>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</si>
  <si>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</si>
  <si>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</si>
  <si>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</si>
  <si>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</si>
  <si>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</si>
  <si>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</si>
  <si>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</si>
  <si>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</si>
  <si>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</si>
  <si>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</si>
  <si>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</si>
  <si>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</si>
  <si>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</si>
  <si>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</si>
  <si>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</si>
  <si>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</si>
  <si>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</si>
  <si>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</si>
  <si>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</si>
  <si>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</si>
  <si>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</si>
  <si>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</si>
  <si>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XD百隆东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</si>
  <si>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</si>
  <si>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</si>
  <si>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</si>
  <si>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</si>
  <si>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</si>
  <si>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</si>
  <si>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</si>
  <si>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</si>
  <si>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</si>
  <si>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</si>
  <si>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</si>
  <si>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</si>
  <si>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</si>
  <si>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衢州东峰</t>
  </si>
  <si>
    <t>吉林高速</t>
  </si>
  <si>
    <t>大智慧</t>
  </si>
  <si>
    <t>瑞丰银行</t>
  </si>
  <si>
    <t>东吴证券</t>
  </si>
  <si>
    <t>九牧王</t>
  </si>
  <si>
    <t>三星电气</t>
  </si>
  <si>
    <t>北元化工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</si>
  <si>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</si>
  <si>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</si>
  <si>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</si>
  <si>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</si>
  <si>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</si>
  <si>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</si>
  <si>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</si>
  <si>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</si>
  <si>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</si>
  <si>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</si>
  <si>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</si>
  <si>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</si>
  <si>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</si>
  <si>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</si>
  <si>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</si>
  <si>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</si>
  <si>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</si>
  <si>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</si>
  <si>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</si>
  <si>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</si>
  <si>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</si>
  <si>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</si>
  <si>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</si>
  <si>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</si>
  <si>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</si>
  <si>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</si>
  <si>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</si>
  <si>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</si>
  <si>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</si>
  <si>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</si>
  <si>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</si>
  <si>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</si>
  <si>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</si>
  <si>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</si>
  <si>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</si>
  <si>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XD中创智</t>
  </si>
  <si>
    <t>ST际华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</si>
  <si>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</si>
  <si>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</si>
  <si>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</si>
  <si>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</si>
  <si>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</si>
  <si>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</si>
  <si>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</si>
  <si>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</si>
  <si>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</si>
  <si>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</si>
  <si>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</si>
  <si>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</si>
  <si>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</si>
  <si>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</si>
  <si>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</si>
  <si>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</si>
  <si>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</si>
  <si>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</si>
  <si>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</si>
  <si>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</si>
  <si>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</si>
  <si>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</si>
  <si>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XD福莱特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</si>
  <si>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</si>
  <si>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</si>
  <si>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</si>
  <si>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</si>
  <si>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</si>
  <si>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</si>
  <si>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</si>
  <si>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</si>
  <si>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</si>
  <si>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</si>
  <si>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</si>
  <si>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</si>
  <si>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</si>
  <si>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</si>
  <si>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</si>
  <si>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</si>
  <si>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</si>
  <si>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</si>
  <si>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</si>
  <si>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</si>
  <si>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</si>
  <si>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</si>
  <si>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</si>
  <si>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</si>
  <si>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</si>
  <si>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</si>
  <si>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</si>
  <si>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</si>
  <si>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</si>
  <si>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</si>
  <si>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</si>
  <si>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</si>
  <si>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</si>
  <si>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</si>
  <si>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</si>
  <si>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</si>
  <si>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</si>
  <si>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</si>
  <si>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</si>
  <si>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</si>
  <si>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</si>
  <si>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</si>
  <si>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</si>
  <si>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</si>
  <si>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</si>
  <si>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</si>
  <si>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</si>
  <si>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</si>
  <si>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8天5板</t>
  </si>
  <si>
    <t>鼎龙科技</t>
  </si>
  <si>
    <t>晶方科技</t>
  </si>
  <si>
    <t>联明股份</t>
  </si>
  <si>
    <t>顺景科技</t>
  </si>
  <si>
    <t>ST喜临门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</si>
  <si>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</si>
  <si>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</si>
  <si>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</si>
  <si>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</si>
  <si>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</si>
  <si>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</si>
  <si>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</si>
  <si>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</si>
  <si>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</si>
  <si>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</si>
  <si>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</si>
  <si>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</si>
  <si>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10天4板</t>
  </si>
  <si>
    <t>*ST华鹏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</si>
  <si>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</si>
  <si>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</si>
  <si>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</si>
  <si>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</si>
  <si>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</si>
  <si>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</si>
  <si>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</si>
  <si>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</si>
  <si>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</si>
  <si>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</si>
  <si>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</si>
  <si>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</si>
  <si>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</si>
  <si>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</si>
  <si>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XD华立股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</si>
  <si>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</si>
  <si>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</si>
  <si>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</si>
  <si>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</si>
  <si>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</si>
  <si>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</si>
  <si>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</si>
  <si>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XD中策橡</t>
  </si>
  <si>
    <t>科林电气</t>
  </si>
  <si>
    <t>鹿山新材</t>
  </si>
  <si>
    <t>可川科技</t>
  </si>
  <si>
    <t>成都燃气</t>
  </si>
  <si>
    <t>台华新材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</si>
  <si>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</si>
  <si>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</si>
  <si>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</si>
  <si>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</si>
  <si>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</si>
  <si>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</si>
  <si>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</si>
  <si>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</si>
  <si>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</si>
  <si>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</si>
  <si>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</si>
  <si>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</si>
  <si>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</si>
  <si>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</si>
  <si>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</si>
  <si>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</si>
  <si>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</si>
  <si>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</si>
  <si>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</si>
  <si>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</si>
  <si>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</si>
  <si>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</si>
  <si>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</si>
  <si>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</si>
  <si>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</si>
  <si>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</si>
  <si>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</si>
  <si>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</si>
  <si>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</si>
  <si>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</si>
  <si>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</si>
  <si>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</si>
  <si>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德力佳</t>
  </si>
  <si>
    <t>南华期货</t>
  </si>
  <si>
    <t>越剑智能</t>
  </si>
  <si>
    <t>新经典</t>
  </si>
  <si>
    <t>江苏华辰</t>
  </si>
  <si>
    <t>XD森特股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</si>
  <si>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</si>
  <si>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</si>
  <si>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</si>
  <si>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</si>
  <si>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</si>
  <si>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</si>
  <si>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</si>
  <si>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</si>
  <si>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</si>
  <si>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</si>
  <si>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</si>
  <si>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XD康尼机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</si>
  <si>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</si>
  <si>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</si>
  <si>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</si>
  <si>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</si>
  <si>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</si>
  <si>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</si>
  <si>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</si>
  <si>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</si>
  <si>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</si>
  <si>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</si>
  <si>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</si>
  <si>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</si>
  <si>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</si>
  <si>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</si>
  <si>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</si>
  <si>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</si>
  <si>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</si>
  <si>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</si>
  <si>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</si>
  <si>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</si>
  <si>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</si>
  <si>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</si>
  <si>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</si>
  <si>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</si>
  <si>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</si>
  <si>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</si>
  <si>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</si>
  <si>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</si>
  <si>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</si>
  <si>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</si>
  <si>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</si>
  <si>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</si>
  <si>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</si>
  <si>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</si>
  <si>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</si>
  <si>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</si>
  <si>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</si>
  <si>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</si>
  <si>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</si>
  <si>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</si>
  <si>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</si>
  <si>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</si>
  <si>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XD税友股</t>
  </si>
  <si>
    <t>万丰股份</t>
  </si>
  <si>
    <t>福斯达</t>
  </si>
  <si>
    <t>超颖电子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</si>
  <si>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</si>
  <si>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</si>
  <si>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</si>
  <si>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</si>
  <si>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</si>
  <si>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</si>
  <si>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</si>
  <si>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</si>
  <si>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</si>
  <si>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</si>
  <si>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9天5板</t>
  </si>
  <si>
    <t>海容冷链</t>
  </si>
  <si>
    <t>亚邦股份</t>
  </si>
  <si>
    <t>*ST网达</t>
  </si>
  <si>
    <t>亚通精工</t>
  </si>
  <si>
    <t>望变电气</t>
  </si>
  <si>
    <t>汇得科技</t>
  </si>
  <si>
    <t>润本股份</t>
  </si>
  <si>
    <t>中力股份</t>
  </si>
  <si>
    <t>公牛集团</t>
  </si>
  <si>
    <t>璞源材料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</si>
  <si>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</si>
  <si>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</si>
  <si>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</si>
  <si>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</si>
  <si>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</si>
  <si>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</si>
  <si>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</si>
  <si>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</si>
  <si>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</si>
  <si>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</si>
  <si>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</si>
  <si>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</si>
  <si>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</si>
  <si>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</si>
  <si>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</si>
  <si>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</si>
  <si>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</si>
  <si>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</si>
  <si>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</si>
  <si>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</si>
  <si>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</si>
  <si>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</si>
  <si>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</si>
  <si>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</si>
  <si>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</si>
  <si>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</si>
  <si>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</si>
  <si>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</si>
  <si>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</si>
  <si>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</si>
  <si>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</si>
  <si>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XD内蒙新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</si>
  <si>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</si>
  <si>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</si>
  <si>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</si>
  <si>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</si>
  <si>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</si>
  <si>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</si>
  <si>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</si>
  <si>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</si>
  <si>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锡华科技</t>
  </si>
  <si>
    <t>鼎际得</t>
  </si>
  <si>
    <t>宏和科技</t>
  </si>
  <si>
    <t>XD中国瑞</t>
  </si>
  <si>
    <t>电魂网络</t>
  </si>
  <si>
    <t>药明康德</t>
  </si>
  <si>
    <t>合盛硅业</t>
  </si>
  <si>
    <t>立航科技</t>
  </si>
  <si>
    <t>技源集团</t>
  </si>
  <si>
    <t>XD天龙股</t>
  </si>
  <si>
    <t>鸿远电子</t>
  </si>
  <si>
    <t>松发股份</t>
  </si>
  <si>
    <t>海鸥股份</t>
  </si>
  <si>
    <t>金帝股份</t>
  </si>
  <si>
    <t>永杰新材</t>
  </si>
  <si>
    <t>*ST联翔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</si>
  <si>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</si>
  <si>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</si>
  <si>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</si>
  <si>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</si>
  <si>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</si>
  <si>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</si>
  <si>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</si>
  <si>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</si>
  <si>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</si>
  <si>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</si>
  <si>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林平发展</t>
  </si>
  <si>
    <t>键邦股份</t>
  </si>
  <si>
    <t>日盈电子</t>
  </si>
  <si>
    <t>海天味业</t>
  </si>
  <si>
    <t>泰瑞机器</t>
  </si>
  <si>
    <t>斯达半导</t>
  </si>
  <si>
    <t>联合水务</t>
  </si>
  <si>
    <t>埃泰克</t>
  </si>
  <si>
    <t>华勤技术</t>
  </si>
  <si>
    <t>永新光学</t>
  </si>
  <si>
    <t>杭叉集团</t>
  </si>
  <si>
    <t>XD苏盐井</t>
  </si>
  <si>
    <t>海南华铁</t>
  </si>
  <si>
    <t>XD振德医</t>
  </si>
  <si>
    <t>得邦照明</t>
  </si>
  <si>
    <t>XD旭升集</t>
  </si>
  <si>
    <t>华懋科技</t>
  </si>
  <si>
    <t>扬州金泉</t>
  </si>
  <si>
    <t>应流股份</t>
  </si>
  <si>
    <t>维力医疗</t>
  </si>
  <si>
    <t>XD巍华新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</si>
  <si>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</si>
  <si>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</si>
  <si>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</si>
  <si>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</si>
  <si>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</si>
  <si>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</si>
  <si>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</si>
  <si>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</si>
  <si>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</si>
  <si>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XD梅轮电</t>
  </si>
  <si>
    <t>超讯科技</t>
  </si>
  <si>
    <t>DR苏农银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</si>
  <si>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</si>
  <si>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</si>
  <si>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</si>
  <si>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</si>
  <si>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</si>
  <si>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</si>
  <si>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</si>
  <si>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</si>
  <si>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</si>
  <si>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福华尚纬</t>
  </si>
  <si>
    <t>丰倍生物</t>
  </si>
  <si>
    <t>迪生力</t>
  </si>
  <si>
    <t>宏辉果蔬</t>
  </si>
  <si>
    <t>杰克科技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</si>
  <si>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</si>
  <si>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</si>
  <si>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</si>
  <si>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</si>
  <si>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</si>
  <si>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</si>
  <si>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</si>
  <si>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</si>
  <si>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至信股份</t>
  </si>
  <si>
    <t>和顺石油</t>
  </si>
  <si>
    <t>莱克电气</t>
  </si>
  <si>
    <t>华菱精工</t>
  </si>
  <si>
    <t>设计总院</t>
  </si>
  <si>
    <t>华达科技</t>
  </si>
  <si>
    <t>*ST东珠</t>
  </si>
  <si>
    <t>百傲化学</t>
  </si>
  <si>
    <t>傲农生物</t>
  </si>
  <si>
    <t>XD水星家</t>
  </si>
  <si>
    <t>日出东方</t>
  </si>
  <si>
    <t>辰欣药业</t>
  </si>
  <si>
    <t>柳药集团</t>
  </si>
  <si>
    <t>今世缘</t>
  </si>
  <si>
    <t>华新精科</t>
  </si>
  <si>
    <t>安邦护卫</t>
  </si>
  <si>
    <t>盛景微</t>
  </si>
  <si>
    <t>大明电子</t>
  </si>
  <si>
    <t>ST东时</t>
  </si>
  <si>
    <t>*ST亚士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</si>
  <si>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</si>
  <si>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</si>
  <si>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</si>
  <si>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</si>
  <si>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</si>
  <si>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</si>
  <si>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</si>
  <si>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XD基蛋生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</si>
  <si>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</si>
  <si>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</si>
  <si>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</si>
  <si>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</si>
  <si>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</si>
  <si>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</si>
  <si>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</si>
  <si>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</si>
  <si>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</si>
  <si>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</si>
  <si>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陕西旅游</t>
  </si>
  <si>
    <t>天富龙</t>
  </si>
  <si>
    <t>长裕集团</t>
  </si>
  <si>
    <t>建霖家居</t>
  </si>
  <si>
    <t>DR汇通控</t>
  </si>
  <si>
    <t>信捷电气</t>
  </si>
  <si>
    <t>友升股份</t>
  </si>
  <si>
    <t>鼎信通讯</t>
  </si>
  <si>
    <t>*ST集友</t>
  </si>
  <si>
    <t>嘉德利</t>
  </si>
  <si>
    <t>三力制药</t>
  </si>
  <si>
    <t>吉比特</t>
  </si>
  <si>
    <t>九洲药业</t>
  </si>
  <si>
    <t>勘设股份</t>
  </si>
  <si>
    <t>红板科技</t>
  </si>
  <si>
    <t>风语筑</t>
  </si>
  <si>
    <t>巨星农牧</t>
  </si>
  <si>
    <t>科沃斯</t>
  </si>
  <si>
    <t>展鹏科技</t>
  </si>
  <si>
    <t>八方股份</t>
  </si>
  <si>
    <t>XD恒为科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</si>
  <si>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</si>
  <si>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</si>
  <si>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</si>
  <si>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</si>
  <si>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</si>
  <si>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</si>
  <si>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</si>
  <si>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</si>
  <si>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</si>
  <si>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XD淳中科</t>
  </si>
  <si>
    <t>ST绝味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</si>
  <si>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</si>
  <si>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</si>
  <si>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</si>
  <si>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</si>
  <si>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</si>
  <si>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</si>
  <si>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</si>
  <si>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</si>
  <si>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</si>
  <si>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</si>
  <si>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</si>
  <si>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</si>
  <si>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</si>
  <si>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*ST起步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</si>
  <si>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</si>
  <si>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</si>
  <si>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</si>
  <si>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</si>
  <si>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</si>
  <si>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</si>
  <si>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</si>
  <si>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</si>
  <si>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</si>
  <si>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</si>
  <si>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</si>
  <si>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</si>
  <si>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</si>
  <si>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</si>
  <si>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</si>
  <si>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</si>
  <si>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</si>
  <si>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</si>
  <si>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ST东尼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</si>
  <si>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</si>
  <si>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</si>
  <si>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</si>
  <si>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</si>
  <si>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</si>
  <si>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</si>
  <si>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</si>
  <si>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</si>
  <si>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</si>
  <si>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</si>
  <si>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</si>
  <si>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</si>
  <si>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</si>
  <si>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XD索通发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</si>
  <si>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</si>
  <si>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</si>
  <si>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</si>
  <si>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</si>
  <si>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</si>
  <si>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</si>
  <si>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</si>
  <si>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</si>
  <si>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</si>
  <si>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</si>
  <si>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</si>
  <si>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</si>
  <si>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</si>
  <si>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</si>
  <si>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</si>
  <si>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</si>
  <si>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</si>
  <si>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</si>
  <si>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</si>
  <si>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</si>
  <si>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</si>
  <si>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</si>
  <si>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</si>
  <si>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</si>
  <si>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</si>
  <si>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</si>
  <si>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</si>
  <si>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</si>
  <si>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</si>
  <si>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</si>
  <si>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</si>
  <si>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</si>
  <si>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</si>
  <si>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</si>
  <si>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</si>
  <si>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</si>
  <si>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</si>
  <si>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</si>
  <si>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</si>
  <si>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</si>
  <si>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</si>
  <si>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</si>
  <si>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</si>
  <si>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</si>
  <si>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</si>
  <si>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</si>
  <si>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</si>
  <si>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</si>
  <si>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</si>
  <si>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</si>
  <si>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</si>
  <si>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</si>
  <si>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</si>
  <si>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</si>
  <si>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</si>
  <si>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</si>
  <si>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</si>
  <si>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</si>
  <si>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</si>
  <si>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</si>
  <si>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</si>
  <si>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</si>
  <si>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*ST海利</t>
  </si>
  <si>
    <t>良品铺子</t>
  </si>
  <si>
    <t>中广天择</t>
  </si>
  <si>
    <t>阿科力</t>
  </si>
  <si>
    <t>天安新材</t>
  </si>
  <si>
    <t>XD朗迪集</t>
  </si>
  <si>
    <t>博迈科</t>
  </si>
  <si>
    <t>XD鸣志电</t>
  </si>
  <si>
    <t>ST龙韵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</si>
  <si>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</si>
  <si>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</si>
  <si>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</si>
  <si>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</si>
  <si>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</si>
  <si>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</si>
  <si>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</si>
  <si>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</si>
  <si>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</si>
  <si>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</si>
  <si>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</si>
  <si>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</si>
  <si>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</si>
  <si>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</si>
  <si>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</si>
  <si>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</si>
  <si>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</si>
  <si>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</si>
  <si>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</si>
  <si>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</si>
  <si>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</si>
  <si>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</si>
  <si>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</si>
  <si>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</si>
  <si>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</si>
  <si>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</si>
  <si>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</si>
  <si>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</si>
  <si>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</si>
  <si>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</si>
  <si>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</si>
  <si>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</si>
  <si>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</si>
  <si>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</si>
  <si>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</si>
  <si>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</si>
  <si>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</si>
  <si>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</si>
  <si>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</si>
  <si>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ST嘉澳</t>
  </si>
  <si>
    <t>百合花</t>
  </si>
  <si>
    <t>ST华扬</t>
  </si>
  <si>
    <t>坤彩科技</t>
  </si>
  <si>
    <t>*ST利达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</si>
  <si>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</si>
  <si>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</si>
  <si>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</si>
  <si>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</si>
  <si>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</si>
  <si>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</si>
  <si>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</si>
  <si>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</si>
  <si>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</si>
  <si>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</si>
  <si>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</si>
  <si>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</si>
  <si>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</si>
  <si>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</si>
  <si>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</si>
  <si>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XD新化股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</si>
  <si>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</si>
  <si>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</si>
  <si>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</si>
  <si>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</si>
  <si>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</si>
  <si>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</si>
  <si>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</si>
  <si>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</si>
  <si>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</si>
  <si>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</si>
  <si>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</si>
  <si>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</si>
  <si>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</si>
  <si>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</si>
  <si>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</si>
  <si>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</si>
  <si>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XD春秋电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</si>
  <si>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</si>
  <si>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</si>
  <si>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</si>
  <si>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</si>
  <si>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</si>
  <si>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</si>
  <si>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</si>
  <si>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</si>
  <si>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</si>
  <si>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</si>
  <si>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</si>
  <si>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</si>
  <si>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</si>
  <si>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</si>
  <si>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</si>
  <si>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XD合力科</t>
  </si>
  <si>
    <t>金桥信息</t>
  </si>
  <si>
    <t>金徽酒</t>
  </si>
  <si>
    <t>XD世运电</t>
  </si>
  <si>
    <t>ST金鸿顺</t>
  </si>
  <si>
    <t>铁流股份</t>
  </si>
  <si>
    <t>中科软</t>
  </si>
  <si>
    <t>DR兴业股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</si>
  <si>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</si>
  <si>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</si>
  <si>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</si>
  <si>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</si>
  <si>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</si>
  <si>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</si>
  <si>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</si>
  <si>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</si>
  <si>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</si>
  <si>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</si>
  <si>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</si>
  <si>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</si>
  <si>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</si>
  <si>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ST百利</t>
  </si>
  <si>
    <t>5天4板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</si>
  <si>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</si>
  <si>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</si>
  <si>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</si>
  <si>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</si>
  <si>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</si>
  <si>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</si>
  <si>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</si>
  <si>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</si>
  <si>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</si>
  <si>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</si>
  <si>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</si>
  <si>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</si>
  <si>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</si>
  <si>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</si>
  <si>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</si>
  <si>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</si>
  <si>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</si>
  <si>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</si>
  <si>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</si>
  <si>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领先股份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</si>
  <si>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</si>
  <si>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</si>
  <si>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</si>
  <si>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</si>
  <si>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</si>
  <si>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</si>
  <si>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</si>
  <si>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XD众望布</t>
  </si>
  <si>
    <t>XD合兴股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</si>
  <si>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</si>
  <si>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</si>
  <si>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</si>
  <si>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</si>
  <si>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</si>
  <si>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</si>
  <si>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</si>
  <si>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</si>
  <si>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</si>
  <si>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</si>
  <si>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</si>
  <si>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</si>
  <si>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</si>
  <si>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</si>
  <si>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</si>
  <si>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</si>
  <si>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</si>
  <si>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</si>
  <si>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</si>
  <si>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</si>
  <si>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</si>
  <si>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</si>
  <si>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</si>
  <si>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</si>
  <si>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</si>
  <si>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</si>
  <si>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</si>
  <si>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</si>
  <si>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</si>
  <si>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</si>
  <si>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</si>
  <si>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</si>
  <si>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</si>
  <si>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</si>
  <si>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</si>
  <si>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XD嵘泰股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</si>
  <si>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</si>
  <si>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</si>
  <si>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</si>
  <si>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</si>
  <si>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</si>
  <si>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</si>
  <si>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</si>
  <si>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</si>
  <si>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</si>
  <si>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</si>
  <si>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</si>
  <si>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</si>
  <si>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</si>
  <si>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</si>
  <si>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</si>
  <si>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</si>
  <si>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</si>
  <si>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</si>
  <si>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</si>
  <si>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</si>
  <si>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</si>
  <si>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</si>
  <si>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</si>
  <si>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</si>
  <si>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</si>
  <si>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</si>
  <si>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</si>
  <si>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</si>
  <si>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</si>
  <si>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</si>
  <si>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</si>
  <si>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同力天启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</si>
  <si>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</si>
  <si>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</si>
  <si>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</si>
  <si>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</si>
  <si>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</si>
  <si>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</si>
  <si>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</si>
  <si>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</si>
  <si>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</si>
  <si>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</si>
  <si>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</si>
  <si>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</si>
  <si>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*ST帅电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</si>
  <si>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</si>
  <si>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</si>
  <si>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</si>
  <si>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</si>
  <si>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</si>
  <si>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</si>
  <si>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</si>
  <si>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XD拱东医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</si>
  <si>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</si>
  <si>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</si>
  <si>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</si>
  <si>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</si>
  <si>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</si>
  <si>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</si>
  <si>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</si>
  <si>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</si>
  <si>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</si>
  <si>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</si>
  <si>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</si>
  <si>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XD德昌股</t>
  </si>
  <si>
    <t>福莱蒽特</t>
  </si>
  <si>
    <t>XD春雪食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</si>
  <si>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</si>
  <si>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</si>
  <si>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</si>
  <si>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</si>
  <si>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</si>
  <si>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</si>
  <si>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</si>
  <si>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</si>
  <si>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</si>
  <si>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</si>
  <si>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</si>
  <si>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</si>
  <si>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</si>
  <si>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</si>
  <si>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</si>
  <si>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</si>
  <si>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</si>
  <si>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</si>
  <si>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</si>
  <si>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</si>
  <si>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</si>
  <si>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</si>
  <si>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</si>
  <si>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</si>
  <si>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</si>
  <si>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</si>
  <si>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ST瀚川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</si>
  <si>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</si>
  <si>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</si>
  <si>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</si>
  <si>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</si>
  <si>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</si>
  <si>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</si>
  <si>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</si>
  <si>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</si>
  <si>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</si>
  <si>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*ST天宜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</si>
  <si>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</si>
  <si>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</si>
  <si>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</si>
  <si>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</si>
  <si>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</si>
  <si>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</si>
  <si>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</si>
  <si>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</si>
  <si>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</si>
  <si>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</si>
  <si>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</si>
  <si>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</si>
  <si>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</si>
  <si>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</si>
  <si>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</si>
  <si>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</si>
  <si>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</si>
  <si>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</si>
  <si>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</si>
  <si>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</si>
  <si>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</si>
  <si>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</si>
  <si>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</si>
  <si>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</si>
  <si>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</si>
  <si>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*ST航图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</si>
  <si>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</si>
  <si>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</si>
  <si>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</si>
  <si>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</si>
  <si>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</si>
  <si>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</si>
  <si>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</si>
  <si>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</si>
  <si>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</si>
  <si>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</si>
  <si>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</si>
  <si>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</si>
  <si>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</si>
  <si>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</si>
  <si>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</si>
  <si>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</si>
  <si>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</si>
  <si>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</si>
  <si>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</si>
  <si>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</si>
  <si>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</si>
  <si>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</si>
  <si>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</si>
  <si>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</si>
  <si>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</si>
  <si>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</si>
  <si>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</si>
  <si>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</si>
  <si>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</si>
  <si>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</si>
  <si>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</si>
  <si>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</si>
  <si>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</si>
  <si>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</si>
  <si>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</si>
  <si>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</si>
  <si>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</si>
  <si>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</si>
  <si>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</si>
  <si>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</si>
  <si>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</si>
  <si>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</si>
  <si>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XD联测科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</si>
  <si>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</si>
  <si>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</si>
  <si>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</si>
  <si>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</si>
  <si>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</si>
  <si>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</si>
  <si>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</si>
  <si>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</si>
  <si>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</si>
  <si>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</si>
  <si>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</si>
  <si>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</si>
  <si>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</si>
  <si>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</si>
  <si>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</si>
  <si>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</si>
  <si>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</si>
  <si>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</si>
  <si>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</si>
  <si>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</si>
  <si>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</si>
  <si>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</si>
  <si>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</si>
  <si>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XD海尔生</t>
  </si>
  <si>
    <t>杰华特</t>
  </si>
  <si>
    <t>长盈通</t>
  </si>
  <si>
    <t>中船特气</t>
  </si>
  <si>
    <t>微导纳米</t>
  </si>
  <si>
    <t>芳源股份</t>
  </si>
  <si>
    <t>莱特光电</t>
  </si>
  <si>
    <t>XD华强科</t>
  </si>
  <si>
    <t>麒麟信安</t>
  </si>
  <si>
    <t>唯捷创芯</t>
  </si>
  <si>
    <t>先惠技术</t>
  </si>
  <si>
    <t>路德科技</t>
  </si>
  <si>
    <t>松井股份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</si>
  <si>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</si>
  <si>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</si>
  <si>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</si>
  <si>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</si>
  <si>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</si>
  <si>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</si>
  <si>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</si>
  <si>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</si>
  <si>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</si>
  <si>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</si>
  <si>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</si>
  <si>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</si>
  <si>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</si>
  <si>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</si>
  <si>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</si>
  <si>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</si>
  <si>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</si>
  <si>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百奥泰</t>
  </si>
  <si>
    <t>万德斯</t>
  </si>
  <si>
    <t>阿拉丁</t>
  </si>
  <si>
    <t>君实生物-U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</si>
  <si>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</si>
  <si>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</si>
  <si>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</si>
  <si>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</si>
  <si>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</si>
  <si>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</si>
  <si>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</si>
  <si>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</si>
  <si>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ST南新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</si>
  <si>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</si>
  <si>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</si>
  <si>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</si>
  <si>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</si>
  <si>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</si>
  <si>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</si>
  <si>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</si>
  <si>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</si>
  <si>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</si>
  <si>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</si>
  <si>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ST信安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</si>
  <si>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</si>
  <si>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</si>
  <si>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</si>
  <si>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</si>
  <si>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</si>
  <si>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</si>
  <si>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</si>
  <si>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</si>
  <si>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</si>
  <si>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</si>
  <si>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</si>
  <si>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</si>
  <si>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</si>
  <si>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</si>
  <si>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</si>
  <si>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</si>
  <si>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</si>
  <si>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</si>
  <si>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XD成都先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</si>
  <si>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</si>
  <si>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</si>
  <si>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</si>
  <si>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</si>
  <si>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</si>
  <si>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</si>
  <si>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</si>
  <si>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</si>
  <si>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</si>
  <si>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</si>
  <si>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</si>
  <si>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</si>
  <si>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</si>
  <si>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</si>
  <si>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</si>
  <si>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</si>
  <si>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</si>
  <si>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</si>
  <si>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</si>
  <si>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</si>
  <si>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</si>
  <si>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</si>
  <si>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</si>
  <si>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</si>
  <si>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</si>
  <si>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</si>
  <si>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</si>
  <si>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</si>
  <si>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</si>
  <si>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</si>
  <si>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</si>
  <si>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</si>
  <si>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</si>
  <si>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</si>
  <si>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DR中触媒</t>
  </si>
  <si>
    <t>华特气体</t>
  </si>
  <si>
    <t>凯立新材</t>
  </si>
  <si>
    <t>ST臻镭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</si>
  <si>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</si>
  <si>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</si>
  <si>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</si>
  <si>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</si>
  <si>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</si>
  <si>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</si>
  <si>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</si>
  <si>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</si>
  <si>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精进电动-W</t>
  </si>
  <si>
    <t>华秦科技</t>
  </si>
  <si>
    <t>理工导航</t>
  </si>
  <si>
    <t>坤恒顺维</t>
  </si>
  <si>
    <t>高铁电气</t>
  </si>
  <si>
    <t>敏芯股份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</si>
  <si>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</si>
  <si>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</si>
  <si>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</si>
  <si>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</si>
  <si>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</si>
  <si>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</si>
  <si>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</si>
  <si>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</si>
  <si>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</si>
  <si>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</si>
  <si>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</si>
  <si>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</si>
  <si>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</si>
  <si>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</si>
  <si>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</si>
  <si>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</si>
  <si>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</si>
  <si>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</si>
  <si>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</si>
  <si>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恒誉环保</t>
  </si>
  <si>
    <t>XD迈得医</t>
  </si>
  <si>
    <t>盟升电子</t>
  </si>
  <si>
    <t>燕麦科技</t>
  </si>
  <si>
    <t>仕佳光子</t>
  </si>
  <si>
    <t>康拓医疗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</si>
  <si>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</si>
  <si>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</si>
  <si>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</si>
  <si>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</si>
  <si>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</si>
  <si>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</si>
  <si>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</si>
  <si>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奥比中光-W</t>
  </si>
  <si>
    <t>瑞华泰</t>
  </si>
  <si>
    <t>赛微微电</t>
  </si>
  <si>
    <t>经纬恒润-W</t>
  </si>
  <si>
    <t>云从科技-UW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</si>
  <si>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</si>
  <si>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</si>
  <si>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</si>
  <si>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</si>
  <si>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</si>
  <si>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</si>
  <si>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</si>
  <si>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</si>
  <si>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DR三生国</t>
  </si>
  <si>
    <t>XD普源精</t>
  </si>
  <si>
    <t>赛科希德</t>
  </si>
  <si>
    <t>亿华通-U</t>
  </si>
  <si>
    <t>云天励飞-U</t>
  </si>
  <si>
    <t>博力威</t>
  </si>
  <si>
    <t>华虹宏力</t>
  </si>
  <si>
    <t>昱能科技</t>
  </si>
  <si>
    <t>DR三一重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</si>
  <si>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</si>
  <si>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</si>
  <si>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</si>
  <si>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</si>
  <si>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</si>
  <si>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</si>
  <si>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</si>
  <si>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</si>
  <si>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</si>
  <si>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</si>
  <si>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</si>
  <si>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</si>
  <si>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</si>
  <si>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</si>
  <si>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</si>
  <si>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</si>
  <si>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</si>
  <si>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</si>
  <si>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</si>
  <si>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</si>
  <si>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</si>
  <si>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盟科药业-U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</si>
  <si>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</si>
  <si>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</si>
  <si>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</si>
  <si>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</si>
  <si>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</si>
  <si>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</si>
  <si>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</si>
  <si>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</si>
  <si>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</si>
  <si>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</si>
  <si>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</si>
  <si>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</si>
  <si>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</si>
  <si>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</si>
  <si>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</si>
  <si>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XD钜泉科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</si>
  <si>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</si>
  <si>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</si>
  <si>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</si>
  <si>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</si>
  <si>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</si>
  <si>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</si>
  <si>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</si>
  <si>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</si>
  <si>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</si>
  <si>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</si>
  <si>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</si>
  <si>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</si>
  <si>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</si>
  <si>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</si>
  <si>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</si>
  <si>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</si>
  <si>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</si>
  <si>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</si>
  <si>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</si>
  <si>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</si>
  <si>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</si>
  <si>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</si>
  <si>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</si>
  <si>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</si>
  <si>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</si>
  <si>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智翔金泰-U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</si>
  <si>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</si>
  <si>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</si>
  <si>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</si>
  <si>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</si>
  <si>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</si>
  <si>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</si>
  <si>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</si>
  <si>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</si>
  <si>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</si>
  <si>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芯联集成-U</t>
  </si>
  <si>
    <t>阿特斯</t>
  </si>
  <si>
    <t>萤石网络</t>
  </si>
  <si>
    <t>晶升股份</t>
  </si>
  <si>
    <t>友车科技</t>
  </si>
  <si>
    <t>XD赛恩斯</t>
  </si>
  <si>
    <t>南芯科技</t>
  </si>
  <si>
    <t>九州一轨</t>
  </si>
  <si>
    <t>龙迅股份</t>
  </si>
  <si>
    <t>艾迪药业</t>
  </si>
  <si>
    <t>三未信安</t>
  </si>
  <si>
    <t>*ST清越</t>
  </si>
  <si>
    <t>源杰科技</t>
  </si>
  <si>
    <t>利元亨</t>
  </si>
  <si>
    <t>慧辰股份</t>
  </si>
  <si>
    <t>青达环保</t>
  </si>
  <si>
    <t>茂莱光学</t>
  </si>
  <si>
    <t>XD聚和材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</si>
  <si>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</si>
  <si>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</si>
  <si>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</si>
  <si>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</si>
  <si>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</si>
  <si>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</si>
  <si>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</si>
  <si>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慧智微-U</t>
  </si>
  <si>
    <t>苑东生物</t>
  </si>
  <si>
    <t>裕太微-U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</si>
  <si>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</si>
  <si>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</si>
  <si>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</si>
  <si>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</si>
  <si>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</si>
  <si>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</si>
  <si>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</si>
  <si>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</si>
  <si>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</si>
  <si>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</si>
  <si>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</si>
  <si>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</si>
  <si>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</si>
  <si>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</si>
  <si>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</si>
  <si>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</si>
  <si>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</si>
  <si>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和辉光电-U</t>
  </si>
  <si>
    <t>高华科技</t>
  </si>
  <si>
    <t>国科军工</t>
  </si>
  <si>
    <t>兴福电子</t>
  </si>
  <si>
    <t>广钢气体</t>
  </si>
  <si>
    <t>中巨芯-U</t>
  </si>
  <si>
    <t>瑞联新材</t>
  </si>
  <si>
    <t>科威尔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</si>
  <si>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</si>
  <si>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</si>
  <si>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</si>
  <si>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</si>
  <si>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</si>
  <si>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</si>
  <si>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</si>
  <si>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</si>
  <si>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</si>
  <si>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</si>
  <si>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</si>
  <si>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</si>
  <si>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</si>
  <si>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</si>
  <si>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</si>
  <si>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</si>
  <si>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</si>
  <si>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</si>
  <si>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</si>
  <si>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</si>
  <si>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</si>
  <si>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</si>
  <si>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地纬智能</t>
  </si>
  <si>
    <t>XD伟思医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</si>
  <si>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</si>
  <si>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</si>
  <si>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</si>
  <si>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</si>
  <si>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</si>
  <si>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</si>
  <si>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</si>
  <si>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</si>
  <si>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</si>
  <si>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</si>
  <si>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</si>
  <si>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</si>
  <si>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</si>
  <si>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</si>
  <si>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</si>
  <si>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</si>
  <si>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</si>
  <si>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</si>
  <si>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</si>
  <si>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</si>
  <si>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</si>
  <si>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</si>
  <si>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</si>
  <si>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</si>
  <si>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</si>
  <si>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</si>
  <si>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</si>
  <si>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</si>
  <si>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</si>
  <si>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</si>
  <si>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</si>
  <si>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</si>
  <si>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</si>
  <si>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</si>
  <si>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</si>
  <si>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</si>
  <si>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</si>
  <si>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*ST禾信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</si>
  <si>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</si>
  <si>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</si>
  <si>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</si>
  <si>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</si>
  <si>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</si>
  <si>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</si>
  <si>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</si>
  <si>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</si>
  <si>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</si>
  <si>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长进光子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</si>
  <si>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</si>
  <si>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</si>
  <si>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</si>
  <si>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</si>
  <si>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</si>
  <si>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</si>
  <si>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</si>
  <si>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</si>
  <si>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</si>
  <si>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</si>
  <si>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</si>
  <si>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</si>
  <si>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</si>
  <si>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</si>
  <si>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</si>
  <si>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</si>
  <si>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</si>
  <si>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</si>
  <si>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</si>
  <si>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</si>
  <si>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</si>
  <si>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</si>
  <si>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</si>
  <si>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</si>
  <si>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</si>
  <si>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</si>
  <si>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</si>
  <si>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</si>
  <si>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</si>
  <si>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</si>
  <si>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</si>
  <si>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</si>
  <si>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</si>
  <si>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</si>
  <si>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</si>
  <si>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</si>
  <si>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</si>
  <si>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</si>
  <si>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</si>
  <si>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</si>
  <si>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</si>
  <si>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</si>
  <si>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</si>
  <si>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</si>
  <si>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</si>
  <si>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</si>
  <si>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盛科通信-U</t>
  </si>
  <si>
    <t>振华新材</t>
  </si>
  <si>
    <t>佳驰科技</t>
  </si>
  <si>
    <t>成都华微</t>
  </si>
  <si>
    <t>益诺思</t>
  </si>
  <si>
    <t>宏微科技</t>
  </si>
  <si>
    <t>北芯生命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</si>
  <si>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</si>
  <si>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</si>
  <si>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</si>
  <si>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</si>
  <si>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</si>
  <si>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</si>
  <si>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</si>
  <si>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XD拉普拉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</si>
  <si>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</si>
  <si>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</si>
  <si>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</si>
  <si>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</si>
  <si>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</si>
  <si>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</si>
  <si>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</si>
  <si>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</si>
  <si>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</si>
  <si>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</si>
  <si>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</si>
  <si>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</si>
  <si>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</si>
  <si>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</si>
  <si>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</si>
  <si>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</si>
  <si>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</si>
  <si>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</si>
  <si>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</si>
  <si>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</si>
  <si>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XD五矿新</t>
  </si>
  <si>
    <t>视涯科技-UW</t>
  </si>
  <si>
    <t>西安奕材-U</t>
  </si>
  <si>
    <t>XD恒运昌</t>
  </si>
  <si>
    <t>悦安新材</t>
  </si>
  <si>
    <t>海天瑞声</t>
  </si>
  <si>
    <t>科思科技</t>
  </si>
  <si>
    <t>宏华数科</t>
  </si>
  <si>
    <t>昂瑞微-UW</t>
  </si>
  <si>
    <t>倍轻松</t>
  </si>
  <si>
    <t>摩尔线程-U</t>
  </si>
  <si>
    <t>百奥赛图</t>
  </si>
  <si>
    <t>艾为电子</t>
  </si>
  <si>
    <t>华纳药厂</t>
  </si>
  <si>
    <t>瑞可达</t>
  </si>
  <si>
    <t>沐曦股份-U</t>
  </si>
  <si>
    <t>健信超导</t>
  </si>
  <si>
    <t>优迅股份</t>
  </si>
  <si>
    <t>联讯仪器</t>
  </si>
  <si>
    <t>强一股份</t>
  </si>
  <si>
    <t>有研复材</t>
  </si>
  <si>
    <t>泰金新能</t>
  </si>
  <si>
    <t>易思维</t>
  </si>
  <si>
    <t>电科蓝天</t>
  </si>
  <si>
    <t>天能股份</t>
  </si>
  <si>
    <t>盛合晶微</t>
  </si>
  <si>
    <t>中芯国际</t>
  </si>
  <si>
    <t>九号公司-WD</t>
  </si>
  <si>
    <t>臻宝科技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</si>
  <si>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</si>
  <si>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</si>
  <si>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</si>
  <si>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</si>
  <si>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</si>
  <si>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</si>
  <si>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</si>
  <si>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</si>
  <si>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</si>
  <si>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</si>
  <si>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晨光电机</t>
  </si>
  <si>
    <t>创达新材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</si>
  <si>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</si>
  <si>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</si>
  <si>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</si>
  <si>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</si>
  <si>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</si>
  <si>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</si>
  <si>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</si>
  <si>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</si>
  <si>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</si>
  <si>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*ST田野</t>
  </si>
  <si>
    <t>卓兆点胶</t>
  </si>
  <si>
    <t>交大铁发</t>
  </si>
  <si>
    <t>新恒泰</t>
  </si>
  <si>
    <t>开发科技</t>
  </si>
  <si>
    <t>德众汽车</t>
  </si>
  <si>
    <t>康普化学</t>
  </si>
  <si>
    <t>精创电气</t>
  </si>
  <si>
    <t>觅睿科技</t>
  </si>
  <si>
    <t>广信科技</t>
  </si>
  <si>
    <t>国义招标</t>
  </si>
  <si>
    <t>蘅东光</t>
  </si>
  <si>
    <t>亿能电力</t>
  </si>
  <si>
    <t>诺思兰德</t>
  </si>
  <si>
    <t>爱舍伦</t>
  </si>
  <si>
    <t>隆源股份</t>
  </si>
  <si>
    <t>能之光</t>
  </si>
  <si>
    <t>百甲科技</t>
  </si>
  <si>
    <t>华洋赛车</t>
  </si>
  <si>
    <t>万源通</t>
  </si>
  <si>
    <t>西磁科技</t>
  </si>
  <si>
    <t>科润智控</t>
  </si>
  <si>
    <t>科拜尔</t>
  </si>
  <si>
    <t>天工股份</t>
  </si>
  <si>
    <t>普昂医疗</t>
  </si>
  <si>
    <t>柏星龙</t>
  </si>
  <si>
    <t>国亮新材</t>
  </si>
  <si>
    <t>XD吉林碳</t>
  </si>
  <si>
    <t>XD族兴新</t>
  </si>
  <si>
    <t>奥美森</t>
  </si>
  <si>
    <t>方正阀门</t>
  </si>
  <si>
    <t>金戈新材</t>
  </si>
  <si>
    <t>科马材料</t>
  </si>
  <si>
    <t>秋乐种业</t>
  </si>
  <si>
    <t>科力股份</t>
  </si>
  <si>
    <t>禾昌聚合</t>
  </si>
  <si>
    <t>*ST同辉</t>
  </si>
  <si>
    <t>大鹏工业</t>
  </si>
  <si>
    <t>汉鑫科技</t>
  </si>
  <si>
    <t>嘉晨智能</t>
  </si>
  <si>
    <t>科隆新材</t>
  </si>
  <si>
    <t>瑞华技术</t>
  </si>
  <si>
    <t>三协电机</t>
  </si>
  <si>
    <t>志高机械</t>
  </si>
  <si>
    <t>林泰新材</t>
  </si>
  <si>
    <t>宏海科技</t>
  </si>
  <si>
    <t>雷特科技</t>
  </si>
  <si>
    <t>聚星科技</t>
  </si>
  <si>
    <t>巴兰仕</t>
  </si>
  <si>
    <t>星图测控</t>
  </si>
  <si>
    <t>太湖远大</t>
  </si>
  <si>
    <t>美德乐</t>
  </si>
  <si>
    <t>江天科技</t>
  </si>
  <si>
    <t>中纺标</t>
  </si>
  <si>
    <t>芭薇股份</t>
  </si>
  <si>
    <t>南特科技</t>
  </si>
  <si>
    <t>鸿仕达</t>
  </si>
  <si>
    <t>永大股份</t>
  </si>
  <si>
    <t>XD胜业电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</si>
  <si>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</si>
  <si>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</si>
  <si>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</si>
  <si>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</si>
  <si>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</si>
  <si>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</si>
  <si>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</si>
  <si>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海昌智能</t>
  </si>
  <si>
    <t>长江能科</t>
  </si>
  <si>
    <t>农大科技</t>
  </si>
  <si>
    <t>北矿检测</t>
  </si>
  <si>
    <t>龙辰科技</t>
  </si>
  <si>
    <t>方大新材</t>
  </si>
  <si>
    <t>海圣医疗</t>
  </si>
  <si>
    <t>同享科技</t>
  </si>
  <si>
    <t>通宝光电</t>
  </si>
  <si>
    <t>七丰精工</t>
  </si>
  <si>
    <t>志晟信息</t>
  </si>
  <si>
    <t>XD五新智</t>
  </si>
  <si>
    <t>东方碳素</t>
  </si>
  <si>
    <t>恒道科技</t>
  </si>
  <si>
    <t>锐翔智能</t>
  </si>
  <si>
    <t>凯德石英</t>
  </si>
  <si>
    <t>爱得科技</t>
  </si>
  <si>
    <t>赛英电子</t>
  </si>
  <si>
    <t>海菲曼</t>
  </si>
  <si>
    <t>国源科技</t>
  </si>
  <si>
    <t>贝特瑞</t>
  </si>
  <si>
    <t>中科仪</t>
  </si>
  <si>
    <t>通领科技</t>
  </si>
  <si>
    <t>悦龙科技</t>
  </si>
  <si>
    <t>雷神科技</t>
  </si>
  <si>
    <t>瑞尔竞达</t>
  </si>
  <si>
    <t>三祥科技</t>
  </si>
  <si>
    <t>微创光电</t>
  </si>
  <si>
    <t>倍益康</t>
  </si>
  <si>
    <t>振宏股份</t>
  </si>
  <si>
    <t>沪江材料</t>
  </si>
  <si>
    <t>彩客科技</t>
  </si>
  <si>
    <t>众诚科技</t>
  </si>
  <si>
    <t>青矩技术</t>
  </si>
  <si>
    <t>新睿电子</t>
  </si>
  <si>
    <t>智新电子</t>
  </si>
  <si>
    <t>新天力</t>
  </si>
  <si>
    <t>朗信电气</t>
  </si>
  <si>
    <t>易实精密</t>
  </si>
  <si>
    <t>荣亿精密</t>
  </si>
  <si>
    <t>利通科技</t>
  </si>
  <si>
    <t>美登科技</t>
  </si>
  <si>
    <t>XD欧康医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</si>
  <si>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</si>
  <si>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</si>
  <si>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</si>
  <si>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</si>
  <si>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</si>
  <si>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</si>
  <si>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</si>
  <si>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</si>
  <si>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</si>
  <si>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</si>
  <si>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</si>
  <si>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</si>
  <si>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</si>
  <si>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</si>
  <si>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</si>
  <si>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</si>
  <si>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</si>
  <si>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</si>
  <si>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</si>
  <si>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</si>
  <si>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</si>
  <si>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</si>
  <si>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</si>
  <si>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*ST云创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</si>
  <si>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</si>
  <si>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</si>
  <si>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</si>
  <si>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</si>
  <si>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</si>
  <si>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</si>
  <si>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</si>
  <si>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</si>
  <si>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</si>
  <si>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</si>
  <si>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</si>
  <si>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</si>
  <si>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</si>
  <si>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</si>
  <si>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民士达</t>
  </si>
  <si>
    <t>朗鸿科技</t>
  </si>
  <si>
    <t>常辅股份</t>
  </si>
  <si>
    <t>硅烷科技</t>
  </si>
  <si>
    <t>康农种业</t>
  </si>
  <si>
    <t>海希通讯</t>
  </si>
  <si>
    <t>驰诚股份</t>
  </si>
  <si>
    <t>欧普泰</t>
  </si>
  <si>
    <t>恒拓开源</t>
  </si>
  <si>
    <t>苏轴股份</t>
  </si>
  <si>
    <t>路斯股份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</si>
  <si>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</si>
  <si>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</si>
  <si>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</si>
  <si>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</si>
  <si>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</si>
  <si>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</si>
  <si>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</si>
  <si>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</si>
  <si>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</si>
  <si>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</si>
  <si>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</si>
  <si>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</si>
  <si>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</si>
  <si>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</si>
  <si>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</si>
  <si>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</si>
  <si>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</si>
  <si>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</si>
  <si>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</si>
  <si>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</si>
  <si>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</si>
  <si>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XD殷图网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</si>
  <si>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</si>
  <si>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</si>
  <si>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</si>
  <si>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</si>
  <si>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</si>
  <si>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</si>
  <si>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</si>
  <si>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</si>
  <si>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</si>
  <si>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XD无锡晶</t>
  </si>
  <si>
    <t>凯腾精工</t>
  </si>
  <si>
    <t>雅达股份</t>
  </si>
  <si>
    <t>天润科技</t>
  </si>
  <si>
    <t>梓橦宫</t>
  </si>
  <si>
    <t>坤博精工</t>
  </si>
  <si>
    <t>国航远洋</t>
  </si>
  <si>
    <t>*ST康乐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</si>
  <si>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</si>
  <si>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</si>
  <si>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</si>
  <si>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</si>
  <si>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</si>
  <si>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</si>
  <si>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</si>
  <si>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</si>
  <si>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</si>
  <si>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</si>
  <si>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</si>
  <si>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</si>
  <si>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</si>
  <si>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</si>
  <si>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</si>
  <si>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</si>
  <si>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</si>
  <si>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</si>
  <si>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XD科强股</t>
  </si>
  <si>
    <t>数字人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</si>
  <si>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</si>
  <si>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</si>
  <si>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</si>
  <si>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</si>
  <si>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</si>
  <si>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</si>
  <si>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</si>
  <si>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</si>
  <si>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</si>
  <si>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</si>
  <si>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</si>
  <si>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</si>
  <si>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</si>
  <si>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</si>
  <si>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</si>
  <si>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</si>
  <si>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</si>
  <si>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</si>
  <si>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</si>
  <si>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</si>
  <si>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</si>
  <si>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</si>
  <si>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</si>
  <si>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</si>
  <si>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</si>
  <si>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</si>
  <si>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</si>
  <si>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</si>
  <si>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</si>
  <si>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</si>
  <si>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</si>
  <si>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</si>
  <si>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XD保丽洁</t>
  </si>
  <si>
    <t>云星宇</t>
  </si>
  <si>
    <t>奔朗新材</t>
  </si>
  <si>
    <t>曙光数创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</si>
  <si>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</si>
  <si>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</si>
  <si>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</si>
  <si>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</si>
  <si>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</si>
  <si>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</si>
  <si>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</si>
  <si>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</si>
  <si>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</si>
  <si>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XD万通液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</si>
  <si>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</si>
  <si>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</si>
  <si>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</si>
  <si>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</si>
  <si>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</si>
  <si>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</si>
  <si>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</si>
  <si>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</si>
  <si>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</si>
  <si>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</si>
  <si>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</si>
  <si>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</si>
  <si>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</si>
  <si>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</si>
  <si>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</si>
  <si>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</si>
  <si>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</si>
  <si>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</si>
  <si>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</si>
  <si>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</si>
  <si>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</si>
  <si>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</si>
  <si>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</si>
  <si>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</si>
  <si>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</si>
  <si>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</si>
  <si>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</si>
  <si>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</si>
  <si>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</si>
  <si>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</si>
  <si>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</si>
  <si>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</si>
  <si>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</si>
  <si>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</si>
  <si>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</si>
  <si>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</si>
  <si>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</si>
  <si>
    <t>科莱瑞迪</t>
  </si>
  <si>
    <t>吉和昌</t>
  </si>
  <si>
    <t>#数据来源:通达信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</si>
</sst>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27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tr">
        <f>"000001"</f>
        <v>000001</v>
      </c>
      <c r="B2" t="s">
        <v>15</v>
      </c>
      <c r="C2">
        <v>-2.41</v>
      </c>
      <c r="D2">
        <v>10.52</v>
      </c>
      <c r="E2" t="s">
        <v>16</v>
      </c>
      <c r="F2" t="s">
        <v>16</v>
      </c>
      <c r="H2">
        <v>-0.27</v>
      </c>
      <c r="I2">
        <v>0.57</v>
      </c>
      <c r="J2">
        <v>-2.32</v>
      </c>
      <c r="L2">
        <v>-0.37</v>
      </c>
      <c r="M2">
        <v>602.05</v>
      </c>
      <c r="N2">
        <v>0.01</v>
      </c>
      <c r="O2">
        <v>0.93</v>
      </c>
    </row>
    <row r="3" spans="1:15">
      <c r="A3" t="str">
        <f>"000002"</f>
        <v>000002</v>
      </c>
      <c r="B3" t="s">
        <v>17</v>
      </c>
      <c r="C3">
        <v>-0.97</v>
      </c>
      <c r="D3">
        <v>3.06</v>
      </c>
      <c r="E3" t="s">
        <v>16</v>
      </c>
      <c r="F3" t="s">
        <v>16</v>
      </c>
      <c r="H3">
        <v>0</v>
      </c>
      <c r="I3">
        <v>-4.67</v>
      </c>
      <c r="J3">
        <v>-3.16</v>
      </c>
      <c r="L3">
        <v>0.97</v>
      </c>
      <c r="M3">
        <v>1088.29</v>
      </c>
      <c r="N3">
        <v>0.05</v>
      </c>
      <c r="O3">
        <v>8.94</v>
      </c>
    </row>
    <row r="4" spans="1:15">
      <c r="A4" t="str">
        <f>"000004"</f>
        <v>000004</v>
      </c>
      <c r="B4" t="s">
        <v>18</v>
      </c>
      <c r="C4" t="s">
        <v>16</v>
      </c>
      <c r="D4">
        <v>2.76</v>
      </c>
      <c r="E4" t="s">
        <v>16</v>
      </c>
      <c r="F4" t="s">
        <v>16</v>
      </c>
      <c r="H4" t="s">
        <v>16</v>
      </c>
      <c r="I4">
        <v>0</v>
      </c>
      <c r="J4" t="s">
        <v>16</v>
      </c>
      <c r="L4" t="s">
        <v>16</v>
      </c>
      <c r="M4">
        <v>0</v>
      </c>
      <c r="N4" t="s">
        <v>16</v>
      </c>
      <c r="O4" t="s">
        <v>16</v>
      </c>
    </row>
    <row r="5" spans="1:15">
      <c r="A5" t="str">
        <f>"000006"</f>
        <v>000006</v>
      </c>
      <c r="B5" t="s">
        <v>19</v>
      </c>
      <c r="C5">
        <v>6.07</v>
      </c>
      <c r="D5">
        <v>8.21</v>
      </c>
      <c r="E5" t="s">
        <v>16</v>
      </c>
      <c r="F5" t="s">
        <v>16</v>
      </c>
      <c r="H5">
        <v>0</v>
      </c>
      <c r="I5">
        <v>-2.26</v>
      </c>
      <c r="J5">
        <v>-3.53</v>
      </c>
      <c r="L5">
        <v>0.13</v>
      </c>
      <c r="M5">
        <v>68.9</v>
      </c>
      <c r="N5">
        <v>0.01</v>
      </c>
      <c r="O5">
        <v>1.58</v>
      </c>
    </row>
    <row r="6" spans="1:15">
      <c r="A6" t="str">
        <f>"000007"</f>
        <v>000007</v>
      </c>
      <c r="B6" t="s">
        <v>20</v>
      </c>
      <c r="C6">
        <v>0.29</v>
      </c>
      <c r="D6">
        <v>13.68</v>
      </c>
      <c r="E6" t="s">
        <v>16</v>
      </c>
      <c r="F6" t="s">
        <v>16</v>
      </c>
      <c r="H6">
        <v>0.07</v>
      </c>
      <c r="I6">
        <v>9.88</v>
      </c>
      <c r="J6">
        <v>-2.29</v>
      </c>
      <c r="L6">
        <v>-0.29</v>
      </c>
      <c r="M6">
        <v>18.36</v>
      </c>
      <c r="N6">
        <v>0.01</v>
      </c>
      <c r="O6">
        <v>1.22</v>
      </c>
    </row>
    <row r="7" spans="1:15">
      <c r="A7" t="str">
        <f>"000008"</f>
        <v>000008</v>
      </c>
      <c r="B7" t="s">
        <v>21</v>
      </c>
      <c r="C7">
        <v>-2</v>
      </c>
      <c r="D7">
        <v>2.45</v>
      </c>
      <c r="E7" t="s">
        <v>16</v>
      </c>
      <c r="F7" t="s">
        <v>16</v>
      </c>
      <c r="H7">
        <v>0</v>
      </c>
      <c r="I7">
        <v>-4.67</v>
      </c>
      <c r="J7">
        <v>-2</v>
      </c>
      <c r="L7">
        <v>0</v>
      </c>
      <c r="M7">
        <v>6.9</v>
      </c>
      <c r="N7">
        <v>0</v>
      </c>
      <c r="O7">
        <v>0.43</v>
      </c>
    </row>
    <row r="8" spans="1:15">
      <c r="A8" t="str">
        <f>"000009"</f>
        <v>000009</v>
      </c>
      <c r="B8" t="s">
        <v>22</v>
      </c>
      <c r="C8">
        <v>-2.15</v>
      </c>
      <c r="D8">
        <v>6.84</v>
      </c>
      <c r="E8" t="s">
        <v>16</v>
      </c>
      <c r="F8" t="s">
        <v>16</v>
      </c>
      <c r="H8">
        <v>0.15</v>
      </c>
      <c r="I8">
        <v>-3.53</v>
      </c>
      <c r="J8">
        <v>-1.87</v>
      </c>
      <c r="L8">
        <v>-0.29</v>
      </c>
      <c r="M8">
        <v>16.03</v>
      </c>
      <c r="N8">
        <v>0</v>
      </c>
      <c r="O8">
        <v>0.24</v>
      </c>
    </row>
    <row r="9" spans="1:15">
      <c r="A9" t="str">
        <f>"000010"</f>
        <v>000010</v>
      </c>
      <c r="B9" t="s">
        <v>23</v>
      </c>
      <c r="C9">
        <v>-5</v>
      </c>
      <c r="D9">
        <v>1.9</v>
      </c>
      <c r="E9" t="s">
        <v>16</v>
      </c>
      <c r="F9" t="s">
        <v>16</v>
      </c>
      <c r="H9">
        <v>0</v>
      </c>
      <c r="I9">
        <v>-11.63</v>
      </c>
      <c r="J9">
        <v>-5.94</v>
      </c>
      <c r="L9">
        <v>-1</v>
      </c>
      <c r="M9">
        <v>61.64</v>
      </c>
      <c r="N9">
        <v>0.04</v>
      </c>
      <c r="O9">
        <v>0.85</v>
      </c>
    </row>
    <row r="10" spans="1:15">
      <c r="A10" t="str">
        <f>"000011"</f>
        <v>000011</v>
      </c>
      <c r="B10" t="s">
        <v>24</v>
      </c>
      <c r="C10">
        <v>-1.48</v>
      </c>
      <c r="D10">
        <v>7.33</v>
      </c>
      <c r="E10" t="s">
        <v>16</v>
      </c>
      <c r="F10" t="s">
        <v>16</v>
      </c>
      <c r="H10">
        <v>-0.4</v>
      </c>
      <c r="I10">
        <v>1.81</v>
      </c>
      <c r="J10">
        <v>-7.22</v>
      </c>
      <c r="L10">
        <v>-0.54</v>
      </c>
      <c r="M10">
        <v>44.47</v>
      </c>
      <c r="N10">
        <v>0.03</v>
      </c>
      <c r="O10">
        <v>9.39</v>
      </c>
    </row>
    <row r="11" spans="1:15">
      <c r="A11" t="str">
        <f>"000012"</f>
        <v>000012</v>
      </c>
      <c r="B11" t="s">
        <v>25</v>
      </c>
      <c r="C11">
        <v>-7.13</v>
      </c>
      <c r="D11">
        <v>4.3</v>
      </c>
      <c r="E11" t="s">
        <v>16</v>
      </c>
      <c r="F11" t="s">
        <v>16</v>
      </c>
      <c r="H11">
        <v>0</v>
      </c>
      <c r="I11">
        <v>2.38</v>
      </c>
      <c r="J11">
        <v>-4.23</v>
      </c>
      <c r="K11" t="s">
        <v>26</v>
      </c>
      <c r="L11">
        <v>-3.67</v>
      </c>
      <c r="M11">
        <v>1255.89</v>
      </c>
      <c r="N11">
        <v>0.21</v>
      </c>
      <c r="O11">
        <v>0.92</v>
      </c>
    </row>
    <row r="12" spans="1:15">
      <c r="A12" t="str">
        <f>"000014"</f>
        <v>000014</v>
      </c>
      <c r="B12" t="s">
        <v>27</v>
      </c>
      <c r="C12">
        <v>0.4</v>
      </c>
      <c r="D12">
        <v>9.93</v>
      </c>
      <c r="E12" t="s">
        <v>16</v>
      </c>
      <c r="F12" t="s">
        <v>16</v>
      </c>
      <c r="H12">
        <v>0.2</v>
      </c>
      <c r="I12">
        <v>-5.16</v>
      </c>
      <c r="J12">
        <v>-3.4</v>
      </c>
      <c r="L12">
        <v>-0.3</v>
      </c>
      <c r="M12">
        <v>4.63</v>
      </c>
      <c r="N12">
        <v>0</v>
      </c>
      <c r="O12">
        <v>0.71</v>
      </c>
    </row>
    <row r="13" spans="1:15">
      <c r="A13" t="str">
        <f>"000016"</f>
        <v>000016</v>
      </c>
      <c r="B13" t="s">
        <v>28</v>
      </c>
      <c r="C13">
        <v>-4.96</v>
      </c>
      <c r="D13">
        <v>2.68</v>
      </c>
      <c r="E13">
        <v>96.56</v>
      </c>
      <c r="F13" t="s">
        <v>16</v>
      </c>
      <c r="H13">
        <v>0</v>
      </c>
      <c r="I13">
        <v>-16.51</v>
      </c>
      <c r="J13">
        <v>-5.3</v>
      </c>
      <c r="L13">
        <v>0</v>
      </c>
      <c r="M13">
        <v>23.49</v>
      </c>
      <c r="N13">
        <v>0.01</v>
      </c>
      <c r="O13">
        <v>1.14</v>
      </c>
    </row>
    <row r="14" spans="1:15">
      <c r="A14" t="str">
        <f>"000017"</f>
        <v>000017</v>
      </c>
      <c r="B14" t="s">
        <v>29</v>
      </c>
      <c r="C14">
        <v>-0.19</v>
      </c>
      <c r="D14">
        <v>5.15</v>
      </c>
      <c r="E14" t="s">
        <v>16</v>
      </c>
      <c r="F14" t="s">
        <v>16</v>
      </c>
      <c r="H14">
        <v>-0.38</v>
      </c>
      <c r="I14">
        <v>-1.9</v>
      </c>
      <c r="J14">
        <v>-1.53</v>
      </c>
      <c r="L14">
        <v>0</v>
      </c>
      <c r="M14">
        <v>11.76</v>
      </c>
      <c r="N14">
        <v>0.01</v>
      </c>
      <c r="O14">
        <v>0.42</v>
      </c>
    </row>
    <row r="15" spans="1:15">
      <c r="A15" t="str">
        <f>"000019"</f>
        <v>000019</v>
      </c>
      <c r="B15" t="s">
        <v>30</v>
      </c>
      <c r="C15">
        <v>-0.96</v>
      </c>
      <c r="D15">
        <v>6.16</v>
      </c>
      <c r="E15" t="s">
        <v>16</v>
      </c>
      <c r="F15" t="s">
        <v>16</v>
      </c>
      <c r="H15">
        <v>-0.15</v>
      </c>
      <c r="I15">
        <v>-3.45</v>
      </c>
      <c r="J15">
        <v>-0.81</v>
      </c>
      <c r="L15">
        <v>-0.48</v>
      </c>
      <c r="M15">
        <v>13.93</v>
      </c>
      <c r="N15">
        <v>0.01</v>
      </c>
      <c r="O15">
        <v>1.33</v>
      </c>
    </row>
    <row r="16" spans="1:15">
      <c r="A16" t="str">
        <f>"000020"</f>
        <v>000020</v>
      </c>
      <c r="B16" t="s">
        <v>31</v>
      </c>
      <c r="C16">
        <v>-2.78</v>
      </c>
      <c r="D16">
        <v>11.54</v>
      </c>
      <c r="E16" t="s">
        <v>16</v>
      </c>
      <c r="F16" t="s">
        <v>16</v>
      </c>
      <c r="H16">
        <v>0.26</v>
      </c>
      <c r="I16">
        <v>-6.56</v>
      </c>
      <c r="J16">
        <v>-2.7</v>
      </c>
      <c r="L16">
        <v>-0.08</v>
      </c>
      <c r="M16">
        <v>23.13</v>
      </c>
      <c r="N16">
        <v>0.03</v>
      </c>
      <c r="O16">
        <v>1.31</v>
      </c>
    </row>
    <row r="17" spans="1:15">
      <c r="A17" t="str">
        <f>"000021"</f>
        <v>000021</v>
      </c>
      <c r="B17" t="s">
        <v>32</v>
      </c>
      <c r="C17">
        <v>2.63</v>
      </c>
      <c r="D17">
        <v>44.04</v>
      </c>
      <c r="E17" t="s">
        <v>16</v>
      </c>
      <c r="F17" t="s">
        <v>16</v>
      </c>
      <c r="H17">
        <v>-0.17</v>
      </c>
      <c r="I17">
        <v>11.61</v>
      </c>
      <c r="J17">
        <v>-4.63</v>
      </c>
      <c r="L17">
        <v>-0.14</v>
      </c>
      <c r="M17">
        <v>7663.72</v>
      </c>
      <c r="N17">
        <v>0.17</v>
      </c>
      <c r="O17">
        <v>1.48</v>
      </c>
    </row>
    <row r="18" spans="1:15">
      <c r="A18" t="str">
        <f>"000025"</f>
        <v>000025</v>
      </c>
      <c r="B18" t="s">
        <v>33</v>
      </c>
      <c r="C18">
        <v>-3.15</v>
      </c>
      <c r="D18">
        <v>15.37</v>
      </c>
      <c r="E18" t="s">
        <v>16</v>
      </c>
      <c r="F18" t="s">
        <v>16</v>
      </c>
      <c r="H18">
        <v>0.52</v>
      </c>
      <c r="I18">
        <v>0.85</v>
      </c>
      <c r="J18">
        <v>-5.71</v>
      </c>
      <c r="L18">
        <v>-1.07</v>
      </c>
      <c r="M18">
        <v>30.46</v>
      </c>
      <c r="N18">
        <v>0.01</v>
      </c>
      <c r="O18">
        <v>0.5</v>
      </c>
    </row>
    <row r="19" spans="1:15">
      <c r="A19" t="str">
        <f>"000026"</f>
        <v>000026</v>
      </c>
      <c r="B19" t="s">
        <v>34</v>
      </c>
      <c r="C19">
        <v>-0.05</v>
      </c>
      <c r="D19">
        <v>21.31</v>
      </c>
      <c r="E19" t="s">
        <v>16</v>
      </c>
      <c r="F19" t="s">
        <v>16</v>
      </c>
      <c r="H19">
        <v>-0.04</v>
      </c>
      <c r="I19">
        <v>-0.61</v>
      </c>
      <c r="J19">
        <v>-0.88</v>
      </c>
      <c r="L19">
        <v>-0.56</v>
      </c>
      <c r="M19">
        <v>87.34</v>
      </c>
      <c r="N19">
        <v>0.02</v>
      </c>
      <c r="O19">
        <v>0.83</v>
      </c>
    </row>
    <row r="20" spans="1:15">
      <c r="A20" t="str">
        <f>"000027"</f>
        <v>000027</v>
      </c>
      <c r="B20" t="s">
        <v>35</v>
      </c>
      <c r="C20">
        <v>-6.65</v>
      </c>
      <c r="D20">
        <v>6.88</v>
      </c>
      <c r="E20" t="s">
        <v>16</v>
      </c>
      <c r="F20" t="s">
        <v>16</v>
      </c>
      <c r="H20">
        <v>-0.14</v>
      </c>
      <c r="I20">
        <v>-11.68</v>
      </c>
      <c r="J20">
        <v>-6.9</v>
      </c>
      <c r="L20">
        <v>-0.68</v>
      </c>
      <c r="M20">
        <v>47.29</v>
      </c>
      <c r="N20">
        <v>0.01</v>
      </c>
      <c r="O20">
        <v>0.27</v>
      </c>
    </row>
    <row r="21" spans="1:15">
      <c r="A21" t="str">
        <f>"000028"</f>
        <v>000028</v>
      </c>
      <c r="B21" t="s">
        <v>36</v>
      </c>
      <c r="C21">
        <v>-0.26</v>
      </c>
      <c r="D21">
        <v>22.6</v>
      </c>
      <c r="E21" t="s">
        <v>16</v>
      </c>
      <c r="F21" t="s">
        <v>16</v>
      </c>
      <c r="H21">
        <v>-0.08</v>
      </c>
      <c r="I21">
        <v>-0.44</v>
      </c>
      <c r="J21">
        <v>-1.09</v>
      </c>
      <c r="L21">
        <v>0.09</v>
      </c>
      <c r="M21">
        <v>40.37</v>
      </c>
      <c r="N21">
        <v>0.01</v>
      </c>
      <c r="O21">
        <v>3.36</v>
      </c>
    </row>
    <row r="22" spans="1:15">
      <c r="A22" t="str">
        <f>"000029"</f>
        <v>000029</v>
      </c>
      <c r="B22" t="s">
        <v>37</v>
      </c>
      <c r="C22">
        <v>2.31</v>
      </c>
      <c r="D22">
        <v>29.23</v>
      </c>
      <c r="E22" t="s">
        <v>16</v>
      </c>
      <c r="F22" t="s">
        <v>16</v>
      </c>
      <c r="H22">
        <v>0.07</v>
      </c>
      <c r="I22">
        <v>24.86</v>
      </c>
      <c r="J22">
        <v>-0.41</v>
      </c>
      <c r="K22" t="s">
        <v>38</v>
      </c>
      <c r="L22">
        <v>0.98</v>
      </c>
      <c r="M22">
        <v>381.71</v>
      </c>
      <c r="N22">
        <v>0.05</v>
      </c>
      <c r="O22">
        <v>0.62</v>
      </c>
    </row>
    <row r="23" spans="1:15">
      <c r="A23" t="str">
        <f>"000030"</f>
        <v>000030</v>
      </c>
      <c r="B23" t="s">
        <v>39</v>
      </c>
      <c r="C23">
        <v>-0.7</v>
      </c>
      <c r="D23">
        <v>4.26</v>
      </c>
      <c r="E23" t="s">
        <v>16</v>
      </c>
      <c r="F23" t="s">
        <v>16</v>
      </c>
      <c r="H23">
        <v>-0.22</v>
      </c>
      <c r="I23">
        <v>-5.54</v>
      </c>
      <c r="J23">
        <v>-1.16</v>
      </c>
      <c r="L23">
        <v>-0.23</v>
      </c>
      <c r="M23">
        <v>9.46</v>
      </c>
      <c r="N23">
        <v>0</v>
      </c>
      <c r="O23">
        <v>0.14</v>
      </c>
    </row>
    <row r="24" spans="1:15">
      <c r="A24" t="str">
        <f>"000031"</f>
        <v>000031</v>
      </c>
      <c r="B24" t="s">
        <v>40</v>
      </c>
      <c r="C24">
        <v>-1.69</v>
      </c>
      <c r="D24">
        <v>2.33</v>
      </c>
      <c r="E24" t="s">
        <v>16</v>
      </c>
      <c r="F24" t="s">
        <v>16</v>
      </c>
      <c r="H24">
        <v>0.43</v>
      </c>
      <c r="I24">
        <v>-8.98</v>
      </c>
      <c r="J24">
        <v>-2.51</v>
      </c>
      <c r="L24">
        <v>0</v>
      </c>
      <c r="M24">
        <v>18.75</v>
      </c>
      <c r="N24">
        <v>0.01</v>
      </c>
      <c r="O24">
        <v>0.27</v>
      </c>
    </row>
    <row r="25" spans="1:15">
      <c r="A25" t="str">
        <f>"000032"</f>
        <v>000032</v>
      </c>
      <c r="B25" t="s">
        <v>41</v>
      </c>
      <c r="C25">
        <v>5.94</v>
      </c>
      <c r="D25">
        <v>24.6</v>
      </c>
      <c r="E25" t="s">
        <v>16</v>
      </c>
      <c r="F25" t="s">
        <v>16</v>
      </c>
      <c r="H25">
        <v>-0.35</v>
      </c>
      <c r="I25">
        <v>50.37</v>
      </c>
      <c r="J25">
        <v>-3.68</v>
      </c>
      <c r="K25" t="s">
        <v>42</v>
      </c>
      <c r="L25">
        <v>0.56</v>
      </c>
      <c r="M25">
        <v>4097.92</v>
      </c>
      <c r="N25">
        <v>0.28</v>
      </c>
      <c r="O25">
        <v>0.72</v>
      </c>
    </row>
    <row r="26" spans="1:15">
      <c r="A26" t="str">
        <f>"000034"</f>
        <v>000034</v>
      </c>
      <c r="B26" t="s">
        <v>43</v>
      </c>
      <c r="C26">
        <v>-0.41</v>
      </c>
      <c r="D26">
        <v>26.58</v>
      </c>
      <c r="E26" t="s">
        <v>16</v>
      </c>
      <c r="F26" t="s">
        <v>16</v>
      </c>
      <c r="H26">
        <v>0.08</v>
      </c>
      <c r="I26">
        <v>6.75</v>
      </c>
      <c r="J26">
        <v>-1.52</v>
      </c>
      <c r="K26" t="s">
        <v>26</v>
      </c>
      <c r="L26">
        <v>-0.45</v>
      </c>
      <c r="M26">
        <v>737.53</v>
      </c>
      <c r="N26">
        <v>0.03</v>
      </c>
      <c r="O26">
        <v>0.73</v>
      </c>
    </row>
    <row r="27" spans="1:15">
      <c r="A27" t="str">
        <f>"000035"</f>
        <v>000035</v>
      </c>
      <c r="B27" t="s">
        <v>44</v>
      </c>
      <c r="C27">
        <v>-0.59</v>
      </c>
      <c r="D27">
        <v>5.07</v>
      </c>
      <c r="E27" t="s">
        <v>16</v>
      </c>
      <c r="F27" t="s">
        <v>16</v>
      </c>
      <c r="H27">
        <v>0</v>
      </c>
      <c r="I27">
        <v>-10.9</v>
      </c>
      <c r="J27">
        <v>-0.98</v>
      </c>
      <c r="L27">
        <v>-0.2</v>
      </c>
      <c r="M27">
        <v>17.26</v>
      </c>
      <c r="N27">
        <v>0</v>
      </c>
      <c r="O27">
        <v>0.26</v>
      </c>
    </row>
    <row r="28" spans="1:15">
      <c r="A28" t="str">
        <f>"000036"</f>
        <v>000036</v>
      </c>
      <c r="B28" t="s">
        <v>45</v>
      </c>
      <c r="C28">
        <v>-4.67</v>
      </c>
      <c r="D28">
        <v>4.9</v>
      </c>
      <c r="E28" t="s">
        <v>16</v>
      </c>
      <c r="F28" t="s">
        <v>16</v>
      </c>
      <c r="H28">
        <v>0</v>
      </c>
      <c r="I28">
        <v>-4.11</v>
      </c>
      <c r="J28">
        <v>-4.3</v>
      </c>
      <c r="L28">
        <v>-0.39</v>
      </c>
      <c r="M28">
        <v>16.38</v>
      </c>
      <c r="N28">
        <v>0</v>
      </c>
      <c r="O28">
        <v>0.87</v>
      </c>
    </row>
    <row r="29" spans="1:15">
      <c r="A29" t="str">
        <f>"000037"</f>
        <v>000037</v>
      </c>
      <c r="B29" t="s">
        <v>46</v>
      </c>
      <c r="C29">
        <v>-9.98</v>
      </c>
      <c r="D29">
        <v>10.37</v>
      </c>
      <c r="E29">
        <v>889.75</v>
      </c>
      <c r="F29" t="s">
        <v>16</v>
      </c>
      <c r="H29">
        <v>0</v>
      </c>
      <c r="I29">
        <v>-9.51</v>
      </c>
      <c r="J29">
        <v>-8.31</v>
      </c>
      <c r="L29">
        <v>-1.82</v>
      </c>
      <c r="M29">
        <v>155.51</v>
      </c>
      <c r="N29">
        <v>0.07</v>
      </c>
      <c r="O29">
        <v>0.5</v>
      </c>
    </row>
    <row r="30" spans="1:15">
      <c r="A30" t="str">
        <f>"000039"</f>
        <v>000039</v>
      </c>
      <c r="B30" t="s">
        <v>47</v>
      </c>
      <c r="C30">
        <v>-2.31</v>
      </c>
      <c r="D30">
        <v>8.88</v>
      </c>
      <c r="E30" t="s">
        <v>16</v>
      </c>
      <c r="F30" t="s">
        <v>16</v>
      </c>
      <c r="H30">
        <v>-0.1</v>
      </c>
      <c r="I30">
        <v>-11.99</v>
      </c>
      <c r="J30">
        <v>-4.31</v>
      </c>
      <c r="L30">
        <v>0</v>
      </c>
      <c r="M30">
        <v>129.46</v>
      </c>
      <c r="N30">
        <v>0.01</v>
      </c>
      <c r="O30">
        <v>0.94</v>
      </c>
    </row>
    <row r="31" spans="1:15">
      <c r="A31" t="str">
        <f>"000042"</f>
        <v>000042</v>
      </c>
      <c r="B31" t="s">
        <v>48</v>
      </c>
      <c r="C31">
        <v>-1.76</v>
      </c>
      <c r="D31">
        <v>8.93</v>
      </c>
      <c r="E31" t="s">
        <v>16</v>
      </c>
      <c r="F31" t="s">
        <v>16</v>
      </c>
      <c r="H31">
        <v>-0.1</v>
      </c>
      <c r="I31">
        <v>-10.61</v>
      </c>
      <c r="J31">
        <v>-2.4</v>
      </c>
      <c r="L31">
        <v>0.55</v>
      </c>
      <c r="M31">
        <v>2.74</v>
      </c>
      <c r="N31">
        <v>0</v>
      </c>
      <c r="O31">
        <v>0.21</v>
      </c>
    </row>
    <row r="32" spans="1:15">
      <c r="A32" t="str">
        <f>"000045"</f>
        <v>000045</v>
      </c>
      <c r="B32" t="s">
        <v>49</v>
      </c>
      <c r="C32">
        <v>-4.2</v>
      </c>
      <c r="D32">
        <v>10.73</v>
      </c>
      <c r="E32" t="s">
        <v>16</v>
      </c>
      <c r="F32" t="s">
        <v>16</v>
      </c>
      <c r="H32">
        <v>-0.18</v>
      </c>
      <c r="I32">
        <v>-4.62</v>
      </c>
      <c r="J32">
        <v>-3.85</v>
      </c>
      <c r="L32">
        <v>-0.8</v>
      </c>
      <c r="M32">
        <v>45</v>
      </c>
      <c r="N32">
        <v>0.02</v>
      </c>
      <c r="O32">
        <v>0.93</v>
      </c>
    </row>
    <row r="33" spans="1:15">
      <c r="A33" t="str">
        <f>"000048"</f>
        <v>000048</v>
      </c>
      <c r="B33" t="s">
        <v>50</v>
      </c>
      <c r="C33">
        <v>-1.41</v>
      </c>
      <c r="D33">
        <v>18.86</v>
      </c>
      <c r="E33" t="s">
        <v>16</v>
      </c>
      <c r="F33" t="s">
        <v>16</v>
      </c>
      <c r="H33">
        <v>0.05</v>
      </c>
      <c r="I33">
        <v>29.44</v>
      </c>
      <c r="J33">
        <v>-3.23</v>
      </c>
      <c r="K33" t="s">
        <v>51</v>
      </c>
      <c r="L33">
        <v>-0.42</v>
      </c>
      <c r="M33">
        <v>230.31</v>
      </c>
      <c r="N33">
        <v>0.05</v>
      </c>
      <c r="O33">
        <v>0.18</v>
      </c>
    </row>
    <row r="34" spans="1:15">
      <c r="A34" t="str">
        <f>"000049"</f>
        <v>000049</v>
      </c>
      <c r="B34" t="s">
        <v>52</v>
      </c>
      <c r="C34">
        <v>-1.35</v>
      </c>
      <c r="D34">
        <v>24.05</v>
      </c>
      <c r="E34" t="s">
        <v>16</v>
      </c>
      <c r="F34" t="s">
        <v>16</v>
      </c>
      <c r="H34">
        <v>0.04</v>
      </c>
      <c r="I34">
        <v>-2.28</v>
      </c>
      <c r="J34">
        <v>-2.63</v>
      </c>
      <c r="L34">
        <v>-0.53</v>
      </c>
      <c r="M34">
        <v>13.34</v>
      </c>
      <c r="N34">
        <v>0</v>
      </c>
      <c r="O34">
        <v>0.14</v>
      </c>
    </row>
    <row r="35" spans="1:15">
      <c r="A35" t="str">
        <f>"000050"</f>
        <v>000050</v>
      </c>
      <c r="B35" t="s">
        <v>53</v>
      </c>
      <c r="C35">
        <v>-2.19</v>
      </c>
      <c r="D35">
        <v>8.94</v>
      </c>
      <c r="E35" t="s">
        <v>16</v>
      </c>
      <c r="F35" t="s">
        <v>16</v>
      </c>
      <c r="H35">
        <v>0.45</v>
      </c>
      <c r="I35">
        <v>8.5</v>
      </c>
      <c r="J35">
        <v>-1.97</v>
      </c>
      <c r="K35" t="s">
        <v>54</v>
      </c>
      <c r="L35">
        <v>-1.53</v>
      </c>
      <c r="M35">
        <v>2278.17</v>
      </c>
      <c r="N35">
        <v>0.19</v>
      </c>
      <c r="O35">
        <v>14.39</v>
      </c>
    </row>
    <row r="36" spans="1:15">
      <c r="A36" t="str">
        <f>"000055"</f>
        <v>000055</v>
      </c>
      <c r="B36" t="s">
        <v>55</v>
      </c>
      <c r="C36">
        <v>-4.45</v>
      </c>
      <c r="D36">
        <v>3.65</v>
      </c>
      <c r="E36" t="s">
        <v>16</v>
      </c>
      <c r="F36" t="s">
        <v>16</v>
      </c>
      <c r="H36">
        <v>0</v>
      </c>
      <c r="I36">
        <v>-1.88</v>
      </c>
      <c r="J36">
        <v>-3.95</v>
      </c>
      <c r="L36">
        <v>-1.05</v>
      </c>
      <c r="M36">
        <v>45.96</v>
      </c>
      <c r="N36">
        <v>0.02</v>
      </c>
      <c r="O36">
        <v>2.1</v>
      </c>
    </row>
    <row r="37" spans="1:15">
      <c r="A37" t="str">
        <f>"000056"</f>
        <v>000056</v>
      </c>
      <c r="B37" t="s">
        <v>56</v>
      </c>
      <c r="C37">
        <v>-0.6</v>
      </c>
      <c r="D37">
        <v>1.67</v>
      </c>
      <c r="E37" t="s">
        <v>16</v>
      </c>
      <c r="F37" t="s">
        <v>16</v>
      </c>
      <c r="H37">
        <v>0</v>
      </c>
      <c r="I37">
        <v>-4.57</v>
      </c>
      <c r="J37">
        <v>-4.02</v>
      </c>
      <c r="K37" t="s">
        <v>57</v>
      </c>
      <c r="L37">
        <v>-0.6</v>
      </c>
      <c r="M37">
        <v>88.66</v>
      </c>
      <c r="N37">
        <v>0.07</v>
      </c>
      <c r="O37">
        <v>0.6</v>
      </c>
    </row>
    <row r="38" spans="1:15">
      <c r="A38" t="str">
        <f>"000058"</f>
        <v>000058</v>
      </c>
      <c r="B38" t="s">
        <v>58</v>
      </c>
      <c r="C38">
        <v>-2.07</v>
      </c>
      <c r="D38">
        <v>6.63</v>
      </c>
      <c r="E38" t="s">
        <v>16</v>
      </c>
      <c r="F38" t="s">
        <v>16</v>
      </c>
      <c r="H38">
        <v>-0.14</v>
      </c>
      <c r="I38">
        <v>-5.29</v>
      </c>
      <c r="J38">
        <v>-1.92</v>
      </c>
      <c r="L38">
        <v>-0.15</v>
      </c>
      <c r="M38">
        <v>60.77</v>
      </c>
      <c r="N38">
        <v>0.03</v>
      </c>
      <c r="O38">
        <v>13.42</v>
      </c>
    </row>
    <row r="39" spans="1:15">
      <c r="A39" t="str">
        <f>"000059"</f>
        <v>000059</v>
      </c>
      <c r="B39" t="s">
        <v>59</v>
      </c>
      <c r="C39">
        <v>-2.66</v>
      </c>
      <c r="D39">
        <v>4.02</v>
      </c>
      <c r="E39" t="s">
        <v>16</v>
      </c>
      <c r="F39" t="s">
        <v>16</v>
      </c>
      <c r="H39">
        <v>-0.24</v>
      </c>
      <c r="I39">
        <v>-12.61</v>
      </c>
      <c r="J39">
        <v>-2.19</v>
      </c>
      <c r="L39">
        <v>-0.97</v>
      </c>
      <c r="M39">
        <v>88.85</v>
      </c>
      <c r="N39">
        <v>0.03</v>
      </c>
      <c r="O39">
        <v>0.21</v>
      </c>
    </row>
    <row r="40" spans="1:15">
      <c r="A40" t="str">
        <f>"000060"</f>
        <v>000060</v>
      </c>
      <c r="B40" t="s">
        <v>60</v>
      </c>
      <c r="C40">
        <v>0.5</v>
      </c>
      <c r="D40">
        <v>8.01</v>
      </c>
      <c r="E40" t="s">
        <v>16</v>
      </c>
      <c r="F40" t="s">
        <v>16</v>
      </c>
      <c r="H40">
        <v>0.13</v>
      </c>
      <c r="I40">
        <v>2.69</v>
      </c>
      <c r="J40">
        <v>-3.26</v>
      </c>
      <c r="L40">
        <v>0.88</v>
      </c>
      <c r="M40">
        <v>1908.93</v>
      </c>
      <c r="N40">
        <v>0.08</v>
      </c>
      <c r="O40">
        <v>1.66</v>
      </c>
    </row>
    <row r="41" spans="1:15">
      <c r="A41" t="str">
        <f>"000061"</f>
        <v>000061</v>
      </c>
      <c r="B41" t="s">
        <v>61</v>
      </c>
      <c r="C41">
        <v>0.34</v>
      </c>
      <c r="D41">
        <v>5.86</v>
      </c>
      <c r="E41" t="s">
        <v>16</v>
      </c>
      <c r="F41" t="s">
        <v>16</v>
      </c>
      <c r="H41">
        <v>0.17</v>
      </c>
      <c r="I41">
        <v>-5.79</v>
      </c>
      <c r="J41">
        <v>-5.79</v>
      </c>
      <c r="L41">
        <v>0.17</v>
      </c>
      <c r="M41">
        <v>2.34</v>
      </c>
      <c r="N41">
        <v>0</v>
      </c>
      <c r="O41">
        <v>0.36</v>
      </c>
    </row>
    <row r="42" spans="1:15">
      <c r="A42" t="str">
        <f>"000062"</f>
        <v>000062</v>
      </c>
      <c r="B42" t="s">
        <v>62</v>
      </c>
      <c r="C42">
        <v>0.98</v>
      </c>
      <c r="D42">
        <v>32.06</v>
      </c>
      <c r="E42" t="s">
        <v>16</v>
      </c>
      <c r="F42" t="s">
        <v>16</v>
      </c>
      <c r="H42">
        <v>0.09</v>
      </c>
      <c r="I42">
        <v>-2.17</v>
      </c>
      <c r="J42">
        <v>-1.32</v>
      </c>
      <c r="L42">
        <v>-0.91</v>
      </c>
      <c r="M42">
        <v>469.07</v>
      </c>
      <c r="N42">
        <v>0.05</v>
      </c>
      <c r="O42">
        <v>0.69</v>
      </c>
    </row>
    <row r="43" spans="1:15">
      <c r="A43" t="str">
        <f>"000063"</f>
        <v>000063</v>
      </c>
      <c r="B43" t="s">
        <v>63</v>
      </c>
      <c r="C43">
        <v>0.66</v>
      </c>
      <c r="D43">
        <v>37.89</v>
      </c>
      <c r="E43" t="s">
        <v>16</v>
      </c>
      <c r="F43" t="s">
        <v>16</v>
      </c>
      <c r="H43">
        <v>-0.07</v>
      </c>
      <c r="I43">
        <v>0.4</v>
      </c>
      <c r="J43">
        <v>-1.94</v>
      </c>
      <c r="L43">
        <v>-0.61</v>
      </c>
      <c r="M43">
        <v>1865.25</v>
      </c>
      <c r="N43">
        <v>0.02</v>
      </c>
      <c r="O43">
        <v>0.55</v>
      </c>
    </row>
    <row r="44" spans="1:15">
      <c r="A44" t="str">
        <f>"000065"</f>
        <v>000065</v>
      </c>
      <c r="B44" t="s">
        <v>64</v>
      </c>
      <c r="C44">
        <v>-3.45</v>
      </c>
      <c r="D44">
        <v>12.32</v>
      </c>
      <c r="E44" t="s">
        <v>16</v>
      </c>
      <c r="F44" t="s">
        <v>16</v>
      </c>
      <c r="H44">
        <v>0</v>
      </c>
      <c r="I44">
        <v>-1.36</v>
      </c>
      <c r="J44">
        <v>-3.6</v>
      </c>
      <c r="L44">
        <v>-0.39</v>
      </c>
      <c r="M44">
        <v>547.93</v>
      </c>
      <c r="N44">
        <v>0.09</v>
      </c>
      <c r="O44">
        <v>0.95</v>
      </c>
    </row>
    <row r="45" spans="1:15">
      <c r="A45" t="str">
        <f>"000066"</f>
        <v>000066</v>
      </c>
      <c r="B45" t="s">
        <v>65</v>
      </c>
      <c r="C45">
        <v>0.17</v>
      </c>
      <c r="D45">
        <v>17.84</v>
      </c>
      <c r="E45" t="s">
        <v>16</v>
      </c>
      <c r="F45" t="s">
        <v>16</v>
      </c>
      <c r="H45">
        <v>-0.1</v>
      </c>
      <c r="I45">
        <v>-0.61</v>
      </c>
      <c r="J45">
        <v>-2.94</v>
      </c>
      <c r="L45">
        <v>-1.97</v>
      </c>
      <c r="M45">
        <v>3271.65</v>
      </c>
      <c r="N45">
        <v>0.1</v>
      </c>
      <c r="O45">
        <v>2.38</v>
      </c>
    </row>
    <row r="46" spans="1:15">
      <c r="A46" t="str">
        <f>"000068"</f>
        <v>000068</v>
      </c>
      <c r="B46" t="s">
        <v>66</v>
      </c>
      <c r="C46">
        <v>-4.66</v>
      </c>
      <c r="D46">
        <v>3.27</v>
      </c>
      <c r="E46" t="s">
        <v>16</v>
      </c>
      <c r="F46" t="s">
        <v>16</v>
      </c>
      <c r="H46">
        <v>0</v>
      </c>
      <c r="I46">
        <v>0.93</v>
      </c>
      <c r="J46">
        <v>-4.39</v>
      </c>
      <c r="L46">
        <v>-0.29</v>
      </c>
      <c r="M46">
        <v>23.73</v>
      </c>
      <c r="N46">
        <v>0.01</v>
      </c>
      <c r="O46">
        <v>0.46</v>
      </c>
    </row>
    <row r="47" spans="1:15">
      <c r="A47" t="str">
        <f>"000069"</f>
        <v>000069</v>
      </c>
      <c r="B47" t="s">
        <v>67</v>
      </c>
      <c r="C47">
        <v>-1.11</v>
      </c>
      <c r="D47">
        <v>1.78</v>
      </c>
      <c r="E47" t="s">
        <v>16</v>
      </c>
      <c r="F47" t="s">
        <v>16</v>
      </c>
      <c r="H47">
        <v>0</v>
      </c>
      <c r="I47">
        <v>-6.81</v>
      </c>
      <c r="J47">
        <v>-1.66</v>
      </c>
      <c r="L47">
        <v>-0.56</v>
      </c>
      <c r="M47">
        <v>31.24</v>
      </c>
      <c r="N47">
        <v>0.01</v>
      </c>
      <c r="O47">
        <v>5.65</v>
      </c>
    </row>
    <row r="48" spans="1:15">
      <c r="A48" t="str">
        <f>"000070"</f>
        <v>000070</v>
      </c>
      <c r="B48" t="s">
        <v>68</v>
      </c>
      <c r="C48">
        <v>0.34</v>
      </c>
      <c r="D48">
        <v>20.73</v>
      </c>
      <c r="E48" t="s">
        <v>16</v>
      </c>
      <c r="F48" t="s">
        <v>16</v>
      </c>
      <c r="H48">
        <v>0.19</v>
      </c>
      <c r="I48">
        <v>11.87</v>
      </c>
      <c r="J48">
        <v>-2.22</v>
      </c>
      <c r="K48" t="s">
        <v>57</v>
      </c>
      <c r="L48">
        <v>0.48</v>
      </c>
      <c r="M48">
        <v>2521.92</v>
      </c>
      <c r="N48">
        <v>0.23</v>
      </c>
      <c r="O48">
        <v>1.04</v>
      </c>
    </row>
    <row r="49" spans="1:15">
      <c r="A49" t="str">
        <f>"000078"</f>
        <v>000078</v>
      </c>
      <c r="B49" t="s">
        <v>69</v>
      </c>
      <c r="C49">
        <v>-5.16</v>
      </c>
      <c r="D49">
        <v>1.47</v>
      </c>
      <c r="E49" t="s">
        <v>16</v>
      </c>
      <c r="F49" t="s">
        <v>16</v>
      </c>
      <c r="H49">
        <v>0</v>
      </c>
      <c r="I49">
        <v>-13.02</v>
      </c>
      <c r="J49">
        <v>-3.92</v>
      </c>
      <c r="L49">
        <v>-2.58</v>
      </c>
      <c r="M49">
        <v>231.77</v>
      </c>
      <c r="N49">
        <v>0.11</v>
      </c>
      <c r="O49">
        <v>1.07</v>
      </c>
    </row>
    <row r="50" spans="1:15">
      <c r="A50" t="str">
        <f>"000088"</f>
        <v>000088</v>
      </c>
      <c r="B50" t="s">
        <v>70</v>
      </c>
      <c r="C50">
        <v>-0.69</v>
      </c>
      <c r="D50">
        <v>4.3</v>
      </c>
      <c r="E50" t="s">
        <v>16</v>
      </c>
      <c r="F50" t="s">
        <v>16</v>
      </c>
      <c r="H50">
        <v>0.47</v>
      </c>
      <c r="I50">
        <v>-2.27</v>
      </c>
      <c r="J50">
        <v>-1.15</v>
      </c>
      <c r="L50">
        <v>0.23</v>
      </c>
      <c r="M50">
        <v>43.7</v>
      </c>
      <c r="N50">
        <v>0.01</v>
      </c>
      <c r="O50">
        <v>12.75</v>
      </c>
    </row>
    <row r="51" spans="1:15">
      <c r="A51" t="str">
        <f>"000089"</f>
        <v>000089</v>
      </c>
      <c r="B51" t="s">
        <v>71</v>
      </c>
      <c r="C51">
        <v>-3.13</v>
      </c>
      <c r="D51">
        <v>6.19</v>
      </c>
      <c r="E51" t="s">
        <v>16</v>
      </c>
      <c r="F51" t="s">
        <v>16</v>
      </c>
      <c r="H51">
        <v>-0.31</v>
      </c>
      <c r="I51">
        <v>-5.21</v>
      </c>
      <c r="J51">
        <v>-3.13</v>
      </c>
      <c r="L51">
        <v>-0.47</v>
      </c>
      <c r="M51">
        <v>40.2</v>
      </c>
      <c r="N51">
        <v>0.01</v>
      </c>
      <c r="O51">
        <v>1.89</v>
      </c>
    </row>
    <row r="52" spans="1:15">
      <c r="A52" t="str">
        <f>"000090"</f>
        <v>000090</v>
      </c>
      <c r="B52" t="s">
        <v>72</v>
      </c>
      <c r="C52">
        <v>-1.74</v>
      </c>
      <c r="D52">
        <v>3.39</v>
      </c>
      <c r="E52" t="s">
        <v>16</v>
      </c>
      <c r="F52" t="s">
        <v>16</v>
      </c>
      <c r="H52">
        <v>-0.28</v>
      </c>
      <c r="I52">
        <v>-3.69</v>
      </c>
      <c r="J52">
        <v>-2.02</v>
      </c>
      <c r="L52">
        <v>-0.29</v>
      </c>
      <c r="M52">
        <v>33.23</v>
      </c>
      <c r="N52">
        <v>0.01</v>
      </c>
      <c r="O52">
        <v>1.69</v>
      </c>
    </row>
    <row r="53" spans="1:15">
      <c r="A53" t="str">
        <f>"000096"</f>
        <v>000096</v>
      </c>
      <c r="B53" t="s">
        <v>73</v>
      </c>
      <c r="C53">
        <v>-1.19</v>
      </c>
      <c r="D53">
        <v>7.46</v>
      </c>
      <c r="E53" t="s">
        <v>16</v>
      </c>
      <c r="F53" t="s">
        <v>16</v>
      </c>
      <c r="H53">
        <v>-0.12</v>
      </c>
      <c r="I53">
        <v>-7.33</v>
      </c>
      <c r="J53">
        <v>-1.58</v>
      </c>
      <c r="L53">
        <v>0</v>
      </c>
      <c r="M53">
        <v>10.34</v>
      </c>
      <c r="N53">
        <v>0.01</v>
      </c>
      <c r="O53">
        <v>1.2</v>
      </c>
    </row>
    <row r="54" spans="1:15">
      <c r="A54" t="str">
        <f>"000099"</f>
        <v>000099</v>
      </c>
      <c r="B54" t="s">
        <v>74</v>
      </c>
      <c r="C54">
        <v>-4.17</v>
      </c>
      <c r="D54">
        <v>15.87</v>
      </c>
      <c r="E54" t="s">
        <v>16</v>
      </c>
      <c r="F54" t="s">
        <v>16</v>
      </c>
      <c r="H54">
        <v>-0.05</v>
      </c>
      <c r="I54">
        <v>5.8</v>
      </c>
      <c r="J54">
        <v>-3.23</v>
      </c>
      <c r="L54">
        <v>-1.09</v>
      </c>
      <c r="M54">
        <v>106.8</v>
      </c>
      <c r="N54">
        <v>0.01</v>
      </c>
      <c r="O54">
        <v>0.54</v>
      </c>
    </row>
    <row r="55" spans="1:15">
      <c r="A55" t="str">
        <f>"000100"</f>
        <v>000100</v>
      </c>
      <c r="B55" t="s">
        <v>75</v>
      </c>
      <c r="C55">
        <v>-2.34</v>
      </c>
      <c r="D55">
        <v>5</v>
      </c>
      <c r="E55" t="s">
        <v>16</v>
      </c>
      <c r="F55" t="s">
        <v>16</v>
      </c>
      <c r="H55">
        <v>0.2</v>
      </c>
      <c r="I55">
        <v>3.52</v>
      </c>
      <c r="J55">
        <v>-4.58</v>
      </c>
      <c r="K55" t="s">
        <v>54</v>
      </c>
      <c r="L55">
        <v>1.76</v>
      </c>
      <c r="M55">
        <v>24277.19</v>
      </c>
      <c r="N55">
        <v>0.25</v>
      </c>
      <c r="O55">
        <v>5.23</v>
      </c>
    </row>
    <row r="56" spans="1:15">
      <c r="A56" t="str">
        <f>"000151"</f>
        <v>000151</v>
      </c>
      <c r="B56" t="s">
        <v>76</v>
      </c>
      <c r="C56">
        <v>-5.02</v>
      </c>
      <c r="D56">
        <v>13.24</v>
      </c>
      <c r="E56" t="s">
        <v>16</v>
      </c>
      <c r="F56" t="s">
        <v>16</v>
      </c>
      <c r="H56">
        <v>-0.44</v>
      </c>
      <c r="I56">
        <v>-6.96</v>
      </c>
      <c r="J56">
        <v>-4.75</v>
      </c>
      <c r="L56">
        <v>-0.36</v>
      </c>
      <c r="M56">
        <v>283.08</v>
      </c>
      <c r="N56">
        <v>0.1</v>
      </c>
      <c r="O56">
        <v>0.79</v>
      </c>
    </row>
    <row r="57" spans="1:15">
      <c r="A57" t="str">
        <f>"000153"</f>
        <v>000153</v>
      </c>
      <c r="B57" t="s">
        <v>77</v>
      </c>
      <c r="C57">
        <v>0.38</v>
      </c>
      <c r="D57">
        <v>5.28</v>
      </c>
      <c r="E57" t="s">
        <v>16</v>
      </c>
      <c r="F57" t="s">
        <v>16</v>
      </c>
      <c r="H57">
        <v>0.19</v>
      </c>
      <c r="I57">
        <v>-2.04</v>
      </c>
      <c r="J57">
        <v>-0.75</v>
      </c>
      <c r="L57">
        <v>-0.19</v>
      </c>
      <c r="M57">
        <v>16.17</v>
      </c>
      <c r="N57">
        <v>0.01</v>
      </c>
      <c r="O57">
        <v>0.52</v>
      </c>
    </row>
    <row r="58" spans="1:15">
      <c r="A58" t="str">
        <f>"000155"</f>
        <v>000155</v>
      </c>
      <c r="B58" t="s">
        <v>78</v>
      </c>
      <c r="C58">
        <v>-3.52</v>
      </c>
      <c r="D58">
        <v>12.87</v>
      </c>
      <c r="E58" t="s">
        <v>16</v>
      </c>
      <c r="F58" t="s">
        <v>16</v>
      </c>
      <c r="H58">
        <v>0</v>
      </c>
      <c r="I58">
        <v>-5.37</v>
      </c>
      <c r="J58">
        <v>-3.52</v>
      </c>
      <c r="L58">
        <v>-0.97</v>
      </c>
      <c r="M58">
        <v>126.55</v>
      </c>
      <c r="N58">
        <v>0.01</v>
      </c>
      <c r="O58">
        <v>1.08</v>
      </c>
    </row>
    <row r="59" spans="1:15">
      <c r="A59" t="str">
        <f>"000156"</f>
        <v>000156</v>
      </c>
      <c r="B59" t="s">
        <v>79</v>
      </c>
      <c r="C59">
        <v>1.19</v>
      </c>
      <c r="D59">
        <v>6.79</v>
      </c>
      <c r="E59" t="s">
        <v>16</v>
      </c>
      <c r="F59" t="s">
        <v>16</v>
      </c>
      <c r="H59">
        <v>-0.28</v>
      </c>
      <c r="I59">
        <v>1.65</v>
      </c>
      <c r="J59">
        <v>-1.45</v>
      </c>
      <c r="L59">
        <v>0.45</v>
      </c>
      <c r="M59">
        <v>5.53</v>
      </c>
      <c r="N59">
        <v>0</v>
      </c>
      <c r="O59">
        <v>0.09</v>
      </c>
    </row>
    <row r="60" spans="1:15">
      <c r="A60" t="str">
        <f>"000157"</f>
        <v>000157</v>
      </c>
      <c r="B60" t="s">
        <v>80</v>
      </c>
      <c r="C60">
        <v>-0.66</v>
      </c>
      <c r="D60">
        <v>7.58</v>
      </c>
      <c r="E60" t="s">
        <v>16</v>
      </c>
      <c r="F60" t="s">
        <v>16</v>
      </c>
      <c r="H60">
        <v>-0.12</v>
      </c>
      <c r="I60">
        <v>2.57</v>
      </c>
      <c r="J60">
        <v>-1.17</v>
      </c>
      <c r="L60">
        <v>0</v>
      </c>
      <c r="M60">
        <v>70.88</v>
      </c>
      <c r="N60">
        <v>0</v>
      </c>
      <c r="O60">
        <v>0.4</v>
      </c>
    </row>
    <row r="61" spans="1:15">
      <c r="A61" t="str">
        <f>"000158"</f>
        <v>000158</v>
      </c>
      <c r="B61" t="s">
        <v>81</v>
      </c>
      <c r="C61">
        <v>0.07</v>
      </c>
      <c r="D61">
        <v>14.52</v>
      </c>
      <c r="E61" t="s">
        <v>16</v>
      </c>
      <c r="F61" t="s">
        <v>16</v>
      </c>
      <c r="H61">
        <v>-0.06</v>
      </c>
      <c r="I61">
        <v>0.28</v>
      </c>
      <c r="J61">
        <v>-0.89</v>
      </c>
      <c r="L61">
        <v>-0.34</v>
      </c>
      <c r="M61">
        <v>222.97</v>
      </c>
      <c r="N61">
        <v>0.01</v>
      </c>
      <c r="O61">
        <v>0.95</v>
      </c>
    </row>
    <row r="62" spans="1:15">
      <c r="A62" t="str">
        <f>"000159"</f>
        <v>000159</v>
      </c>
      <c r="B62" t="s">
        <v>82</v>
      </c>
      <c r="C62">
        <v>-0.17</v>
      </c>
      <c r="D62">
        <v>5.75</v>
      </c>
      <c r="E62" t="s">
        <v>16</v>
      </c>
      <c r="F62" t="s">
        <v>16</v>
      </c>
      <c r="H62">
        <v>-0.16</v>
      </c>
      <c r="I62">
        <v>-16.42</v>
      </c>
      <c r="J62">
        <v>-3.36</v>
      </c>
      <c r="L62">
        <v>-0.35</v>
      </c>
      <c r="M62">
        <v>44.26</v>
      </c>
      <c r="N62">
        <v>0.02</v>
      </c>
      <c r="O62">
        <v>0.6</v>
      </c>
    </row>
    <row r="63" spans="1:15">
      <c r="A63" t="str">
        <f>"000166"</f>
        <v>000166</v>
      </c>
      <c r="B63" t="s">
        <v>83</v>
      </c>
      <c r="C63">
        <v>-3.5</v>
      </c>
      <c r="D63">
        <v>4.41</v>
      </c>
      <c r="E63" t="s">
        <v>16</v>
      </c>
      <c r="F63" t="s">
        <v>16</v>
      </c>
      <c r="H63">
        <v>0</v>
      </c>
      <c r="I63">
        <v>2.08</v>
      </c>
      <c r="J63">
        <v>-3.5</v>
      </c>
      <c r="L63">
        <v>-0.22</v>
      </c>
      <c r="M63">
        <v>117.51</v>
      </c>
      <c r="N63">
        <v>0</v>
      </c>
      <c r="O63">
        <v>1.2</v>
      </c>
    </row>
    <row r="64" spans="1:15">
      <c r="A64" t="str">
        <f>"000301"</f>
        <v>000301</v>
      </c>
      <c r="B64" t="s">
        <v>84</v>
      </c>
      <c r="C64">
        <v>-5.54</v>
      </c>
      <c r="D64">
        <v>11.59</v>
      </c>
      <c r="E64" t="s">
        <v>16</v>
      </c>
      <c r="F64" t="s">
        <v>16</v>
      </c>
      <c r="H64">
        <v>-0.25</v>
      </c>
      <c r="I64">
        <v>-0.26</v>
      </c>
      <c r="J64">
        <v>-4.45</v>
      </c>
      <c r="L64">
        <v>-1.39</v>
      </c>
      <c r="M64">
        <v>227.48</v>
      </c>
      <c r="N64">
        <v>0.01</v>
      </c>
      <c r="O64">
        <v>6.94</v>
      </c>
    </row>
    <row r="65" spans="1:15">
      <c r="A65" t="str">
        <f>"000333"</f>
        <v>000333</v>
      </c>
      <c r="B65" t="s">
        <v>85</v>
      </c>
      <c r="C65">
        <v>-1.54</v>
      </c>
      <c r="D65">
        <v>78</v>
      </c>
      <c r="E65" t="s">
        <v>16</v>
      </c>
      <c r="F65" t="s">
        <v>16</v>
      </c>
      <c r="H65">
        <v>-0.14</v>
      </c>
      <c r="I65">
        <v>-5.36</v>
      </c>
      <c r="J65">
        <v>-1.87</v>
      </c>
      <c r="L65">
        <v>0.01</v>
      </c>
      <c r="M65">
        <v>1931.63</v>
      </c>
      <c r="N65">
        <v>0.01</v>
      </c>
      <c r="O65">
        <v>0.97</v>
      </c>
    </row>
    <row r="66" spans="1:15">
      <c r="A66" t="str">
        <f>"000338"</f>
        <v>000338</v>
      </c>
      <c r="B66" t="s">
        <v>86</v>
      </c>
      <c r="C66">
        <v>2.77</v>
      </c>
      <c r="D66">
        <v>30.09</v>
      </c>
      <c r="E66" t="s">
        <v>16</v>
      </c>
      <c r="F66" t="s">
        <v>16</v>
      </c>
      <c r="H66">
        <v>-0.35</v>
      </c>
      <c r="I66">
        <v>-10.82</v>
      </c>
      <c r="J66">
        <v>-4.11</v>
      </c>
      <c r="L66">
        <v>1.3</v>
      </c>
      <c r="M66">
        <v>2807.02</v>
      </c>
      <c r="N66">
        <v>0.02</v>
      </c>
      <c r="O66">
        <v>1.98</v>
      </c>
    </row>
    <row r="67" spans="1:15">
      <c r="A67" t="str">
        <f>"000400"</f>
        <v>000400</v>
      </c>
      <c r="B67" t="s">
        <v>87</v>
      </c>
      <c r="C67">
        <v>-0.69</v>
      </c>
      <c r="D67">
        <v>22.88</v>
      </c>
      <c r="E67" t="s">
        <v>16</v>
      </c>
      <c r="F67" t="s">
        <v>16</v>
      </c>
      <c r="H67">
        <v>0.22</v>
      </c>
      <c r="I67">
        <v>-5.1</v>
      </c>
      <c r="J67">
        <v>-1.04</v>
      </c>
      <c r="L67">
        <v>0.04</v>
      </c>
      <c r="M67">
        <v>245.48</v>
      </c>
      <c r="N67">
        <v>0.02</v>
      </c>
      <c r="O67">
        <v>0.92</v>
      </c>
    </row>
    <row r="68" spans="1:15">
      <c r="A68" t="str">
        <f>"000401"</f>
        <v>000401</v>
      </c>
      <c r="B68" t="s">
        <v>88</v>
      </c>
      <c r="C68">
        <v>-2.14</v>
      </c>
      <c r="D68">
        <v>3.66</v>
      </c>
      <c r="E68" t="s">
        <v>16</v>
      </c>
      <c r="F68" t="s">
        <v>16</v>
      </c>
      <c r="H68">
        <v>0</v>
      </c>
      <c r="I68">
        <v>-6.87</v>
      </c>
      <c r="J68">
        <v>-2.4</v>
      </c>
      <c r="L68">
        <v>0</v>
      </c>
      <c r="M68">
        <v>3.44</v>
      </c>
      <c r="N68">
        <v>0</v>
      </c>
      <c r="O68">
        <v>0.42</v>
      </c>
    </row>
    <row r="69" spans="1:15">
      <c r="A69" t="str">
        <f>"000402"</f>
        <v>000402</v>
      </c>
      <c r="B69" t="s">
        <v>89</v>
      </c>
      <c r="C69">
        <v>-1.48</v>
      </c>
      <c r="D69">
        <v>2.67</v>
      </c>
      <c r="E69" t="s">
        <v>16</v>
      </c>
      <c r="F69" t="s">
        <v>16</v>
      </c>
      <c r="H69">
        <v>0</v>
      </c>
      <c r="I69">
        <v>-7.61</v>
      </c>
      <c r="J69">
        <v>-1.11</v>
      </c>
      <c r="L69">
        <v>-0.74</v>
      </c>
      <c r="M69">
        <v>50.46</v>
      </c>
      <c r="N69">
        <v>0.01</v>
      </c>
      <c r="O69">
        <v>0.8</v>
      </c>
    </row>
    <row r="70" spans="1:15">
      <c r="A70" t="str">
        <f>"000403"</f>
        <v>000403</v>
      </c>
      <c r="B70" t="s">
        <v>90</v>
      </c>
      <c r="C70">
        <v>-5.01</v>
      </c>
      <c r="D70">
        <v>10.81</v>
      </c>
      <c r="E70" t="s">
        <v>16</v>
      </c>
      <c r="F70" t="s">
        <v>16</v>
      </c>
      <c r="H70">
        <v>0.19</v>
      </c>
      <c r="I70">
        <v>-15.81</v>
      </c>
      <c r="J70">
        <v>-5.34</v>
      </c>
      <c r="L70">
        <v>-6.85</v>
      </c>
      <c r="M70">
        <v>1962.39</v>
      </c>
      <c r="N70">
        <v>0.32</v>
      </c>
      <c r="O70">
        <v>79.8</v>
      </c>
    </row>
    <row r="71" spans="1:15">
      <c r="A71" t="str">
        <f>"000404"</f>
        <v>000404</v>
      </c>
      <c r="B71" t="s">
        <v>91</v>
      </c>
      <c r="C71">
        <v>-1.05</v>
      </c>
      <c r="D71">
        <v>7.55</v>
      </c>
      <c r="E71" t="s">
        <v>16</v>
      </c>
      <c r="F71" t="s">
        <v>16</v>
      </c>
      <c r="H71">
        <v>-0.12</v>
      </c>
      <c r="I71">
        <v>-2.33</v>
      </c>
      <c r="J71">
        <v>-2.33</v>
      </c>
      <c r="L71">
        <v>0</v>
      </c>
      <c r="M71">
        <v>64.17</v>
      </c>
      <c r="N71">
        <v>0.02</v>
      </c>
      <c r="O71">
        <v>0.28</v>
      </c>
    </row>
    <row r="72" spans="1:15">
      <c r="A72" t="str">
        <f>"000407"</f>
        <v>000407</v>
      </c>
      <c r="B72" t="s">
        <v>92</v>
      </c>
      <c r="C72">
        <v>0.77</v>
      </c>
      <c r="D72">
        <v>3.93</v>
      </c>
      <c r="E72" t="s">
        <v>16</v>
      </c>
      <c r="F72" t="s">
        <v>16</v>
      </c>
      <c r="H72">
        <v>0.26</v>
      </c>
      <c r="I72">
        <v>-6.21</v>
      </c>
      <c r="J72">
        <v>-0.51</v>
      </c>
      <c r="L72">
        <v>-0.51</v>
      </c>
      <c r="M72">
        <v>46.64</v>
      </c>
      <c r="N72">
        <v>0.02</v>
      </c>
      <c r="O72">
        <v>5.89</v>
      </c>
    </row>
    <row r="73" spans="1:15">
      <c r="A73" t="str">
        <f>"000408"</f>
        <v>000408</v>
      </c>
      <c r="B73" t="s">
        <v>93</v>
      </c>
      <c r="C73">
        <v>-0.98</v>
      </c>
      <c r="D73">
        <v>76.42</v>
      </c>
      <c r="E73" t="s">
        <v>16</v>
      </c>
      <c r="F73" t="s">
        <v>16</v>
      </c>
      <c r="H73">
        <v>0.03</v>
      </c>
      <c r="I73">
        <v>-1.58</v>
      </c>
      <c r="J73">
        <v>-3.8</v>
      </c>
      <c r="L73">
        <v>-1.19</v>
      </c>
      <c r="M73">
        <v>604.74</v>
      </c>
      <c r="N73">
        <v>0.01</v>
      </c>
      <c r="O73">
        <v>0.63</v>
      </c>
    </row>
    <row r="74" spans="1:15">
      <c r="A74" t="str">
        <f>"000409"</f>
        <v>000409</v>
      </c>
      <c r="B74" t="s">
        <v>94</v>
      </c>
      <c r="C74">
        <v>-2.47</v>
      </c>
      <c r="D74">
        <v>8.69</v>
      </c>
      <c r="E74" t="s">
        <v>16</v>
      </c>
      <c r="F74" t="s">
        <v>16</v>
      </c>
      <c r="H74">
        <v>-0.1</v>
      </c>
      <c r="I74">
        <v>-8.14</v>
      </c>
      <c r="J74">
        <v>-2.47</v>
      </c>
      <c r="L74">
        <v>-0.11</v>
      </c>
      <c r="M74">
        <v>5.07</v>
      </c>
      <c r="N74">
        <v>0</v>
      </c>
      <c r="O74">
        <v>0.6</v>
      </c>
    </row>
    <row r="75" spans="1:15">
      <c r="A75" t="str">
        <f>"000410"</f>
        <v>000410</v>
      </c>
      <c r="B75" t="s">
        <v>95</v>
      </c>
      <c r="C75">
        <v>0.59</v>
      </c>
      <c r="D75">
        <v>5.11</v>
      </c>
      <c r="E75" t="s">
        <v>16</v>
      </c>
      <c r="F75" t="s">
        <v>16</v>
      </c>
      <c r="H75">
        <v>0</v>
      </c>
      <c r="I75">
        <v>-2.48</v>
      </c>
      <c r="J75">
        <v>-0.58</v>
      </c>
      <c r="L75">
        <v>0</v>
      </c>
      <c r="M75">
        <v>31.24</v>
      </c>
      <c r="N75">
        <v>0</v>
      </c>
      <c r="O75">
        <v>1.38</v>
      </c>
    </row>
    <row r="76" spans="1:15">
      <c r="A76" t="str">
        <f>"000411"</f>
        <v>000411</v>
      </c>
      <c r="B76" t="s">
        <v>96</v>
      </c>
      <c r="C76">
        <v>-2.74</v>
      </c>
      <c r="D76">
        <v>9.59</v>
      </c>
      <c r="E76" t="s">
        <v>16</v>
      </c>
      <c r="F76" t="s">
        <v>16</v>
      </c>
      <c r="H76">
        <v>0</v>
      </c>
      <c r="I76">
        <v>-17.89</v>
      </c>
      <c r="J76">
        <v>-3.62</v>
      </c>
      <c r="K76" t="s">
        <v>57</v>
      </c>
      <c r="L76">
        <v>0.91</v>
      </c>
      <c r="M76">
        <v>101.19</v>
      </c>
      <c r="N76">
        <v>0.06</v>
      </c>
      <c r="O76">
        <v>2.66</v>
      </c>
    </row>
    <row r="77" spans="1:15">
      <c r="A77" t="str">
        <f>"000415"</f>
        <v>000415</v>
      </c>
      <c r="B77" t="s">
        <v>97</v>
      </c>
      <c r="C77">
        <v>-0.91</v>
      </c>
      <c r="D77">
        <v>4.34</v>
      </c>
      <c r="E77" t="s">
        <v>16</v>
      </c>
      <c r="F77" t="s">
        <v>16</v>
      </c>
      <c r="H77">
        <v>0</v>
      </c>
      <c r="I77">
        <v>10.71</v>
      </c>
      <c r="J77">
        <v>-1.14</v>
      </c>
      <c r="L77">
        <v>-0.46</v>
      </c>
      <c r="M77">
        <v>10.81</v>
      </c>
      <c r="N77">
        <v>0</v>
      </c>
      <c r="O77">
        <v>0.14</v>
      </c>
    </row>
    <row r="78" spans="1:15">
      <c r="A78" t="str">
        <f>"000417"</f>
        <v>000417</v>
      </c>
      <c r="B78" t="s">
        <v>98</v>
      </c>
      <c r="C78">
        <v>1.54</v>
      </c>
      <c r="D78">
        <v>7.89</v>
      </c>
      <c r="E78" t="s">
        <v>16</v>
      </c>
      <c r="F78" t="s">
        <v>16</v>
      </c>
      <c r="H78">
        <v>-0.12</v>
      </c>
      <c r="I78">
        <v>1.41</v>
      </c>
      <c r="J78">
        <v>-0.88</v>
      </c>
      <c r="L78">
        <v>-1.03</v>
      </c>
      <c r="M78">
        <v>283.07</v>
      </c>
      <c r="N78">
        <v>0.08</v>
      </c>
      <c r="O78">
        <v>1.77</v>
      </c>
    </row>
    <row r="79" spans="1:15">
      <c r="A79" t="str">
        <f>"000419"</f>
        <v>000419</v>
      </c>
      <c r="B79" t="s">
        <v>99</v>
      </c>
      <c r="C79">
        <v>-1.48</v>
      </c>
      <c r="D79">
        <v>4.67</v>
      </c>
      <c r="E79" t="s">
        <v>16</v>
      </c>
      <c r="F79" t="s">
        <v>16</v>
      </c>
      <c r="H79">
        <v>-0.2</v>
      </c>
      <c r="I79">
        <v>-6.97</v>
      </c>
      <c r="J79">
        <v>-3.51</v>
      </c>
      <c r="L79">
        <v>-0.21</v>
      </c>
      <c r="M79">
        <v>4.4</v>
      </c>
      <c r="N79">
        <v>0</v>
      </c>
      <c r="O79">
        <v>0.11</v>
      </c>
    </row>
    <row r="80" spans="1:15">
      <c r="A80" t="str">
        <f>"000420"</f>
        <v>000420</v>
      </c>
      <c r="B80" t="s">
        <v>100</v>
      </c>
      <c r="C80">
        <v>-1.86</v>
      </c>
      <c r="D80">
        <v>4.23</v>
      </c>
      <c r="E80" t="s">
        <v>16</v>
      </c>
      <c r="F80" t="s">
        <v>16</v>
      </c>
      <c r="H80">
        <v>-0.46</v>
      </c>
      <c r="I80">
        <v>-3.42</v>
      </c>
      <c r="J80">
        <v>-3.2</v>
      </c>
      <c r="L80">
        <v>0.23</v>
      </c>
      <c r="M80">
        <v>117.55</v>
      </c>
      <c r="N80">
        <v>0.01</v>
      </c>
      <c r="O80">
        <v>1.25</v>
      </c>
    </row>
    <row r="81" spans="1:15">
      <c r="A81" t="str">
        <f>"000421"</f>
        <v>000421</v>
      </c>
      <c r="B81" t="s">
        <v>101</v>
      </c>
      <c r="C81">
        <v>-2.23</v>
      </c>
      <c r="D81">
        <v>5.26</v>
      </c>
      <c r="E81" t="s">
        <v>16</v>
      </c>
      <c r="F81" t="s">
        <v>16</v>
      </c>
      <c r="H81">
        <v>-0.18</v>
      </c>
      <c r="I81">
        <v>-7.23</v>
      </c>
      <c r="J81">
        <v>-1.87</v>
      </c>
      <c r="L81">
        <v>-0.56</v>
      </c>
      <c r="M81">
        <v>7.22</v>
      </c>
      <c r="N81">
        <v>0.01</v>
      </c>
      <c r="O81">
        <v>3.29</v>
      </c>
    </row>
    <row r="82" spans="1:15">
      <c r="A82" t="str">
        <f>"000422"</f>
        <v>000422</v>
      </c>
      <c r="B82" t="s">
        <v>102</v>
      </c>
      <c r="C82">
        <v>-1.5</v>
      </c>
      <c r="D82">
        <v>13.13</v>
      </c>
      <c r="E82" t="s">
        <v>16</v>
      </c>
      <c r="F82" t="s">
        <v>16</v>
      </c>
      <c r="H82">
        <v>0.23</v>
      </c>
      <c r="I82">
        <v>0.54</v>
      </c>
      <c r="J82">
        <v>-1.5</v>
      </c>
      <c r="L82">
        <v>-0.23</v>
      </c>
      <c r="M82">
        <v>73.28</v>
      </c>
      <c r="N82">
        <v>0.01</v>
      </c>
      <c r="O82">
        <v>0.57</v>
      </c>
    </row>
    <row r="83" spans="1:15">
      <c r="A83" t="str">
        <f>"000423"</f>
        <v>000423</v>
      </c>
      <c r="B83" t="s">
        <v>103</v>
      </c>
      <c r="C83">
        <v>-3.47</v>
      </c>
      <c r="D83">
        <v>45.68</v>
      </c>
      <c r="E83" t="s">
        <v>16</v>
      </c>
      <c r="F83" t="s">
        <v>16</v>
      </c>
      <c r="H83">
        <v>-0.1</v>
      </c>
      <c r="I83">
        <v>-6.01</v>
      </c>
      <c r="J83">
        <v>-3.42</v>
      </c>
      <c r="L83">
        <v>-0.61</v>
      </c>
      <c r="M83">
        <v>235.15</v>
      </c>
      <c r="N83">
        <v>0.01</v>
      </c>
      <c r="O83">
        <v>2.84</v>
      </c>
    </row>
    <row r="84" spans="1:15">
      <c r="A84" t="str">
        <f>"000425"</f>
        <v>000425</v>
      </c>
      <c r="B84" t="s">
        <v>104</v>
      </c>
      <c r="C84">
        <v>-2.81</v>
      </c>
      <c r="D84">
        <v>8.99</v>
      </c>
      <c r="E84" t="s">
        <v>16</v>
      </c>
      <c r="F84" t="s">
        <v>16</v>
      </c>
      <c r="H84">
        <v>0</v>
      </c>
      <c r="I84">
        <v>-4.87</v>
      </c>
      <c r="J84">
        <v>-2.92</v>
      </c>
      <c r="L84">
        <v>-0.65</v>
      </c>
      <c r="M84">
        <v>171.03</v>
      </c>
      <c r="N84">
        <v>0</v>
      </c>
      <c r="O84">
        <v>0.83</v>
      </c>
    </row>
    <row r="85" spans="1:15">
      <c r="A85" t="str">
        <f>"000426"</f>
        <v>000426</v>
      </c>
      <c r="B85" t="s">
        <v>105</v>
      </c>
      <c r="C85">
        <v>-2.56</v>
      </c>
      <c r="D85">
        <v>39.57</v>
      </c>
      <c r="E85" t="s">
        <v>16</v>
      </c>
      <c r="F85" t="s">
        <v>16</v>
      </c>
      <c r="H85">
        <v>-0.12</v>
      </c>
      <c r="I85">
        <v>-0.8</v>
      </c>
      <c r="J85">
        <v>-3.86</v>
      </c>
      <c r="L85">
        <v>-0.02</v>
      </c>
      <c r="M85">
        <v>4258.94</v>
      </c>
      <c r="N85">
        <v>0.08</v>
      </c>
      <c r="O85">
        <v>3.68</v>
      </c>
    </row>
    <row r="86" spans="1:15">
      <c r="A86" t="str">
        <f>"000428"</f>
        <v>000428</v>
      </c>
      <c r="B86" t="s">
        <v>106</v>
      </c>
      <c r="C86">
        <v>1.58</v>
      </c>
      <c r="D86">
        <v>3.22</v>
      </c>
      <c r="E86" t="s">
        <v>16</v>
      </c>
      <c r="F86" t="s">
        <v>16</v>
      </c>
      <c r="H86">
        <v>0</v>
      </c>
      <c r="I86">
        <v>-8.26</v>
      </c>
      <c r="J86">
        <v>-1.53</v>
      </c>
      <c r="L86">
        <v>-0.63</v>
      </c>
      <c r="M86">
        <v>12.73</v>
      </c>
      <c r="N86">
        <v>0.01</v>
      </c>
      <c r="O86">
        <v>5.12</v>
      </c>
    </row>
    <row r="87" spans="1:15">
      <c r="A87" t="str">
        <f>"000429"</f>
        <v>000429</v>
      </c>
      <c r="B87" t="s">
        <v>107</v>
      </c>
      <c r="C87">
        <v>1.35</v>
      </c>
      <c r="D87">
        <v>13.56</v>
      </c>
      <c r="E87" t="s">
        <v>16</v>
      </c>
      <c r="F87" t="s">
        <v>16</v>
      </c>
      <c r="H87">
        <v>0</v>
      </c>
      <c r="I87">
        <v>-2.09</v>
      </c>
      <c r="J87">
        <v>-0.29</v>
      </c>
      <c r="L87">
        <v>0</v>
      </c>
      <c r="M87">
        <v>21.27</v>
      </c>
      <c r="N87">
        <v>0</v>
      </c>
      <c r="O87">
        <v>0.86</v>
      </c>
    </row>
    <row r="88" spans="1:15">
      <c r="A88" t="str">
        <f>"000430"</f>
        <v>000430</v>
      </c>
      <c r="B88" t="s">
        <v>108</v>
      </c>
      <c r="C88">
        <v>0.54</v>
      </c>
      <c r="D88">
        <v>7.47</v>
      </c>
      <c r="E88" t="s">
        <v>16</v>
      </c>
      <c r="F88" t="s">
        <v>16</v>
      </c>
      <c r="H88">
        <v>0.27</v>
      </c>
      <c r="I88">
        <v>-9.89</v>
      </c>
      <c r="J88">
        <v>-0.4</v>
      </c>
      <c r="L88">
        <v>0.54</v>
      </c>
      <c r="M88">
        <v>44.22</v>
      </c>
      <c r="N88">
        <v>0.02</v>
      </c>
      <c r="O88">
        <v>1.57</v>
      </c>
    </row>
    <row r="89" spans="1:15">
      <c r="A89" t="str">
        <f>"000488"</f>
        <v>000488</v>
      </c>
      <c r="B89" t="s">
        <v>109</v>
      </c>
      <c r="C89">
        <v>0</v>
      </c>
      <c r="D89">
        <v>2.08</v>
      </c>
      <c r="E89" t="s">
        <v>16</v>
      </c>
      <c r="F89" t="s">
        <v>16</v>
      </c>
      <c r="H89">
        <v>0.48</v>
      </c>
      <c r="I89">
        <v>-2.8</v>
      </c>
      <c r="J89">
        <v>-0.95</v>
      </c>
      <c r="L89">
        <v>0</v>
      </c>
      <c r="M89">
        <v>9.59</v>
      </c>
      <c r="N89">
        <v>0</v>
      </c>
      <c r="O89">
        <v>0.88</v>
      </c>
    </row>
    <row r="90" spans="1:15">
      <c r="A90" t="str">
        <f>"000498"</f>
        <v>000498</v>
      </c>
      <c r="B90" t="s">
        <v>110</v>
      </c>
      <c r="C90">
        <v>-1.57</v>
      </c>
      <c r="D90">
        <v>5</v>
      </c>
      <c r="E90" t="s">
        <v>16</v>
      </c>
      <c r="F90" t="s">
        <v>16</v>
      </c>
      <c r="H90">
        <v>0.2</v>
      </c>
      <c r="I90">
        <v>-2.53</v>
      </c>
      <c r="J90">
        <v>-1.77</v>
      </c>
      <c r="L90">
        <v>0</v>
      </c>
      <c r="M90">
        <v>27.03</v>
      </c>
      <c r="N90">
        <v>0.01</v>
      </c>
      <c r="O90">
        <v>0.33</v>
      </c>
    </row>
    <row r="91" spans="1:15">
      <c r="A91" t="str">
        <f>"000501"</f>
        <v>000501</v>
      </c>
      <c r="B91" t="s">
        <v>111</v>
      </c>
      <c r="C91">
        <v>-1.13</v>
      </c>
      <c r="D91">
        <v>6.97</v>
      </c>
      <c r="E91" t="s">
        <v>16</v>
      </c>
      <c r="F91" t="s">
        <v>16</v>
      </c>
      <c r="H91">
        <v>0</v>
      </c>
      <c r="I91">
        <v>-3.33</v>
      </c>
      <c r="J91">
        <v>-0.85</v>
      </c>
      <c r="L91">
        <v>-0.43</v>
      </c>
      <c r="M91">
        <v>12</v>
      </c>
      <c r="N91">
        <v>0</v>
      </c>
      <c r="O91">
        <v>0.61</v>
      </c>
    </row>
    <row r="92" spans="1:15">
      <c r="A92" t="str">
        <f>"000503"</f>
        <v>000503</v>
      </c>
      <c r="B92" t="s">
        <v>112</v>
      </c>
      <c r="C92">
        <v>-1.99</v>
      </c>
      <c r="D92">
        <v>6.88</v>
      </c>
      <c r="E92" t="s">
        <v>16</v>
      </c>
      <c r="F92" t="s">
        <v>16</v>
      </c>
      <c r="H92">
        <v>0.15</v>
      </c>
      <c r="I92">
        <v>-1.57</v>
      </c>
      <c r="J92">
        <v>-1.71</v>
      </c>
      <c r="L92">
        <v>-0.28</v>
      </c>
      <c r="M92">
        <v>41.37</v>
      </c>
      <c r="N92">
        <v>0.01</v>
      </c>
      <c r="O92">
        <v>0.75</v>
      </c>
    </row>
    <row r="93" spans="1:15">
      <c r="A93" t="str">
        <f>"000504"</f>
        <v>000504</v>
      </c>
      <c r="B93" t="s">
        <v>113</v>
      </c>
      <c r="C93">
        <v>-0.51</v>
      </c>
      <c r="D93">
        <v>7.84</v>
      </c>
      <c r="E93" t="s">
        <v>16</v>
      </c>
      <c r="F93" t="s">
        <v>16</v>
      </c>
      <c r="H93">
        <v>0.38</v>
      </c>
      <c r="I93">
        <v>-12.6</v>
      </c>
      <c r="J93">
        <v>-2.73</v>
      </c>
      <c r="L93">
        <v>-0.51</v>
      </c>
      <c r="M93">
        <v>25.64</v>
      </c>
      <c r="N93">
        <v>0.02</v>
      </c>
      <c r="O93">
        <v>3.41</v>
      </c>
    </row>
    <row r="94" spans="1:15">
      <c r="A94" t="str">
        <f>"000505"</f>
        <v>000505</v>
      </c>
      <c r="B94" t="s">
        <v>114</v>
      </c>
      <c r="C94">
        <v>-1.3</v>
      </c>
      <c r="D94">
        <v>5.32</v>
      </c>
      <c r="E94" t="s">
        <v>16</v>
      </c>
      <c r="F94" t="s">
        <v>16</v>
      </c>
      <c r="H94">
        <v>-0.18</v>
      </c>
      <c r="I94">
        <v>-8.43</v>
      </c>
      <c r="J94">
        <v>-1.66</v>
      </c>
      <c r="L94">
        <v>-0.56</v>
      </c>
      <c r="M94">
        <v>7.66</v>
      </c>
      <c r="N94">
        <v>0</v>
      </c>
      <c r="O94">
        <v>0.63</v>
      </c>
    </row>
    <row r="95" spans="1:15">
      <c r="A95" t="str">
        <f>"000506"</f>
        <v>000506</v>
      </c>
      <c r="B95" t="s">
        <v>115</v>
      </c>
      <c r="C95">
        <v>-4.79</v>
      </c>
      <c r="D95">
        <v>14.72</v>
      </c>
      <c r="E95" t="s">
        <v>16</v>
      </c>
      <c r="F95" t="s">
        <v>16</v>
      </c>
      <c r="H95">
        <v>-0.4</v>
      </c>
      <c r="I95">
        <v>5.14</v>
      </c>
      <c r="J95">
        <v>-3.48</v>
      </c>
      <c r="K95" t="s">
        <v>116</v>
      </c>
      <c r="L95">
        <v>-3.56</v>
      </c>
      <c r="M95">
        <v>1909.82</v>
      </c>
      <c r="N95">
        <v>0.21</v>
      </c>
      <c r="O95">
        <v>1.98</v>
      </c>
    </row>
    <row r="96" spans="1:15">
      <c r="A96" t="str">
        <f>"000507"</f>
        <v>000507</v>
      </c>
      <c r="B96" t="s">
        <v>117</v>
      </c>
      <c r="C96">
        <v>-2.26</v>
      </c>
      <c r="D96">
        <v>4.75</v>
      </c>
      <c r="E96" t="s">
        <v>16</v>
      </c>
      <c r="F96" t="s">
        <v>16</v>
      </c>
      <c r="H96">
        <v>-0.2</v>
      </c>
      <c r="I96">
        <v>-9.52</v>
      </c>
      <c r="J96">
        <v>-2.06</v>
      </c>
      <c r="L96">
        <v>-0.21</v>
      </c>
      <c r="M96">
        <v>0.1</v>
      </c>
      <c r="N96">
        <v>0</v>
      </c>
      <c r="O96">
        <v>0.05</v>
      </c>
    </row>
    <row r="97" spans="1:15">
      <c r="A97" t="str">
        <f>"000509"</f>
        <v>000509</v>
      </c>
      <c r="B97" t="s">
        <v>118</v>
      </c>
      <c r="C97">
        <v>-2.87</v>
      </c>
      <c r="D97">
        <v>4.06</v>
      </c>
      <c r="E97" t="s">
        <v>16</v>
      </c>
      <c r="F97" t="s">
        <v>16</v>
      </c>
      <c r="H97">
        <v>-0.24</v>
      </c>
      <c r="I97">
        <v>-15.24</v>
      </c>
      <c r="J97">
        <v>-2.4</v>
      </c>
      <c r="L97">
        <v>-0.96</v>
      </c>
      <c r="M97">
        <v>177.15</v>
      </c>
      <c r="N97">
        <v>0.07</v>
      </c>
      <c r="O97">
        <v>2.47</v>
      </c>
    </row>
    <row r="98" spans="1:15">
      <c r="A98" t="str">
        <f>"000510"</f>
        <v>000510</v>
      </c>
      <c r="B98" t="s">
        <v>119</v>
      </c>
      <c r="C98">
        <v>0.36</v>
      </c>
      <c r="D98">
        <v>22.1</v>
      </c>
      <c r="E98" t="s">
        <v>16</v>
      </c>
      <c r="F98" t="s">
        <v>16</v>
      </c>
      <c r="H98">
        <v>0.27</v>
      </c>
      <c r="I98">
        <v>14.92</v>
      </c>
      <c r="J98">
        <v>-1.25</v>
      </c>
      <c r="K98" t="s">
        <v>120</v>
      </c>
      <c r="L98">
        <v>-0.41</v>
      </c>
      <c r="M98">
        <v>944.31</v>
      </c>
      <c r="N98">
        <v>0.08</v>
      </c>
      <c r="O98">
        <v>0.32</v>
      </c>
    </row>
    <row r="99" spans="1:15">
      <c r="A99" t="str">
        <f>"000513"</f>
        <v>000513</v>
      </c>
      <c r="B99" t="s">
        <v>121</v>
      </c>
      <c r="C99">
        <v>-0.61</v>
      </c>
      <c r="D99">
        <v>29.3</v>
      </c>
      <c r="E99" t="s">
        <v>16</v>
      </c>
      <c r="F99" t="s">
        <v>16</v>
      </c>
      <c r="H99">
        <v>-0.3</v>
      </c>
      <c r="I99">
        <v>1.31</v>
      </c>
      <c r="J99">
        <v>-0.91</v>
      </c>
      <c r="L99">
        <v>-0.24</v>
      </c>
      <c r="M99">
        <v>52.06</v>
      </c>
      <c r="N99">
        <v>0.01</v>
      </c>
      <c r="O99">
        <v>2.24</v>
      </c>
    </row>
    <row r="100" spans="1:15">
      <c r="A100" t="str">
        <f>"000514"</f>
        <v>000514</v>
      </c>
      <c r="B100" t="s">
        <v>122</v>
      </c>
      <c r="C100">
        <v>-1.5</v>
      </c>
      <c r="D100">
        <v>3.93</v>
      </c>
      <c r="E100" t="s">
        <v>16</v>
      </c>
      <c r="F100" t="s">
        <v>16</v>
      </c>
      <c r="H100">
        <v>-0.24</v>
      </c>
      <c r="I100">
        <v>-9.86</v>
      </c>
      <c r="J100">
        <v>-1.75</v>
      </c>
      <c r="L100">
        <v>-0.5</v>
      </c>
      <c r="M100">
        <v>8.3</v>
      </c>
      <c r="N100">
        <v>0.01</v>
      </c>
      <c r="O100">
        <v>1.79</v>
      </c>
    </row>
    <row r="101" spans="1:15">
      <c r="A101" t="str">
        <f>"000516"</f>
        <v>000516</v>
      </c>
      <c r="B101" t="s">
        <v>123</v>
      </c>
      <c r="C101">
        <v>3.47</v>
      </c>
      <c r="D101">
        <v>4.17</v>
      </c>
      <c r="E101" t="s">
        <v>16</v>
      </c>
      <c r="F101" t="s">
        <v>16</v>
      </c>
      <c r="H101">
        <v>0</v>
      </c>
      <c r="I101">
        <v>1.96</v>
      </c>
      <c r="J101">
        <v>-3.02</v>
      </c>
      <c r="L101">
        <v>0</v>
      </c>
      <c r="M101">
        <v>29.66</v>
      </c>
      <c r="N101">
        <v>0</v>
      </c>
      <c r="O101">
        <v>0.59</v>
      </c>
    </row>
    <row r="102" spans="1:15">
      <c r="A102" t="str">
        <f>"000517"</f>
        <v>000517</v>
      </c>
      <c r="B102" t="s">
        <v>124</v>
      </c>
      <c r="C102">
        <v>-4.76</v>
      </c>
      <c r="D102">
        <v>1.8</v>
      </c>
      <c r="E102" t="s">
        <v>16</v>
      </c>
      <c r="F102" t="s">
        <v>16</v>
      </c>
      <c r="H102">
        <v>0.56</v>
      </c>
      <c r="I102">
        <v>-6.74</v>
      </c>
      <c r="J102">
        <v>-4.76</v>
      </c>
      <c r="L102">
        <v>-0.53</v>
      </c>
      <c r="M102">
        <v>65.18</v>
      </c>
      <c r="N102">
        <v>0.05</v>
      </c>
      <c r="O102">
        <v>0.94</v>
      </c>
    </row>
    <row r="103" spans="1:15">
      <c r="A103" t="str">
        <f>"000518"</f>
        <v>000518</v>
      </c>
      <c r="B103" t="s">
        <v>125</v>
      </c>
      <c r="C103">
        <v>-0.64</v>
      </c>
      <c r="D103">
        <v>3.12</v>
      </c>
      <c r="E103" t="s">
        <v>16</v>
      </c>
      <c r="F103" t="s">
        <v>16</v>
      </c>
      <c r="H103">
        <v>0</v>
      </c>
      <c r="I103">
        <v>-14.29</v>
      </c>
      <c r="J103">
        <v>-0.95</v>
      </c>
      <c r="L103">
        <v>0</v>
      </c>
      <c r="M103">
        <v>78.97</v>
      </c>
      <c r="N103">
        <v>0.04</v>
      </c>
      <c r="O103">
        <v>1.46</v>
      </c>
    </row>
    <row r="104" spans="1:15">
      <c r="A104" t="str">
        <f>"000519"</f>
        <v>000519</v>
      </c>
      <c r="B104" t="s">
        <v>126</v>
      </c>
      <c r="C104">
        <v>1.8</v>
      </c>
      <c r="D104">
        <v>20.34</v>
      </c>
      <c r="E104" t="s">
        <v>16</v>
      </c>
      <c r="F104" t="s">
        <v>16</v>
      </c>
      <c r="H104">
        <v>-0.04</v>
      </c>
      <c r="I104">
        <v>3.25</v>
      </c>
      <c r="J104">
        <v>-2.59</v>
      </c>
      <c r="L104">
        <v>0.25</v>
      </c>
      <c r="M104">
        <v>1490.83</v>
      </c>
      <c r="N104">
        <v>0.09</v>
      </c>
      <c r="O104">
        <v>1.61</v>
      </c>
    </row>
    <row r="105" spans="1:15">
      <c r="A105" t="str">
        <f>"000520"</f>
        <v>000520</v>
      </c>
      <c r="B105" t="s">
        <v>127</v>
      </c>
      <c r="C105">
        <v>-3.09</v>
      </c>
      <c r="D105">
        <v>4.39</v>
      </c>
      <c r="E105" t="s">
        <v>16</v>
      </c>
      <c r="F105" t="s">
        <v>16</v>
      </c>
      <c r="H105">
        <v>0</v>
      </c>
      <c r="I105">
        <v>5.02</v>
      </c>
      <c r="J105">
        <v>-4.15</v>
      </c>
      <c r="K105" t="s">
        <v>57</v>
      </c>
      <c r="L105">
        <v>0.44</v>
      </c>
      <c r="M105">
        <v>91.91</v>
      </c>
      <c r="N105">
        <v>0.03</v>
      </c>
      <c r="O105">
        <v>0.48</v>
      </c>
    </row>
    <row r="106" spans="1:15">
      <c r="A106" t="str">
        <f>"000521"</f>
        <v>000521</v>
      </c>
      <c r="B106" t="s">
        <v>128</v>
      </c>
      <c r="C106">
        <v>-3.82</v>
      </c>
      <c r="D106">
        <v>5.54</v>
      </c>
      <c r="E106" t="s">
        <v>16</v>
      </c>
      <c r="F106" t="s">
        <v>16</v>
      </c>
      <c r="H106">
        <v>-0.17</v>
      </c>
      <c r="I106">
        <v>-2.81</v>
      </c>
      <c r="J106">
        <v>-3.32</v>
      </c>
      <c r="L106">
        <v>-0.87</v>
      </c>
      <c r="M106">
        <v>38.2</v>
      </c>
      <c r="N106">
        <v>0.01</v>
      </c>
      <c r="O106">
        <v>2.24</v>
      </c>
    </row>
    <row r="107" spans="1:15">
      <c r="A107" t="str">
        <f>"000523"</f>
        <v>000523</v>
      </c>
      <c r="B107" t="s">
        <v>129</v>
      </c>
      <c r="C107">
        <v>-2.12</v>
      </c>
      <c r="D107">
        <v>2.77</v>
      </c>
      <c r="E107" t="s">
        <v>16</v>
      </c>
      <c r="F107" t="s">
        <v>16</v>
      </c>
      <c r="H107">
        <v>0.73</v>
      </c>
      <c r="I107">
        <v>-9.48</v>
      </c>
      <c r="J107">
        <v>-2.46</v>
      </c>
      <c r="L107">
        <v>0</v>
      </c>
      <c r="M107">
        <v>6.57</v>
      </c>
      <c r="N107">
        <v>0</v>
      </c>
      <c r="O107">
        <v>0.18</v>
      </c>
    </row>
    <row r="108" spans="1:15">
      <c r="A108" t="str">
        <f>"000524"</f>
        <v>000524</v>
      </c>
      <c r="B108" t="s">
        <v>130</v>
      </c>
      <c r="C108">
        <v>-0.89</v>
      </c>
      <c r="D108">
        <v>8.91</v>
      </c>
      <c r="E108" t="s">
        <v>16</v>
      </c>
      <c r="F108" t="s">
        <v>16</v>
      </c>
      <c r="H108">
        <v>-0.1</v>
      </c>
      <c r="I108">
        <v>-1.33</v>
      </c>
      <c r="J108">
        <v>-0.89</v>
      </c>
      <c r="L108">
        <v>-0.44</v>
      </c>
      <c r="M108">
        <v>22.11</v>
      </c>
      <c r="N108">
        <v>0.01</v>
      </c>
      <c r="O108">
        <v>0.68</v>
      </c>
    </row>
    <row r="109" spans="1:15">
      <c r="A109" t="str">
        <f>"000525"</f>
        <v>000525</v>
      </c>
      <c r="B109" t="s">
        <v>131</v>
      </c>
      <c r="C109">
        <v>-2.45</v>
      </c>
      <c r="D109">
        <v>4.38</v>
      </c>
      <c r="E109" t="s">
        <v>16</v>
      </c>
      <c r="F109" t="s">
        <v>16</v>
      </c>
      <c r="H109">
        <v>-0.22</v>
      </c>
      <c r="I109">
        <v>-3.31</v>
      </c>
      <c r="J109">
        <v>-3.95</v>
      </c>
      <c r="L109">
        <v>-0.89</v>
      </c>
      <c r="M109">
        <v>21.45</v>
      </c>
      <c r="N109">
        <v>0.01</v>
      </c>
      <c r="O109">
        <v>0.17</v>
      </c>
    </row>
    <row r="110" spans="1:15">
      <c r="A110" t="str">
        <f>"000526"</f>
        <v>000526</v>
      </c>
      <c r="B110" t="s">
        <v>132</v>
      </c>
      <c r="C110">
        <v>-1.93</v>
      </c>
      <c r="D110">
        <v>26.87</v>
      </c>
      <c r="E110" t="s">
        <v>16</v>
      </c>
      <c r="F110" t="s">
        <v>16</v>
      </c>
      <c r="H110">
        <v>0</v>
      </c>
      <c r="I110">
        <v>-0.59</v>
      </c>
      <c r="J110">
        <v>-2.82</v>
      </c>
      <c r="L110">
        <v>-1.28</v>
      </c>
      <c r="M110">
        <v>38.14</v>
      </c>
      <c r="N110">
        <v>0.02</v>
      </c>
      <c r="O110">
        <v>0.07</v>
      </c>
    </row>
    <row r="111" spans="1:15">
      <c r="A111" t="str">
        <f>"000528"</f>
        <v>000528</v>
      </c>
      <c r="B111" t="s">
        <v>133</v>
      </c>
      <c r="C111">
        <v>-2.2</v>
      </c>
      <c r="D111">
        <v>8</v>
      </c>
      <c r="E111" t="s">
        <v>16</v>
      </c>
      <c r="F111" t="s">
        <v>16</v>
      </c>
      <c r="H111">
        <v>0</v>
      </c>
      <c r="I111">
        <v>-5.55</v>
      </c>
      <c r="J111">
        <v>-2.08</v>
      </c>
      <c r="L111">
        <v>-0.24</v>
      </c>
      <c r="M111">
        <v>38.19</v>
      </c>
      <c r="N111">
        <v>0</v>
      </c>
      <c r="O111">
        <v>0.53</v>
      </c>
    </row>
    <row r="112" spans="1:15">
      <c r="A112" t="str">
        <f>"000529"</f>
        <v>000529</v>
      </c>
      <c r="B112" t="s">
        <v>134</v>
      </c>
      <c r="C112">
        <v>-0.65</v>
      </c>
      <c r="D112">
        <v>4.6</v>
      </c>
      <c r="E112" t="s">
        <v>16</v>
      </c>
      <c r="F112" t="s">
        <v>16</v>
      </c>
      <c r="H112">
        <v>-0.21</v>
      </c>
      <c r="I112">
        <v>-6.88</v>
      </c>
      <c r="J112">
        <v>-1.29</v>
      </c>
      <c r="L112">
        <v>-0.65</v>
      </c>
      <c r="M112">
        <v>5.57</v>
      </c>
      <c r="N112">
        <v>0</v>
      </c>
      <c r="O112">
        <v>1.15</v>
      </c>
    </row>
    <row r="113" spans="1:15">
      <c r="A113" t="str">
        <f>"000530"</f>
        <v>000530</v>
      </c>
      <c r="B113" t="s">
        <v>135</v>
      </c>
      <c r="C113">
        <v>-2.34</v>
      </c>
      <c r="D113">
        <v>5.43</v>
      </c>
      <c r="E113" t="s">
        <v>16</v>
      </c>
      <c r="F113" t="s">
        <v>16</v>
      </c>
      <c r="H113">
        <v>-0.17</v>
      </c>
      <c r="I113">
        <v>-12.98</v>
      </c>
      <c r="J113">
        <v>-2.34</v>
      </c>
      <c r="L113">
        <v>-0.54</v>
      </c>
      <c r="M113">
        <v>115.52</v>
      </c>
      <c r="N113">
        <v>0.05</v>
      </c>
      <c r="O113">
        <v>1.02</v>
      </c>
    </row>
    <row r="114" spans="1:15">
      <c r="A114" t="str">
        <f>"000531"</f>
        <v>000531</v>
      </c>
      <c r="B114" t="s">
        <v>136</v>
      </c>
      <c r="C114">
        <v>-5.98</v>
      </c>
      <c r="D114">
        <v>6.45</v>
      </c>
      <c r="E114" t="s">
        <v>16</v>
      </c>
      <c r="F114" t="s">
        <v>16</v>
      </c>
      <c r="H114">
        <v>0</v>
      </c>
      <c r="I114">
        <v>-16.12</v>
      </c>
      <c r="J114">
        <v>-5.43</v>
      </c>
      <c r="L114">
        <v>-0.73</v>
      </c>
      <c r="M114">
        <v>32.42</v>
      </c>
      <c r="N114">
        <v>0.01</v>
      </c>
      <c r="O114">
        <v>1.04</v>
      </c>
    </row>
    <row r="115" spans="1:15">
      <c r="A115" t="str">
        <f>"000532"</f>
        <v>000532</v>
      </c>
      <c r="B115" t="s">
        <v>137</v>
      </c>
      <c r="C115">
        <v>-0.34</v>
      </c>
      <c r="D115">
        <v>11.71</v>
      </c>
      <c r="E115" t="s">
        <v>16</v>
      </c>
      <c r="F115" t="s">
        <v>16</v>
      </c>
      <c r="H115">
        <v>-0.25</v>
      </c>
      <c r="I115">
        <v>-5.18</v>
      </c>
      <c r="J115">
        <v>-6.54</v>
      </c>
      <c r="L115">
        <v>4.77</v>
      </c>
      <c r="M115">
        <v>505.94</v>
      </c>
      <c r="N115">
        <v>0.23</v>
      </c>
      <c r="O115">
        <v>21.08</v>
      </c>
    </row>
    <row r="116" spans="1:15">
      <c r="A116" t="str">
        <f>"000533"</f>
        <v>000533</v>
      </c>
      <c r="B116" t="s">
        <v>138</v>
      </c>
      <c r="C116">
        <v>-3.35</v>
      </c>
      <c r="D116">
        <v>10.39</v>
      </c>
      <c r="E116" t="s">
        <v>16</v>
      </c>
      <c r="F116" t="s">
        <v>16</v>
      </c>
      <c r="H116">
        <v>0</v>
      </c>
      <c r="I116">
        <v>-10.12</v>
      </c>
      <c r="J116">
        <v>-2.26</v>
      </c>
      <c r="L116">
        <v>-1.12</v>
      </c>
      <c r="M116">
        <v>454.43</v>
      </c>
      <c r="N116">
        <v>0.1</v>
      </c>
      <c r="O116">
        <v>0.77</v>
      </c>
    </row>
    <row r="117" spans="1:15">
      <c r="A117" t="str">
        <f>"000534"</f>
        <v>000534</v>
      </c>
      <c r="B117" t="s">
        <v>139</v>
      </c>
      <c r="C117">
        <v>9.99</v>
      </c>
      <c r="D117">
        <v>32.36</v>
      </c>
      <c r="E117">
        <v>6341.59</v>
      </c>
      <c r="F117">
        <v>1</v>
      </c>
      <c r="H117">
        <v>0</v>
      </c>
      <c r="I117">
        <v>-2.09</v>
      </c>
      <c r="J117">
        <v>0</v>
      </c>
      <c r="K117" t="s">
        <v>140</v>
      </c>
      <c r="L117">
        <v>1.56</v>
      </c>
      <c r="M117">
        <v>214.27</v>
      </c>
      <c r="N117">
        <v>0.02</v>
      </c>
      <c r="O117">
        <v>2.4</v>
      </c>
    </row>
    <row r="118" spans="1:15">
      <c r="A118" t="str">
        <f>"000536"</f>
        <v>000536</v>
      </c>
      <c r="B118" t="s">
        <v>141</v>
      </c>
      <c r="C118">
        <v>-6.49</v>
      </c>
      <c r="D118">
        <v>3.6</v>
      </c>
      <c r="E118" t="s">
        <v>16</v>
      </c>
      <c r="F118" t="s">
        <v>16</v>
      </c>
      <c r="H118">
        <v>0</v>
      </c>
      <c r="I118">
        <v>-12.83</v>
      </c>
      <c r="J118">
        <v>-4</v>
      </c>
      <c r="L118">
        <v>-2.6</v>
      </c>
      <c r="M118">
        <v>500.81</v>
      </c>
      <c r="N118">
        <v>0.08</v>
      </c>
      <c r="O118">
        <v>3.26</v>
      </c>
    </row>
    <row r="119" spans="1:15">
      <c r="A119" t="str">
        <f>"000537"</f>
        <v>000537</v>
      </c>
      <c r="B119" t="s">
        <v>142</v>
      </c>
      <c r="C119">
        <v>-5.38</v>
      </c>
      <c r="D119">
        <v>8.09</v>
      </c>
      <c r="E119" t="s">
        <v>16</v>
      </c>
      <c r="F119" t="s">
        <v>16</v>
      </c>
      <c r="H119">
        <v>0.12</v>
      </c>
      <c r="I119">
        <v>-25.98</v>
      </c>
      <c r="J119">
        <v>-4.94</v>
      </c>
      <c r="L119">
        <v>-0.7</v>
      </c>
      <c r="M119">
        <v>124.89</v>
      </c>
      <c r="N119">
        <v>0.02</v>
      </c>
      <c r="O119">
        <v>1.07</v>
      </c>
    </row>
    <row r="120" spans="1:15">
      <c r="A120" t="str">
        <f>"000538"</f>
        <v>000538</v>
      </c>
      <c r="B120" t="s">
        <v>143</v>
      </c>
      <c r="C120">
        <v>-0.98</v>
      </c>
      <c r="D120">
        <v>48.43</v>
      </c>
      <c r="E120" t="s">
        <v>16</v>
      </c>
      <c r="F120" t="s">
        <v>16</v>
      </c>
      <c r="H120">
        <v>-0.03</v>
      </c>
      <c r="I120">
        <v>-0.35</v>
      </c>
      <c r="J120">
        <v>-1.26</v>
      </c>
      <c r="L120">
        <v>-0.02</v>
      </c>
      <c r="M120">
        <v>98.29</v>
      </c>
      <c r="N120">
        <v>0</v>
      </c>
      <c r="O120">
        <v>0.73</v>
      </c>
    </row>
    <row r="121" spans="1:15">
      <c r="A121" t="str">
        <f>"000539"</f>
        <v>000539</v>
      </c>
      <c r="B121" t="s">
        <v>144</v>
      </c>
      <c r="C121">
        <v>-9.98</v>
      </c>
      <c r="D121">
        <v>7.4</v>
      </c>
      <c r="E121">
        <v>407.81</v>
      </c>
      <c r="F121" t="s">
        <v>16</v>
      </c>
      <c r="H121">
        <v>0</v>
      </c>
      <c r="I121">
        <v>-19.3</v>
      </c>
      <c r="J121">
        <v>-8.75</v>
      </c>
      <c r="L121">
        <v>-2.68</v>
      </c>
      <c r="M121">
        <v>2208.24</v>
      </c>
      <c r="N121">
        <v>0.34</v>
      </c>
      <c r="O121">
        <v>6.07</v>
      </c>
    </row>
    <row r="122" spans="1:15">
      <c r="A122" t="str">
        <f>"000541"</f>
        <v>000541</v>
      </c>
      <c r="B122" t="s">
        <v>145</v>
      </c>
      <c r="C122">
        <v>-1.56</v>
      </c>
      <c r="D122">
        <v>5.04</v>
      </c>
      <c r="E122" t="s">
        <v>16</v>
      </c>
      <c r="F122" t="s">
        <v>16</v>
      </c>
      <c r="H122">
        <v>-0.19</v>
      </c>
      <c r="I122">
        <v>0.8</v>
      </c>
      <c r="J122">
        <v>-1.18</v>
      </c>
      <c r="K122" t="s">
        <v>26</v>
      </c>
      <c r="L122">
        <v>-0.78</v>
      </c>
      <c r="M122">
        <v>230.23</v>
      </c>
      <c r="N122">
        <v>0.07</v>
      </c>
      <c r="O122">
        <v>0.25</v>
      </c>
    </row>
    <row r="123" spans="1:15">
      <c r="A123" t="str">
        <f>"000543"</f>
        <v>000543</v>
      </c>
      <c r="B123" t="s">
        <v>146</v>
      </c>
      <c r="C123">
        <v>-6.42</v>
      </c>
      <c r="D123">
        <v>8.02</v>
      </c>
      <c r="E123" t="s">
        <v>16</v>
      </c>
      <c r="F123" t="s">
        <v>16</v>
      </c>
      <c r="H123">
        <v>0.12</v>
      </c>
      <c r="I123">
        <v>-16.46</v>
      </c>
      <c r="J123">
        <v>-6.09</v>
      </c>
      <c r="L123">
        <v>-0.7</v>
      </c>
      <c r="M123">
        <v>53.61</v>
      </c>
      <c r="N123">
        <v>0.01</v>
      </c>
      <c r="O123">
        <v>0.63</v>
      </c>
    </row>
    <row r="124" spans="1:15">
      <c r="A124" t="str">
        <f>"000544"</f>
        <v>000544</v>
      </c>
      <c r="B124" t="s">
        <v>147</v>
      </c>
      <c r="C124">
        <v>-1.19</v>
      </c>
      <c r="D124">
        <v>7.46</v>
      </c>
      <c r="E124" t="s">
        <v>16</v>
      </c>
      <c r="F124" t="s">
        <v>16</v>
      </c>
      <c r="H124">
        <v>0</v>
      </c>
      <c r="I124">
        <v>-0.8</v>
      </c>
      <c r="J124">
        <v>-1.97</v>
      </c>
      <c r="L124">
        <v>0.4</v>
      </c>
      <c r="M124">
        <v>35.93</v>
      </c>
      <c r="N124">
        <v>0.02</v>
      </c>
      <c r="O124">
        <v>31.6</v>
      </c>
    </row>
    <row r="125" spans="1:15">
      <c r="A125" t="str">
        <f>"000545"</f>
        <v>000545</v>
      </c>
      <c r="B125" t="s">
        <v>148</v>
      </c>
      <c r="C125">
        <v>-3.21</v>
      </c>
      <c r="D125">
        <v>2.41</v>
      </c>
      <c r="E125" t="s">
        <v>16</v>
      </c>
      <c r="F125" t="s">
        <v>16</v>
      </c>
      <c r="H125">
        <v>-0.4</v>
      </c>
      <c r="I125">
        <v>0</v>
      </c>
      <c r="J125">
        <v>-3.98</v>
      </c>
      <c r="K125" t="s">
        <v>57</v>
      </c>
      <c r="L125">
        <v>0.8</v>
      </c>
      <c r="M125">
        <v>149.52</v>
      </c>
      <c r="N125">
        <v>0.07</v>
      </c>
      <c r="O125">
        <v>0.43</v>
      </c>
    </row>
    <row r="126" spans="1:15">
      <c r="A126" t="str">
        <f>"000546"</f>
        <v>000546</v>
      </c>
      <c r="B126" t="s">
        <v>149</v>
      </c>
      <c r="C126">
        <v>-3</v>
      </c>
      <c r="D126">
        <v>5.18</v>
      </c>
      <c r="E126" t="s">
        <v>16</v>
      </c>
      <c r="F126" t="s">
        <v>16</v>
      </c>
      <c r="H126">
        <v>0.39</v>
      </c>
      <c r="I126">
        <v>-0.96</v>
      </c>
      <c r="J126">
        <v>-2.08</v>
      </c>
      <c r="L126">
        <v>-0.94</v>
      </c>
      <c r="M126">
        <v>63.11</v>
      </c>
      <c r="N126">
        <v>0.03</v>
      </c>
      <c r="O126">
        <v>1.01</v>
      </c>
    </row>
    <row r="127" spans="1:15">
      <c r="A127" t="str">
        <f>"000547"</f>
        <v>000547</v>
      </c>
      <c r="B127" t="s">
        <v>150</v>
      </c>
      <c r="C127">
        <v>-1.65</v>
      </c>
      <c r="D127">
        <v>19.72</v>
      </c>
      <c r="E127" t="s">
        <v>16</v>
      </c>
      <c r="F127" t="s">
        <v>16</v>
      </c>
      <c r="H127">
        <v>0.05</v>
      </c>
      <c r="I127">
        <v>-0.9</v>
      </c>
      <c r="J127">
        <v>-2.13</v>
      </c>
      <c r="L127">
        <v>-0.75</v>
      </c>
      <c r="M127">
        <v>2225.42</v>
      </c>
      <c r="N127">
        <v>0.09</v>
      </c>
      <c r="O127">
        <v>1.45</v>
      </c>
    </row>
    <row r="128" spans="1:15">
      <c r="A128" t="str">
        <f>"000548"</f>
        <v>000548</v>
      </c>
      <c r="B128" t="s">
        <v>151</v>
      </c>
      <c r="C128">
        <v>-0.91</v>
      </c>
      <c r="D128">
        <v>4.34</v>
      </c>
      <c r="E128" t="s">
        <v>16</v>
      </c>
      <c r="F128" t="s">
        <v>16</v>
      </c>
      <c r="H128">
        <v>0</v>
      </c>
      <c r="I128">
        <v>-6.87</v>
      </c>
      <c r="J128">
        <v>-1.14</v>
      </c>
      <c r="L128">
        <v>0</v>
      </c>
      <c r="M128">
        <v>2.41</v>
      </c>
      <c r="N128">
        <v>0</v>
      </c>
      <c r="O128">
        <v>0.23</v>
      </c>
    </row>
    <row r="129" spans="1:15">
      <c r="A129" t="str">
        <f>"000550"</f>
        <v>000550</v>
      </c>
      <c r="B129" t="s">
        <v>152</v>
      </c>
      <c r="C129">
        <v>0.63</v>
      </c>
      <c r="D129">
        <v>17.54</v>
      </c>
      <c r="E129" t="s">
        <v>16</v>
      </c>
      <c r="F129" t="s">
        <v>16</v>
      </c>
      <c r="H129">
        <v>0.17</v>
      </c>
      <c r="I129">
        <v>1.8</v>
      </c>
      <c r="J129">
        <v>-0.34</v>
      </c>
      <c r="L129">
        <v>-0.17</v>
      </c>
      <c r="M129">
        <v>2.61</v>
      </c>
      <c r="N129">
        <v>0</v>
      </c>
      <c r="O129">
        <v>0.25</v>
      </c>
    </row>
    <row r="130" spans="1:15">
      <c r="A130" t="str">
        <f>"000551"</f>
        <v>000551</v>
      </c>
      <c r="B130" t="s">
        <v>153</v>
      </c>
      <c r="C130">
        <v>2.76</v>
      </c>
      <c r="D130">
        <v>15.63</v>
      </c>
      <c r="E130" t="s">
        <v>16</v>
      </c>
      <c r="F130" t="s">
        <v>16</v>
      </c>
      <c r="H130">
        <v>0.58</v>
      </c>
      <c r="I130">
        <v>3.44</v>
      </c>
      <c r="J130">
        <v>-0.13</v>
      </c>
      <c r="L130">
        <v>-0.2</v>
      </c>
      <c r="M130">
        <v>116.13</v>
      </c>
      <c r="N130">
        <v>0.02</v>
      </c>
      <c r="O130">
        <v>1.09</v>
      </c>
    </row>
    <row r="131" spans="1:15">
      <c r="A131" t="str">
        <f>"000552"</f>
        <v>000552</v>
      </c>
      <c r="B131" t="s">
        <v>154</v>
      </c>
      <c r="C131">
        <v>-2.42</v>
      </c>
      <c r="D131">
        <v>2.42</v>
      </c>
      <c r="E131" t="s">
        <v>16</v>
      </c>
      <c r="F131" t="s">
        <v>16</v>
      </c>
      <c r="H131">
        <v>0</v>
      </c>
      <c r="I131">
        <v>-16.55</v>
      </c>
      <c r="J131">
        <v>-2.02</v>
      </c>
      <c r="L131">
        <v>-0.4</v>
      </c>
      <c r="M131">
        <v>74.03</v>
      </c>
      <c r="N131">
        <v>0.01</v>
      </c>
      <c r="O131">
        <v>1.65</v>
      </c>
    </row>
    <row r="132" spans="1:15">
      <c r="A132" t="str">
        <f>"000553"</f>
        <v>000553</v>
      </c>
      <c r="B132" t="s">
        <v>155</v>
      </c>
      <c r="C132">
        <v>-1.7</v>
      </c>
      <c r="D132">
        <v>5.78</v>
      </c>
      <c r="E132" t="s">
        <v>16</v>
      </c>
      <c r="F132" t="s">
        <v>16</v>
      </c>
      <c r="H132">
        <v>0.17</v>
      </c>
      <c r="I132">
        <v>-4.78</v>
      </c>
      <c r="J132">
        <v>-1.7</v>
      </c>
      <c r="L132">
        <v>-0.51</v>
      </c>
      <c r="M132">
        <v>16.61</v>
      </c>
      <c r="N132">
        <v>0.01</v>
      </c>
      <c r="O132">
        <v>2.54</v>
      </c>
    </row>
    <row r="133" spans="1:15">
      <c r="A133" t="str">
        <f>"000554"</f>
        <v>000554</v>
      </c>
      <c r="B133" t="s">
        <v>156</v>
      </c>
      <c r="C133">
        <v>-1.6</v>
      </c>
      <c r="D133">
        <v>6.14</v>
      </c>
      <c r="E133" t="s">
        <v>16</v>
      </c>
      <c r="F133" t="s">
        <v>16</v>
      </c>
      <c r="H133">
        <v>0</v>
      </c>
      <c r="I133">
        <v>-8.36</v>
      </c>
      <c r="J133">
        <v>-1.29</v>
      </c>
      <c r="L133">
        <v>-0.48</v>
      </c>
      <c r="M133">
        <v>9</v>
      </c>
      <c r="N133">
        <v>0</v>
      </c>
      <c r="O133">
        <v>0.21</v>
      </c>
    </row>
    <row r="134" spans="1:15">
      <c r="A134" t="str">
        <f>"000555"</f>
        <v>000555</v>
      </c>
      <c r="B134" t="s">
        <v>157</v>
      </c>
      <c r="C134">
        <v>0</v>
      </c>
      <c r="D134">
        <v>11.26</v>
      </c>
      <c r="E134" t="s">
        <v>16</v>
      </c>
      <c r="F134" t="s">
        <v>16</v>
      </c>
      <c r="H134">
        <v>-0.26</v>
      </c>
      <c r="I134">
        <v>-8.08</v>
      </c>
      <c r="J134">
        <v>-1.92</v>
      </c>
      <c r="L134">
        <v>0.09</v>
      </c>
      <c r="M134">
        <v>127.01</v>
      </c>
      <c r="N134">
        <v>0.02</v>
      </c>
      <c r="O134">
        <v>4.11</v>
      </c>
    </row>
    <row r="135" spans="1:15">
      <c r="A135" t="str">
        <f>"000557"</f>
        <v>000557</v>
      </c>
      <c r="B135" t="s">
        <v>158</v>
      </c>
      <c r="C135">
        <v>0.81</v>
      </c>
      <c r="D135">
        <v>3.73</v>
      </c>
      <c r="E135" t="s">
        <v>16</v>
      </c>
      <c r="F135" t="s">
        <v>16</v>
      </c>
      <c r="H135">
        <v>-0.26</v>
      </c>
      <c r="I135">
        <v>-8.8</v>
      </c>
      <c r="J135">
        <v>-0.53</v>
      </c>
      <c r="L135">
        <v>-0.27</v>
      </c>
      <c r="M135">
        <v>54.46</v>
      </c>
      <c r="N135">
        <v>0.02</v>
      </c>
      <c r="O135">
        <v>22.03</v>
      </c>
    </row>
    <row r="136" spans="1:15">
      <c r="A136" t="str">
        <f>"000558"</f>
        <v>000558</v>
      </c>
      <c r="B136" t="s">
        <v>159</v>
      </c>
      <c r="C136">
        <v>-4.37</v>
      </c>
      <c r="D136">
        <v>3.5</v>
      </c>
      <c r="E136" t="s">
        <v>16</v>
      </c>
      <c r="F136" t="s">
        <v>16</v>
      </c>
      <c r="H136">
        <v>0</v>
      </c>
      <c r="I136">
        <v>-2.51</v>
      </c>
      <c r="J136">
        <v>-4.37</v>
      </c>
      <c r="L136">
        <v>-0.82</v>
      </c>
      <c r="M136">
        <v>131.77</v>
      </c>
      <c r="N136">
        <v>0.04</v>
      </c>
      <c r="O136">
        <v>1.61</v>
      </c>
    </row>
    <row r="137" spans="1:15">
      <c r="A137" t="str">
        <f>"000559"</f>
        <v>000559</v>
      </c>
      <c r="B137" t="s">
        <v>160</v>
      </c>
      <c r="C137">
        <v>1.33</v>
      </c>
      <c r="D137">
        <v>13.75</v>
      </c>
      <c r="E137" t="s">
        <v>16</v>
      </c>
      <c r="F137" t="s">
        <v>16</v>
      </c>
      <c r="H137">
        <v>-0.06</v>
      </c>
      <c r="I137">
        <v>-7.41</v>
      </c>
      <c r="J137">
        <v>-1.29</v>
      </c>
      <c r="L137">
        <v>-0.15</v>
      </c>
      <c r="M137">
        <v>109.62</v>
      </c>
      <c r="N137">
        <v>0.01</v>
      </c>
      <c r="O137">
        <v>0.6</v>
      </c>
    </row>
    <row r="138" spans="1:15">
      <c r="A138" t="str">
        <f>"000560"</f>
        <v>000560</v>
      </c>
      <c r="B138" t="s">
        <v>161</v>
      </c>
      <c r="C138">
        <v>-2.22</v>
      </c>
      <c r="D138">
        <v>2.2</v>
      </c>
      <c r="E138" t="s">
        <v>16</v>
      </c>
      <c r="F138" t="s">
        <v>16</v>
      </c>
      <c r="H138">
        <v>0</v>
      </c>
      <c r="I138">
        <v>-14.73</v>
      </c>
      <c r="J138">
        <v>-1.79</v>
      </c>
      <c r="L138">
        <v>-0.89</v>
      </c>
      <c r="M138">
        <v>100.39</v>
      </c>
      <c r="N138">
        <v>0.03</v>
      </c>
      <c r="O138">
        <v>3.86</v>
      </c>
    </row>
    <row r="139" spans="1:15">
      <c r="A139" t="str">
        <f>"000561"</f>
        <v>000561</v>
      </c>
      <c r="B139" t="s">
        <v>162</v>
      </c>
      <c r="C139">
        <v>-1.53</v>
      </c>
      <c r="D139">
        <v>7.7</v>
      </c>
      <c r="E139" t="s">
        <v>16</v>
      </c>
      <c r="F139" t="s">
        <v>16</v>
      </c>
      <c r="H139">
        <v>-0.12</v>
      </c>
      <c r="I139">
        <v>-3.63</v>
      </c>
      <c r="J139">
        <v>-2.41</v>
      </c>
      <c r="L139">
        <v>-0.38</v>
      </c>
      <c r="M139">
        <v>13.48</v>
      </c>
      <c r="N139">
        <v>0</v>
      </c>
      <c r="O139">
        <v>0.76</v>
      </c>
    </row>
    <row r="140" spans="1:15">
      <c r="A140" t="str">
        <f>"000563"</f>
        <v>000563</v>
      </c>
      <c r="B140" t="s">
        <v>163</v>
      </c>
      <c r="C140">
        <v>-2.05</v>
      </c>
      <c r="D140">
        <v>2.86</v>
      </c>
      <c r="E140" t="s">
        <v>16</v>
      </c>
      <c r="F140" t="s">
        <v>16</v>
      </c>
      <c r="H140">
        <v>-0.34</v>
      </c>
      <c r="I140">
        <v>-2.39</v>
      </c>
      <c r="J140">
        <v>-2.05</v>
      </c>
      <c r="L140">
        <v>0</v>
      </c>
      <c r="M140">
        <v>66.87</v>
      </c>
      <c r="N140">
        <v>0.01</v>
      </c>
      <c r="O140">
        <v>1.46</v>
      </c>
    </row>
    <row r="141" spans="1:15">
      <c r="A141" t="str">
        <f>"000564"</f>
        <v>000564</v>
      </c>
      <c r="B141" t="s">
        <v>164</v>
      </c>
      <c r="C141">
        <v>-3.95</v>
      </c>
      <c r="D141">
        <v>1.46</v>
      </c>
      <c r="E141" t="s">
        <v>16</v>
      </c>
      <c r="F141" t="s">
        <v>16</v>
      </c>
      <c r="H141">
        <v>0</v>
      </c>
      <c r="I141">
        <v>-8.75</v>
      </c>
      <c r="J141">
        <v>-5.81</v>
      </c>
      <c r="K141" t="s">
        <v>26</v>
      </c>
      <c r="L141">
        <v>0.66</v>
      </c>
      <c r="M141">
        <v>908.25</v>
      </c>
      <c r="N141">
        <v>0.06</v>
      </c>
      <c r="O141">
        <v>0.43</v>
      </c>
    </row>
    <row r="142" spans="1:15">
      <c r="A142" t="str">
        <f>"000565"</f>
        <v>000565</v>
      </c>
      <c r="B142" t="s">
        <v>165</v>
      </c>
      <c r="C142">
        <v>-0.65</v>
      </c>
      <c r="D142">
        <v>6.16</v>
      </c>
      <c r="E142" t="s">
        <v>16</v>
      </c>
      <c r="F142" t="s">
        <v>16</v>
      </c>
      <c r="H142">
        <v>-0.15</v>
      </c>
      <c r="I142">
        <v>-6.95</v>
      </c>
      <c r="J142">
        <v>-0.96</v>
      </c>
      <c r="L142">
        <v>-0.16</v>
      </c>
      <c r="M142">
        <v>25.13</v>
      </c>
      <c r="N142">
        <v>0.02</v>
      </c>
      <c r="O142">
        <v>1.4</v>
      </c>
    </row>
    <row r="143" spans="1:15">
      <c r="A143" t="str">
        <f>"000566"</f>
        <v>000566</v>
      </c>
      <c r="B143" t="s">
        <v>166</v>
      </c>
      <c r="C143">
        <v>-0.26</v>
      </c>
      <c r="D143">
        <v>3.77</v>
      </c>
      <c r="E143" t="s">
        <v>16</v>
      </c>
      <c r="F143" t="s">
        <v>16</v>
      </c>
      <c r="H143">
        <v>-0.25</v>
      </c>
      <c r="I143">
        <v>-5.04</v>
      </c>
      <c r="J143">
        <v>-3.33</v>
      </c>
      <c r="L143">
        <v>0.26</v>
      </c>
      <c r="M143">
        <v>20.28</v>
      </c>
      <c r="N143">
        <v>0.01</v>
      </c>
      <c r="O143">
        <v>0.33</v>
      </c>
    </row>
    <row r="144" spans="1:15">
      <c r="A144" t="str">
        <f>"000567"</f>
        <v>000567</v>
      </c>
      <c r="B144" t="s">
        <v>167</v>
      </c>
      <c r="C144">
        <v>-0.69</v>
      </c>
      <c r="D144">
        <v>5.76</v>
      </c>
      <c r="E144" t="s">
        <v>16</v>
      </c>
      <c r="F144" t="s">
        <v>16</v>
      </c>
      <c r="H144">
        <v>-0.16</v>
      </c>
      <c r="I144">
        <v>-2.21</v>
      </c>
      <c r="J144">
        <v>-1.71</v>
      </c>
      <c r="L144">
        <v>-0.34</v>
      </c>
      <c r="M144">
        <v>19.77</v>
      </c>
      <c r="N144">
        <v>0.01</v>
      </c>
      <c r="O144">
        <v>0.49</v>
      </c>
    </row>
    <row r="145" spans="1:15">
      <c r="A145" t="str">
        <f>"000568"</f>
        <v>000568</v>
      </c>
      <c r="B145" t="s">
        <v>168</v>
      </c>
      <c r="C145">
        <v>-2.42</v>
      </c>
      <c r="D145">
        <v>80.93</v>
      </c>
      <c r="E145" t="s">
        <v>16</v>
      </c>
      <c r="F145" t="s">
        <v>16</v>
      </c>
      <c r="H145">
        <v>-0.29</v>
      </c>
      <c r="I145">
        <v>-6.55</v>
      </c>
      <c r="J145">
        <v>-2.2</v>
      </c>
      <c r="L145">
        <v>-0.46</v>
      </c>
      <c r="M145">
        <v>364.09</v>
      </c>
      <c r="N145">
        <v>0.01</v>
      </c>
      <c r="O145">
        <v>1.22</v>
      </c>
    </row>
    <row r="146" spans="1:15">
      <c r="A146" t="str">
        <f>"000570"</f>
        <v>000570</v>
      </c>
      <c r="B146" t="s">
        <v>169</v>
      </c>
      <c r="C146">
        <v>-1.56</v>
      </c>
      <c r="D146">
        <v>5.04</v>
      </c>
      <c r="E146" t="s">
        <v>16</v>
      </c>
      <c r="F146" t="s">
        <v>16</v>
      </c>
      <c r="H146">
        <v>-0.39</v>
      </c>
      <c r="I146">
        <v>-8.36</v>
      </c>
      <c r="J146">
        <v>-1.75</v>
      </c>
      <c r="L146">
        <v>-0.2</v>
      </c>
      <c r="M146">
        <v>30.71</v>
      </c>
      <c r="N146">
        <v>0.02</v>
      </c>
      <c r="O146">
        <v>2.5</v>
      </c>
    </row>
    <row r="147" spans="1:15">
      <c r="A147" t="str">
        <f>"000571"</f>
        <v>000571</v>
      </c>
      <c r="B147" t="s">
        <v>170</v>
      </c>
      <c r="C147">
        <v>-3.11</v>
      </c>
      <c r="D147">
        <v>5.3</v>
      </c>
      <c r="E147" t="s">
        <v>16</v>
      </c>
      <c r="F147" t="s">
        <v>16</v>
      </c>
      <c r="H147">
        <v>0.38</v>
      </c>
      <c r="I147">
        <v>-7.67</v>
      </c>
      <c r="J147">
        <v>-5.86</v>
      </c>
      <c r="L147">
        <v>-0.18</v>
      </c>
      <c r="M147">
        <v>9.17</v>
      </c>
      <c r="N147">
        <v>0</v>
      </c>
      <c r="O147">
        <v>0.04</v>
      </c>
    </row>
    <row r="148" spans="1:15">
      <c r="A148" t="str">
        <f>"000572"</f>
        <v>000572</v>
      </c>
      <c r="B148" t="s">
        <v>171</v>
      </c>
      <c r="C148">
        <v>-1.22</v>
      </c>
      <c r="D148">
        <v>4.06</v>
      </c>
      <c r="E148" t="s">
        <v>16</v>
      </c>
      <c r="F148" t="s">
        <v>16</v>
      </c>
      <c r="H148">
        <v>-0.48</v>
      </c>
      <c r="I148">
        <v>-8.35</v>
      </c>
      <c r="J148">
        <v>-1.22</v>
      </c>
      <c r="L148">
        <v>-0.49</v>
      </c>
      <c r="M148">
        <v>104.46</v>
      </c>
      <c r="N148">
        <v>0.02</v>
      </c>
      <c r="O148">
        <v>1.72</v>
      </c>
    </row>
    <row r="149" spans="1:15">
      <c r="A149" t="str">
        <f>"000573"</f>
        <v>000573</v>
      </c>
      <c r="B149" t="s">
        <v>172</v>
      </c>
      <c r="C149">
        <v>-0.25</v>
      </c>
      <c r="D149">
        <v>4.02</v>
      </c>
      <c r="E149" t="s">
        <v>16</v>
      </c>
      <c r="F149" t="s">
        <v>16</v>
      </c>
      <c r="H149">
        <v>0</v>
      </c>
      <c r="I149">
        <v>-4.06</v>
      </c>
      <c r="J149">
        <v>-0.5</v>
      </c>
      <c r="L149">
        <v>-0.74</v>
      </c>
      <c r="M149">
        <v>20.6</v>
      </c>
      <c r="N149">
        <v>0.01</v>
      </c>
      <c r="O149">
        <v>1.57</v>
      </c>
    </row>
    <row r="150" spans="1:15">
      <c r="A150" t="str">
        <f>"000576"</f>
        <v>000576</v>
      </c>
      <c r="B150" t="s">
        <v>173</v>
      </c>
      <c r="C150">
        <v>-0.14</v>
      </c>
      <c r="D150">
        <v>7.1</v>
      </c>
      <c r="E150" t="s">
        <v>16</v>
      </c>
      <c r="F150" t="s">
        <v>16</v>
      </c>
      <c r="H150">
        <v>-0.13</v>
      </c>
      <c r="I150">
        <v>-3.53</v>
      </c>
      <c r="J150">
        <v>-1.39</v>
      </c>
      <c r="L150">
        <v>0.14</v>
      </c>
      <c r="M150">
        <v>1.57</v>
      </c>
      <c r="N150">
        <v>0</v>
      </c>
      <c r="O150">
        <v>0.39</v>
      </c>
    </row>
    <row r="151" spans="1:15">
      <c r="A151" t="str">
        <f>"000581"</f>
        <v>000581</v>
      </c>
      <c r="B151" t="s">
        <v>174</v>
      </c>
      <c r="C151">
        <v>-1.02</v>
      </c>
      <c r="D151">
        <v>17.49</v>
      </c>
      <c r="E151" t="s">
        <v>16</v>
      </c>
      <c r="F151" t="s">
        <v>16</v>
      </c>
      <c r="H151">
        <v>-0.16</v>
      </c>
      <c r="I151">
        <v>-6.57</v>
      </c>
      <c r="J151">
        <v>-1.52</v>
      </c>
      <c r="L151">
        <v>-0.85</v>
      </c>
      <c r="M151">
        <v>201.66</v>
      </c>
      <c r="N151">
        <v>0.02</v>
      </c>
      <c r="O151">
        <v>8.99</v>
      </c>
    </row>
    <row r="152" spans="1:15">
      <c r="A152" t="str">
        <f>"000582"</f>
        <v>000582</v>
      </c>
      <c r="B152" t="s">
        <v>175</v>
      </c>
      <c r="C152">
        <v>-4.33</v>
      </c>
      <c r="D152">
        <v>11.48</v>
      </c>
      <c r="E152" t="s">
        <v>16</v>
      </c>
      <c r="F152" t="s">
        <v>16</v>
      </c>
      <c r="H152">
        <v>0.26</v>
      </c>
      <c r="I152">
        <v>-14.46</v>
      </c>
      <c r="J152">
        <v>-4.65</v>
      </c>
      <c r="L152">
        <v>-0.42</v>
      </c>
      <c r="M152">
        <v>217.97</v>
      </c>
      <c r="N152">
        <v>0.02</v>
      </c>
      <c r="O152">
        <v>0.82</v>
      </c>
    </row>
    <row r="153" spans="1:15">
      <c r="A153" t="str">
        <f>"000586"</f>
        <v>000586</v>
      </c>
      <c r="B153" t="s">
        <v>176</v>
      </c>
      <c r="C153">
        <v>-1.48</v>
      </c>
      <c r="D153">
        <v>15.26</v>
      </c>
      <c r="E153" t="s">
        <v>16</v>
      </c>
      <c r="F153" t="s">
        <v>16</v>
      </c>
      <c r="H153">
        <v>0.2</v>
      </c>
      <c r="I153">
        <v>-8.13</v>
      </c>
      <c r="J153">
        <v>-2.37</v>
      </c>
      <c r="L153">
        <v>0.06</v>
      </c>
      <c r="M153">
        <v>46.19</v>
      </c>
      <c r="N153">
        <v>0.02</v>
      </c>
      <c r="O153">
        <v>0.32</v>
      </c>
    </row>
    <row r="154" spans="1:15">
      <c r="A154" t="str">
        <f>"000589"</f>
        <v>000589</v>
      </c>
      <c r="B154" t="s">
        <v>177</v>
      </c>
      <c r="C154">
        <v>-1.85</v>
      </c>
      <c r="D154">
        <v>4.25</v>
      </c>
      <c r="E154" t="s">
        <v>16</v>
      </c>
      <c r="F154" t="s">
        <v>16</v>
      </c>
      <c r="H154">
        <v>-0.22</v>
      </c>
      <c r="I154">
        <v>-5.56</v>
      </c>
      <c r="J154">
        <v>-2.07</v>
      </c>
      <c r="L154">
        <v>0</v>
      </c>
      <c r="M154">
        <v>59.15</v>
      </c>
      <c r="N154">
        <v>0.01</v>
      </c>
      <c r="O154">
        <v>2.7</v>
      </c>
    </row>
    <row r="155" spans="1:15">
      <c r="A155" t="str">
        <f>"000590"</f>
        <v>000590</v>
      </c>
      <c r="B155" t="s">
        <v>178</v>
      </c>
      <c r="C155">
        <v>-0.44</v>
      </c>
      <c r="D155">
        <v>9.13</v>
      </c>
      <c r="E155" t="s">
        <v>16</v>
      </c>
      <c r="F155" t="s">
        <v>16</v>
      </c>
      <c r="H155">
        <v>0</v>
      </c>
      <c r="I155">
        <v>-6.17</v>
      </c>
      <c r="J155">
        <v>-1.83</v>
      </c>
      <c r="L155">
        <v>-0.11</v>
      </c>
      <c r="M155">
        <v>2.11</v>
      </c>
      <c r="N155">
        <v>0</v>
      </c>
      <c r="O155">
        <v>0.38</v>
      </c>
    </row>
    <row r="156" spans="1:15">
      <c r="A156" t="str">
        <f>"000591"</f>
        <v>000591</v>
      </c>
      <c r="B156" t="s">
        <v>179</v>
      </c>
      <c r="C156">
        <v>-5.36</v>
      </c>
      <c r="D156">
        <v>4.77</v>
      </c>
      <c r="E156" t="s">
        <v>16</v>
      </c>
      <c r="F156" t="s">
        <v>16</v>
      </c>
      <c r="H156">
        <v>-0.2</v>
      </c>
      <c r="I156">
        <v>-14.67</v>
      </c>
      <c r="J156">
        <v>-4.79</v>
      </c>
      <c r="L156">
        <v>-0.79</v>
      </c>
      <c r="M156">
        <v>207.15</v>
      </c>
      <c r="N156">
        <v>0.02</v>
      </c>
      <c r="O156">
        <v>1.82</v>
      </c>
    </row>
    <row r="157" spans="1:15">
      <c r="A157" t="str">
        <f>"000592"</f>
        <v>000592</v>
      </c>
      <c r="B157" t="s">
        <v>180</v>
      </c>
      <c r="C157">
        <v>-1.88</v>
      </c>
      <c r="D157">
        <v>7.32</v>
      </c>
      <c r="E157" t="s">
        <v>16</v>
      </c>
      <c r="F157" t="s">
        <v>16</v>
      </c>
      <c r="H157">
        <v>0</v>
      </c>
      <c r="I157">
        <v>-9.07</v>
      </c>
      <c r="J157">
        <v>-2.92</v>
      </c>
      <c r="L157">
        <v>0.54</v>
      </c>
      <c r="M157">
        <v>379.88</v>
      </c>
      <c r="N157">
        <v>0.03</v>
      </c>
      <c r="O157">
        <v>0.48</v>
      </c>
    </row>
    <row r="158" spans="1:15">
      <c r="A158" t="str">
        <f>"000593"</f>
        <v>000593</v>
      </c>
      <c r="B158" t="s">
        <v>181</v>
      </c>
      <c r="C158">
        <v>0.2</v>
      </c>
      <c r="D158">
        <v>25.2</v>
      </c>
      <c r="E158" t="s">
        <v>16</v>
      </c>
      <c r="F158" t="s">
        <v>16</v>
      </c>
      <c r="H158">
        <v>-0.23</v>
      </c>
      <c r="I158">
        <v>23.59</v>
      </c>
      <c r="J158">
        <v>-4.18</v>
      </c>
      <c r="K158" t="s">
        <v>57</v>
      </c>
      <c r="L158">
        <v>-0.91</v>
      </c>
      <c r="M158">
        <v>507.62</v>
      </c>
      <c r="N158">
        <v>0.09</v>
      </c>
      <c r="O158">
        <v>0.93</v>
      </c>
    </row>
    <row r="159" spans="1:15">
      <c r="A159" t="str">
        <f>"000595"</f>
        <v>000595</v>
      </c>
      <c r="B159" t="s">
        <v>182</v>
      </c>
      <c r="C159">
        <v>-1.83</v>
      </c>
      <c r="D159">
        <v>6.42</v>
      </c>
      <c r="E159" t="s">
        <v>16</v>
      </c>
      <c r="F159" t="s">
        <v>16</v>
      </c>
      <c r="H159">
        <v>0.94</v>
      </c>
      <c r="I159">
        <v>-7.63</v>
      </c>
      <c r="J159">
        <v>-1.83</v>
      </c>
      <c r="L159">
        <v>-0.15</v>
      </c>
      <c r="M159">
        <v>15.67</v>
      </c>
      <c r="N159">
        <v>0</v>
      </c>
      <c r="O159">
        <v>0.27</v>
      </c>
    </row>
    <row r="160" spans="1:15">
      <c r="A160" t="str">
        <f>"000596"</f>
        <v>000596</v>
      </c>
      <c r="B160" t="s">
        <v>183</v>
      </c>
      <c r="C160">
        <v>-2.8</v>
      </c>
      <c r="D160">
        <v>81.71</v>
      </c>
      <c r="E160" t="s">
        <v>16</v>
      </c>
      <c r="F160" t="s">
        <v>16</v>
      </c>
      <c r="H160">
        <v>-0.49</v>
      </c>
      <c r="I160">
        <v>-7.75</v>
      </c>
      <c r="J160">
        <v>-2.59</v>
      </c>
      <c r="L160">
        <v>-0.21</v>
      </c>
      <c r="M160">
        <v>32.71</v>
      </c>
      <c r="N160">
        <v>0</v>
      </c>
      <c r="O160">
        <v>1.22</v>
      </c>
    </row>
    <row r="161" spans="1:15">
      <c r="A161" t="str">
        <f>"000597"</f>
        <v>000597</v>
      </c>
      <c r="B161" t="s">
        <v>184</v>
      </c>
      <c r="C161">
        <v>0</v>
      </c>
      <c r="D161">
        <v>4.39</v>
      </c>
      <c r="E161" t="s">
        <v>16</v>
      </c>
      <c r="F161" t="s">
        <v>16</v>
      </c>
      <c r="H161">
        <v>0.23</v>
      </c>
      <c r="I161">
        <v>-0.9</v>
      </c>
      <c r="J161">
        <v>-1.35</v>
      </c>
      <c r="L161">
        <v>-0.46</v>
      </c>
      <c r="M161">
        <v>4.5</v>
      </c>
      <c r="N161">
        <v>0</v>
      </c>
      <c r="O161">
        <v>0.51</v>
      </c>
    </row>
    <row r="162" spans="1:15">
      <c r="A162" t="str">
        <f>"000598"</f>
        <v>000598</v>
      </c>
      <c r="B162" t="s">
        <v>185</v>
      </c>
      <c r="C162">
        <v>-1.74</v>
      </c>
      <c r="D162">
        <v>6.79</v>
      </c>
      <c r="E162" t="s">
        <v>16</v>
      </c>
      <c r="F162" t="s">
        <v>16</v>
      </c>
      <c r="H162">
        <v>0.74</v>
      </c>
      <c r="I162">
        <v>-1.88</v>
      </c>
      <c r="J162">
        <v>-1.59</v>
      </c>
      <c r="L162">
        <v>-0.43</v>
      </c>
      <c r="M162">
        <v>17.96</v>
      </c>
      <c r="N162">
        <v>0</v>
      </c>
      <c r="O162">
        <v>0.93</v>
      </c>
    </row>
    <row r="163" spans="1:15">
      <c r="A163" t="str">
        <f>"000599"</f>
        <v>000599</v>
      </c>
      <c r="B163" t="s">
        <v>186</v>
      </c>
      <c r="C163">
        <v>-1.48</v>
      </c>
      <c r="D163">
        <v>4.67</v>
      </c>
      <c r="E163" t="s">
        <v>16</v>
      </c>
      <c r="F163" t="s">
        <v>16</v>
      </c>
      <c r="H163">
        <v>0.21</v>
      </c>
      <c r="I163">
        <v>-7.16</v>
      </c>
      <c r="J163">
        <v>-3.31</v>
      </c>
      <c r="L163">
        <v>0.21</v>
      </c>
      <c r="M163">
        <v>31.3</v>
      </c>
      <c r="N163">
        <v>0.01</v>
      </c>
      <c r="O163">
        <v>1.4</v>
      </c>
    </row>
    <row r="164" spans="1:15">
      <c r="A164" t="str">
        <f>"000600"</f>
        <v>000600</v>
      </c>
      <c r="B164" t="s">
        <v>187</v>
      </c>
      <c r="C164">
        <v>-7.88</v>
      </c>
      <c r="D164">
        <v>9.82</v>
      </c>
      <c r="E164" t="s">
        <v>16</v>
      </c>
      <c r="F164" t="s">
        <v>16</v>
      </c>
      <c r="H164">
        <v>-0.19</v>
      </c>
      <c r="I164">
        <v>-21.88</v>
      </c>
      <c r="J164">
        <v>-8.14</v>
      </c>
      <c r="L164">
        <v>-0.94</v>
      </c>
      <c r="M164">
        <v>120.49</v>
      </c>
      <c r="N164">
        <v>0.02</v>
      </c>
      <c r="O164">
        <v>0.4</v>
      </c>
    </row>
    <row r="165" spans="1:15">
      <c r="A165" t="str">
        <f>"000601"</f>
        <v>000601</v>
      </c>
      <c r="B165" t="s">
        <v>188</v>
      </c>
      <c r="C165">
        <v>-6.64</v>
      </c>
      <c r="D165">
        <v>6.61</v>
      </c>
      <c r="E165" t="s">
        <v>16</v>
      </c>
      <c r="F165" t="s">
        <v>16</v>
      </c>
      <c r="H165">
        <v>0.15</v>
      </c>
      <c r="I165">
        <v>-23.14</v>
      </c>
      <c r="J165">
        <v>-6.51</v>
      </c>
      <c r="L165">
        <v>-1.13</v>
      </c>
      <c r="M165">
        <v>210.14</v>
      </c>
      <c r="N165">
        <v>0.04</v>
      </c>
      <c r="O165">
        <v>0.49</v>
      </c>
    </row>
    <row r="166" spans="1:15">
      <c r="A166" t="str">
        <f>"000603"</f>
        <v>000603</v>
      </c>
      <c r="B166" t="s">
        <v>189</v>
      </c>
      <c r="C166">
        <v>-0.68</v>
      </c>
      <c r="D166">
        <v>26.34</v>
      </c>
      <c r="E166" t="s">
        <v>16</v>
      </c>
      <c r="F166" t="s">
        <v>16</v>
      </c>
      <c r="H166">
        <v>-0.1</v>
      </c>
      <c r="I166">
        <v>-12.2</v>
      </c>
      <c r="J166">
        <v>-5.42</v>
      </c>
      <c r="L166">
        <v>-1.81</v>
      </c>
      <c r="M166">
        <v>1398.09</v>
      </c>
      <c r="N166">
        <v>0.14</v>
      </c>
      <c r="O166">
        <v>0.13</v>
      </c>
    </row>
    <row r="167" spans="1:15">
      <c r="A167" t="str">
        <f>"000605"</f>
        <v>000605</v>
      </c>
      <c r="B167" t="s">
        <v>190</v>
      </c>
      <c r="C167">
        <v>-0.53</v>
      </c>
      <c r="D167">
        <v>5.68</v>
      </c>
      <c r="E167" t="s">
        <v>16</v>
      </c>
      <c r="F167" t="s">
        <v>16</v>
      </c>
      <c r="H167">
        <v>0</v>
      </c>
      <c r="I167">
        <v>-7.94</v>
      </c>
      <c r="J167">
        <v>-1.73</v>
      </c>
      <c r="L167">
        <v>0.53</v>
      </c>
      <c r="M167">
        <v>14.01</v>
      </c>
      <c r="N167">
        <v>0.01</v>
      </c>
      <c r="O167">
        <v>2.52</v>
      </c>
    </row>
    <row r="168" spans="1:15">
      <c r="A168" t="str">
        <f>"000607"</f>
        <v>000607</v>
      </c>
      <c r="B168" t="s">
        <v>191</v>
      </c>
      <c r="C168">
        <v>0</v>
      </c>
      <c r="D168">
        <v>3.3</v>
      </c>
      <c r="E168" t="s">
        <v>16</v>
      </c>
      <c r="F168" t="s">
        <v>16</v>
      </c>
      <c r="H168">
        <v>-0.59</v>
      </c>
      <c r="I168">
        <v>-5.44</v>
      </c>
      <c r="J168">
        <v>-1.49</v>
      </c>
      <c r="L168">
        <v>0</v>
      </c>
      <c r="M168">
        <v>4.69</v>
      </c>
      <c r="N168">
        <v>0</v>
      </c>
      <c r="O168">
        <v>0.1</v>
      </c>
    </row>
    <row r="169" spans="1:15">
      <c r="A169" t="str">
        <f>"000608"</f>
        <v>000608</v>
      </c>
      <c r="B169" t="s">
        <v>192</v>
      </c>
      <c r="C169">
        <v>10</v>
      </c>
      <c r="D169">
        <v>7.59</v>
      </c>
      <c r="E169">
        <v>7885.93</v>
      </c>
      <c r="F169">
        <v>1</v>
      </c>
      <c r="H169">
        <v>0</v>
      </c>
      <c r="I169">
        <v>51.2</v>
      </c>
      <c r="J169">
        <v>0</v>
      </c>
      <c r="K169" t="s">
        <v>140</v>
      </c>
      <c r="L169">
        <v>1.45</v>
      </c>
      <c r="M169">
        <v>292.32</v>
      </c>
      <c r="N169">
        <v>0.08</v>
      </c>
      <c r="O169">
        <v>0.63</v>
      </c>
    </row>
    <row r="170" spans="1:15">
      <c r="A170" t="str">
        <f>"000609"</f>
        <v>000609</v>
      </c>
      <c r="B170" t="s">
        <v>193</v>
      </c>
      <c r="C170">
        <v>2.78</v>
      </c>
      <c r="D170">
        <v>11.84</v>
      </c>
      <c r="E170" t="s">
        <v>16</v>
      </c>
      <c r="F170" t="s">
        <v>16</v>
      </c>
      <c r="H170">
        <v>-0.16</v>
      </c>
      <c r="I170">
        <v>-4.59</v>
      </c>
      <c r="J170">
        <v>-1.74</v>
      </c>
      <c r="L170">
        <v>-1.04</v>
      </c>
      <c r="M170">
        <v>99.29</v>
      </c>
      <c r="N170">
        <v>0.04</v>
      </c>
      <c r="O170">
        <v>0.49</v>
      </c>
    </row>
    <row r="171" spans="1:15">
      <c r="A171" t="str">
        <f>"000610"</f>
        <v>000610</v>
      </c>
      <c r="B171" t="s">
        <v>194</v>
      </c>
      <c r="C171">
        <v>-2.46</v>
      </c>
      <c r="D171">
        <v>6.35</v>
      </c>
      <c r="E171" t="s">
        <v>16</v>
      </c>
      <c r="F171" t="s">
        <v>16</v>
      </c>
      <c r="H171">
        <v>0</v>
      </c>
      <c r="I171">
        <v>-14.65</v>
      </c>
      <c r="J171">
        <v>-4.37</v>
      </c>
      <c r="L171">
        <v>0.61</v>
      </c>
      <c r="M171">
        <v>18.47</v>
      </c>
      <c r="N171">
        <v>0.02</v>
      </c>
      <c r="O171">
        <v>0.42</v>
      </c>
    </row>
    <row r="172" spans="1:15">
      <c r="A172" t="str">
        <f>"000612"</f>
        <v>000612</v>
      </c>
      <c r="B172" t="s">
        <v>195</v>
      </c>
      <c r="C172">
        <v>0.55</v>
      </c>
      <c r="D172">
        <v>11.03</v>
      </c>
      <c r="E172" t="s">
        <v>16</v>
      </c>
      <c r="F172" t="s">
        <v>16</v>
      </c>
      <c r="H172">
        <v>0.27</v>
      </c>
      <c r="I172">
        <v>-3.67</v>
      </c>
      <c r="J172">
        <v>-2.56</v>
      </c>
      <c r="L172">
        <v>0.27</v>
      </c>
      <c r="M172">
        <v>283.69</v>
      </c>
      <c r="N172">
        <v>0.03</v>
      </c>
      <c r="O172">
        <v>1.71</v>
      </c>
    </row>
    <row r="173" spans="1:15">
      <c r="A173" t="str">
        <f>"000615"</f>
        <v>000615</v>
      </c>
      <c r="B173" t="s">
        <v>196</v>
      </c>
      <c r="C173">
        <v>0.59</v>
      </c>
      <c r="D173">
        <v>3.41</v>
      </c>
      <c r="E173" t="s">
        <v>16</v>
      </c>
      <c r="F173" t="s">
        <v>16</v>
      </c>
      <c r="H173">
        <v>0.59</v>
      </c>
      <c r="I173">
        <v>-5.01</v>
      </c>
      <c r="J173">
        <v>-0.29</v>
      </c>
      <c r="L173">
        <v>0.29</v>
      </c>
      <c r="M173">
        <v>16.55</v>
      </c>
      <c r="N173">
        <v>0.01</v>
      </c>
      <c r="O173">
        <v>48.68</v>
      </c>
    </row>
    <row r="174" spans="1:15">
      <c r="A174" t="str">
        <f>"000617"</f>
        <v>000617</v>
      </c>
      <c r="B174" t="s">
        <v>197</v>
      </c>
      <c r="C174">
        <v>-2.58</v>
      </c>
      <c r="D174">
        <v>7.17</v>
      </c>
      <c r="E174" t="s">
        <v>16</v>
      </c>
      <c r="F174" t="s">
        <v>16</v>
      </c>
      <c r="H174">
        <v>-0.13</v>
      </c>
      <c r="I174">
        <v>-3.89</v>
      </c>
      <c r="J174">
        <v>-2.18</v>
      </c>
      <c r="L174">
        <v>-0.82</v>
      </c>
      <c r="M174">
        <v>206.59</v>
      </c>
      <c r="N174">
        <v>0.01</v>
      </c>
      <c r="O174">
        <v>1.35</v>
      </c>
    </row>
    <row r="175" spans="1:15">
      <c r="A175" t="str">
        <f>"000619"</f>
        <v>000619</v>
      </c>
      <c r="B175" t="s">
        <v>198</v>
      </c>
      <c r="C175">
        <v>-0.41</v>
      </c>
      <c r="D175">
        <v>4.8</v>
      </c>
      <c r="E175" t="s">
        <v>16</v>
      </c>
      <c r="F175" t="s">
        <v>16</v>
      </c>
      <c r="H175">
        <v>0.42</v>
      </c>
      <c r="I175">
        <v>-11.11</v>
      </c>
      <c r="J175">
        <v>-0.62</v>
      </c>
      <c r="L175">
        <v>-0.62</v>
      </c>
      <c r="M175">
        <v>18.78</v>
      </c>
      <c r="N175">
        <v>0.02</v>
      </c>
      <c r="O175">
        <v>1.82</v>
      </c>
    </row>
    <row r="176" spans="1:15">
      <c r="A176" t="str">
        <f>"000620"</f>
        <v>000620</v>
      </c>
      <c r="B176" t="s">
        <v>199</v>
      </c>
      <c r="C176">
        <v>-1.66</v>
      </c>
      <c r="D176">
        <v>2.96</v>
      </c>
      <c r="E176" t="s">
        <v>16</v>
      </c>
      <c r="F176" t="s">
        <v>16</v>
      </c>
      <c r="H176">
        <v>-0.66</v>
      </c>
      <c r="I176">
        <v>-0.67</v>
      </c>
      <c r="J176">
        <v>-1</v>
      </c>
      <c r="L176">
        <v>-1</v>
      </c>
      <c r="M176">
        <v>1012.22</v>
      </c>
      <c r="N176">
        <v>0.1</v>
      </c>
      <c r="O176">
        <v>3.45</v>
      </c>
    </row>
    <row r="177" spans="1:15">
      <c r="A177" t="str">
        <f>"000623"</f>
        <v>000623</v>
      </c>
      <c r="B177" t="s">
        <v>200</v>
      </c>
      <c r="C177">
        <v>-2.83</v>
      </c>
      <c r="D177">
        <v>17.15</v>
      </c>
      <c r="E177" t="s">
        <v>16</v>
      </c>
      <c r="F177" t="s">
        <v>16</v>
      </c>
      <c r="H177">
        <v>0.06</v>
      </c>
      <c r="I177">
        <v>1</v>
      </c>
      <c r="J177">
        <v>-3.11</v>
      </c>
      <c r="L177">
        <v>-0.11</v>
      </c>
      <c r="M177">
        <v>31.91</v>
      </c>
      <c r="N177">
        <v>0</v>
      </c>
      <c r="O177">
        <v>0.61</v>
      </c>
    </row>
    <row r="178" spans="1:15">
      <c r="A178" t="str">
        <f>"000625"</f>
        <v>000625</v>
      </c>
      <c r="B178" t="s">
        <v>201</v>
      </c>
      <c r="C178">
        <v>0.81</v>
      </c>
      <c r="D178">
        <v>7.45</v>
      </c>
      <c r="E178" t="s">
        <v>16</v>
      </c>
      <c r="F178" t="s">
        <v>16</v>
      </c>
      <c r="H178">
        <v>0</v>
      </c>
      <c r="I178">
        <v>-6.88</v>
      </c>
      <c r="J178">
        <v>-0.67</v>
      </c>
      <c r="L178">
        <v>-0.54</v>
      </c>
      <c r="M178">
        <v>119.36</v>
      </c>
      <c r="N178">
        <v>0</v>
      </c>
      <c r="O178">
        <v>1.08</v>
      </c>
    </row>
    <row r="179" spans="1:15">
      <c r="A179" t="str">
        <f>"000626"</f>
        <v>000626</v>
      </c>
      <c r="B179" t="s">
        <v>202</v>
      </c>
      <c r="C179">
        <v>-0.57</v>
      </c>
      <c r="D179">
        <v>6.98</v>
      </c>
      <c r="E179" t="s">
        <v>16</v>
      </c>
      <c r="F179" t="s">
        <v>16</v>
      </c>
      <c r="H179">
        <v>-0.28</v>
      </c>
      <c r="I179">
        <v>-11.08</v>
      </c>
      <c r="J179">
        <v>-1.27</v>
      </c>
      <c r="L179">
        <v>0</v>
      </c>
      <c r="M179">
        <v>9.97</v>
      </c>
      <c r="N179">
        <v>0.01</v>
      </c>
      <c r="O179">
        <v>0.27</v>
      </c>
    </row>
    <row r="180" spans="1:15">
      <c r="A180" t="str">
        <f>"000628"</f>
        <v>000628</v>
      </c>
      <c r="B180" t="s">
        <v>203</v>
      </c>
      <c r="C180">
        <v>0.35</v>
      </c>
      <c r="D180">
        <v>53.78</v>
      </c>
      <c r="E180" t="s">
        <v>16</v>
      </c>
      <c r="F180" t="s">
        <v>16</v>
      </c>
      <c r="H180">
        <v>-0.05</v>
      </c>
      <c r="I180">
        <v>-0.99</v>
      </c>
      <c r="J180">
        <v>-1.32</v>
      </c>
      <c r="L180">
        <v>-0.41</v>
      </c>
      <c r="M180">
        <v>57.64</v>
      </c>
      <c r="N180">
        <v>0.01</v>
      </c>
      <c r="O180">
        <v>0.25</v>
      </c>
    </row>
    <row r="181" spans="1:15">
      <c r="A181" t="str">
        <f>"000629"</f>
        <v>000629</v>
      </c>
      <c r="B181" t="s">
        <v>204</v>
      </c>
      <c r="C181">
        <v>0</v>
      </c>
      <c r="D181">
        <v>3.2</v>
      </c>
      <c r="E181" t="s">
        <v>16</v>
      </c>
      <c r="F181" t="s">
        <v>16</v>
      </c>
      <c r="H181">
        <v>-0.3</v>
      </c>
      <c r="I181">
        <v>-4.48</v>
      </c>
      <c r="J181">
        <v>-2.14</v>
      </c>
      <c r="L181">
        <v>-0.31</v>
      </c>
      <c r="M181">
        <v>168.88</v>
      </c>
      <c r="N181">
        <v>0.01</v>
      </c>
      <c r="O181">
        <v>1.68</v>
      </c>
    </row>
    <row r="182" spans="1:15">
      <c r="A182" t="str">
        <f>"000630"</f>
        <v>000630</v>
      </c>
      <c r="B182" t="s">
        <v>205</v>
      </c>
      <c r="C182">
        <v>1.19</v>
      </c>
      <c r="D182">
        <v>7.65</v>
      </c>
      <c r="E182" t="s">
        <v>16</v>
      </c>
      <c r="F182" t="s">
        <v>16</v>
      </c>
      <c r="H182">
        <v>0</v>
      </c>
      <c r="I182">
        <v>15.21</v>
      </c>
      <c r="J182">
        <v>-4.61</v>
      </c>
      <c r="L182">
        <v>-2.25</v>
      </c>
      <c r="M182">
        <v>6266.2</v>
      </c>
      <c r="N182">
        <v>0.12</v>
      </c>
      <c r="O182">
        <v>2.38</v>
      </c>
    </row>
    <row r="183" spans="1:15">
      <c r="A183" t="str">
        <f>"000631"</f>
        <v>000631</v>
      </c>
      <c r="B183" t="s">
        <v>206</v>
      </c>
      <c r="C183">
        <v>-1.29</v>
      </c>
      <c r="D183">
        <v>3.07</v>
      </c>
      <c r="E183" t="s">
        <v>16</v>
      </c>
      <c r="F183" t="s">
        <v>16</v>
      </c>
      <c r="H183">
        <v>0</v>
      </c>
      <c r="I183">
        <v>-9.17</v>
      </c>
      <c r="J183">
        <v>-1.6</v>
      </c>
      <c r="L183">
        <v>0.32</v>
      </c>
      <c r="M183">
        <v>49.89</v>
      </c>
      <c r="N183">
        <v>0.02</v>
      </c>
      <c r="O183">
        <v>0.65</v>
      </c>
    </row>
    <row r="184" spans="1:15">
      <c r="A184" t="str">
        <f>"000632"</f>
        <v>000632</v>
      </c>
      <c r="B184" t="s">
        <v>207</v>
      </c>
      <c r="C184">
        <v>-4.86</v>
      </c>
      <c r="D184">
        <v>3.33</v>
      </c>
      <c r="E184">
        <v>52.71</v>
      </c>
      <c r="F184" t="s">
        <v>16</v>
      </c>
      <c r="H184">
        <v>0</v>
      </c>
      <c r="I184">
        <v>-17.98</v>
      </c>
      <c r="J184">
        <v>-5.13</v>
      </c>
      <c r="L184">
        <v>-0.57</v>
      </c>
      <c r="M184">
        <v>70.54</v>
      </c>
      <c r="N184">
        <v>0.06</v>
      </c>
      <c r="O184">
        <v>1.72</v>
      </c>
    </row>
    <row r="185" spans="1:15">
      <c r="A185" t="str">
        <f>"000633"</f>
        <v>000633</v>
      </c>
      <c r="B185" t="s">
        <v>208</v>
      </c>
      <c r="C185">
        <v>0.19</v>
      </c>
      <c r="D185">
        <v>5.17</v>
      </c>
      <c r="E185" t="s">
        <v>16</v>
      </c>
      <c r="F185" t="s">
        <v>16</v>
      </c>
      <c r="H185">
        <v>-0.18</v>
      </c>
      <c r="I185">
        <v>-5.48</v>
      </c>
      <c r="J185">
        <v>-1.15</v>
      </c>
      <c r="L185">
        <v>0</v>
      </c>
      <c r="M185">
        <v>108.72</v>
      </c>
      <c r="N185">
        <v>0.07</v>
      </c>
      <c r="O185">
        <v>0.62</v>
      </c>
    </row>
    <row r="186" spans="1:15">
      <c r="A186" t="str">
        <f>"000635"</f>
        <v>000635</v>
      </c>
      <c r="B186" t="s">
        <v>209</v>
      </c>
      <c r="C186">
        <v>-3.12</v>
      </c>
      <c r="D186">
        <v>6.53</v>
      </c>
      <c r="E186" t="s">
        <v>16</v>
      </c>
      <c r="F186" t="s">
        <v>16</v>
      </c>
      <c r="H186">
        <v>-0.45</v>
      </c>
      <c r="I186">
        <v>-5.5</v>
      </c>
      <c r="J186">
        <v>-3.26</v>
      </c>
      <c r="L186">
        <v>0.15</v>
      </c>
      <c r="M186">
        <v>8.24</v>
      </c>
      <c r="N186">
        <v>0.01</v>
      </c>
      <c r="O186">
        <v>0.2</v>
      </c>
    </row>
    <row r="187" spans="1:15">
      <c r="A187" t="str">
        <f>"000636"</f>
        <v>000636</v>
      </c>
      <c r="B187" t="s">
        <v>210</v>
      </c>
      <c r="C187">
        <v>0.73</v>
      </c>
      <c r="D187">
        <v>74.6</v>
      </c>
      <c r="E187" t="s">
        <v>16</v>
      </c>
      <c r="F187" t="s">
        <v>16</v>
      </c>
      <c r="H187">
        <v>0.01</v>
      </c>
      <c r="I187">
        <v>17.48</v>
      </c>
      <c r="J187">
        <v>-1.97</v>
      </c>
      <c r="K187" t="s">
        <v>211</v>
      </c>
      <c r="L187">
        <v>-3.46</v>
      </c>
      <c r="M187">
        <v>12847.83</v>
      </c>
      <c r="N187">
        <v>0.22</v>
      </c>
      <c r="O187">
        <v>0.63</v>
      </c>
    </row>
    <row r="188" spans="1:15">
      <c r="A188" t="str">
        <f>"000637"</f>
        <v>000637</v>
      </c>
      <c r="B188" t="s">
        <v>212</v>
      </c>
      <c r="C188">
        <v>-0.27</v>
      </c>
      <c r="D188">
        <v>3.76</v>
      </c>
      <c r="E188" t="s">
        <v>16</v>
      </c>
      <c r="F188" t="s">
        <v>16</v>
      </c>
      <c r="H188">
        <v>0.53</v>
      </c>
      <c r="I188">
        <v>-10.05</v>
      </c>
      <c r="J188">
        <v>-1.05</v>
      </c>
      <c r="L188">
        <v>0</v>
      </c>
      <c r="M188">
        <v>16.81</v>
      </c>
      <c r="N188">
        <v>0.02</v>
      </c>
      <c r="O188">
        <v>1.38</v>
      </c>
    </row>
    <row r="189" spans="1:15">
      <c r="A189" t="str">
        <f>"000639"</f>
        <v>000639</v>
      </c>
      <c r="B189" t="s">
        <v>213</v>
      </c>
      <c r="C189">
        <v>-3.68</v>
      </c>
      <c r="D189">
        <v>1.31</v>
      </c>
      <c r="E189" t="s">
        <v>16</v>
      </c>
      <c r="F189" t="s">
        <v>16</v>
      </c>
      <c r="H189">
        <v>-0.75</v>
      </c>
      <c r="I189">
        <v>-19.63</v>
      </c>
      <c r="J189">
        <v>-3.68</v>
      </c>
      <c r="L189">
        <v>-0.74</v>
      </c>
      <c r="M189">
        <v>83.89</v>
      </c>
      <c r="N189">
        <v>0.07</v>
      </c>
      <c r="O189">
        <v>1.47</v>
      </c>
    </row>
    <row r="190" spans="1:15">
      <c r="A190" t="str">
        <f>"000650"</f>
        <v>000650</v>
      </c>
      <c r="B190" t="s">
        <v>214</v>
      </c>
      <c r="C190">
        <v>-0.97</v>
      </c>
      <c r="D190">
        <v>5.13</v>
      </c>
      <c r="E190" t="s">
        <v>16</v>
      </c>
      <c r="F190" t="s">
        <v>16</v>
      </c>
      <c r="H190">
        <v>-0.18</v>
      </c>
      <c r="I190">
        <v>-2.66</v>
      </c>
      <c r="J190">
        <v>-1.16</v>
      </c>
      <c r="L190">
        <v>-0.39</v>
      </c>
      <c r="M190">
        <v>24.97</v>
      </c>
      <c r="N190">
        <v>0</v>
      </c>
      <c r="O190">
        <v>4.24</v>
      </c>
    </row>
    <row r="191" spans="1:15">
      <c r="A191" t="str">
        <f>"000651"</f>
        <v>000651</v>
      </c>
      <c r="B191" t="s">
        <v>215</v>
      </c>
      <c r="C191">
        <v>-1.16</v>
      </c>
      <c r="D191">
        <v>36.72</v>
      </c>
      <c r="E191" t="s">
        <v>16</v>
      </c>
      <c r="F191" t="s">
        <v>16</v>
      </c>
      <c r="H191">
        <v>0.05</v>
      </c>
      <c r="I191">
        <v>-5.56</v>
      </c>
      <c r="J191">
        <v>-1.53</v>
      </c>
      <c r="L191">
        <v>-0.13</v>
      </c>
      <c r="M191">
        <v>734.21</v>
      </c>
      <c r="N191">
        <v>0</v>
      </c>
      <c r="O191">
        <v>1.14</v>
      </c>
    </row>
    <row r="192" spans="1:15">
      <c r="A192" t="str">
        <f>"000652"</f>
        <v>000652</v>
      </c>
      <c r="B192" t="s">
        <v>216</v>
      </c>
      <c r="C192">
        <v>-0.57</v>
      </c>
      <c r="D192">
        <v>3.5</v>
      </c>
      <c r="E192" t="s">
        <v>16</v>
      </c>
      <c r="F192" t="s">
        <v>16</v>
      </c>
      <c r="H192">
        <v>0</v>
      </c>
      <c r="I192">
        <v>-1.96</v>
      </c>
      <c r="J192">
        <v>-0.57</v>
      </c>
      <c r="L192">
        <v>-0.57</v>
      </c>
      <c r="M192">
        <v>4.2</v>
      </c>
      <c r="N192">
        <v>0</v>
      </c>
      <c r="O192">
        <v>0.39</v>
      </c>
    </row>
    <row r="193" spans="1:15">
      <c r="A193" t="str">
        <f>"000655"</f>
        <v>000655</v>
      </c>
      <c r="B193" t="s">
        <v>217</v>
      </c>
      <c r="C193">
        <v>-1</v>
      </c>
      <c r="D193">
        <v>6.93</v>
      </c>
      <c r="E193" t="s">
        <v>16</v>
      </c>
      <c r="F193" t="s">
        <v>16</v>
      </c>
      <c r="H193">
        <v>0</v>
      </c>
      <c r="I193">
        <v>-2.53</v>
      </c>
      <c r="J193">
        <v>-2.26</v>
      </c>
      <c r="L193">
        <v>-0.57</v>
      </c>
      <c r="M193">
        <v>6.96</v>
      </c>
      <c r="N193">
        <v>0</v>
      </c>
      <c r="O193">
        <v>0.22</v>
      </c>
    </row>
    <row r="194" spans="1:15">
      <c r="A194" t="str">
        <f>"000656"</f>
        <v>000656</v>
      </c>
      <c r="B194" t="s">
        <v>218</v>
      </c>
      <c r="C194">
        <v>0</v>
      </c>
      <c r="D194">
        <v>1.34</v>
      </c>
      <c r="E194" t="s">
        <v>16</v>
      </c>
      <c r="F194" t="s">
        <v>16</v>
      </c>
      <c r="H194">
        <v>0.75</v>
      </c>
      <c r="I194">
        <v>-5.63</v>
      </c>
      <c r="J194">
        <v>-0.74</v>
      </c>
      <c r="L194">
        <v>0</v>
      </c>
      <c r="M194">
        <v>90.13</v>
      </c>
      <c r="N194">
        <v>0.01</v>
      </c>
      <c r="O194">
        <v>0.29</v>
      </c>
    </row>
    <row r="195" spans="1:15">
      <c r="A195" t="str">
        <f>"000657"</f>
        <v>000657</v>
      </c>
      <c r="B195" t="s">
        <v>219</v>
      </c>
      <c r="C195">
        <v>10</v>
      </c>
      <c r="D195">
        <v>98.48</v>
      </c>
      <c r="E195">
        <v>27781.21</v>
      </c>
      <c r="F195">
        <v>1</v>
      </c>
      <c r="H195">
        <v>0</v>
      </c>
      <c r="I195">
        <v>32.49</v>
      </c>
      <c r="J195">
        <v>0</v>
      </c>
      <c r="K195" t="s">
        <v>220</v>
      </c>
      <c r="L195">
        <v>-0.87</v>
      </c>
      <c r="M195">
        <v>7698.18</v>
      </c>
      <c r="N195">
        <v>0.1</v>
      </c>
      <c r="O195">
        <v>0.79</v>
      </c>
    </row>
    <row r="196" spans="1:15">
      <c r="A196" t="str">
        <f>"000659"</f>
        <v>000659</v>
      </c>
      <c r="B196" t="s">
        <v>221</v>
      </c>
      <c r="C196">
        <v>-1.12</v>
      </c>
      <c r="D196">
        <v>3.52</v>
      </c>
      <c r="E196" t="s">
        <v>16</v>
      </c>
      <c r="F196" t="s">
        <v>16</v>
      </c>
      <c r="H196">
        <v>-0.55</v>
      </c>
      <c r="I196">
        <v>-6.38</v>
      </c>
      <c r="J196">
        <v>-2.76</v>
      </c>
      <c r="L196">
        <v>-1.12</v>
      </c>
      <c r="M196">
        <v>19.11</v>
      </c>
      <c r="N196">
        <v>0.01</v>
      </c>
      <c r="O196">
        <v>1.8</v>
      </c>
    </row>
    <row r="197" spans="1:15">
      <c r="A197" t="str">
        <f>"000661"</f>
        <v>000661</v>
      </c>
      <c r="B197" t="s">
        <v>222</v>
      </c>
      <c r="C197">
        <v>0.49</v>
      </c>
      <c r="D197">
        <v>64.1</v>
      </c>
      <c r="E197" t="s">
        <v>16</v>
      </c>
      <c r="F197" t="s">
        <v>16</v>
      </c>
      <c r="H197">
        <v>-0.18</v>
      </c>
      <c r="I197">
        <v>-5.87</v>
      </c>
      <c r="J197">
        <v>-2.29</v>
      </c>
      <c r="L197">
        <v>-0.33</v>
      </c>
      <c r="M197">
        <v>171.67</v>
      </c>
      <c r="N197">
        <v>0.01</v>
      </c>
      <c r="O197">
        <v>2</v>
      </c>
    </row>
    <row r="198" spans="1:15">
      <c r="A198" t="str">
        <f>"000663"</f>
        <v>000663</v>
      </c>
      <c r="B198" t="s">
        <v>223</v>
      </c>
      <c r="C198">
        <v>-0.92</v>
      </c>
      <c r="D198">
        <v>5.38</v>
      </c>
      <c r="E198" t="s">
        <v>16</v>
      </c>
      <c r="F198" t="s">
        <v>16</v>
      </c>
      <c r="H198">
        <v>-0.18</v>
      </c>
      <c r="I198">
        <v>-6.43</v>
      </c>
      <c r="J198">
        <v>-1.82</v>
      </c>
      <c r="L198">
        <v>0</v>
      </c>
      <c r="M198">
        <v>22.59</v>
      </c>
      <c r="N198">
        <v>0.02</v>
      </c>
      <c r="O198">
        <v>1.7</v>
      </c>
    </row>
    <row r="199" spans="1:15">
      <c r="A199" t="str">
        <f>"000665"</f>
        <v>000665</v>
      </c>
      <c r="B199" t="s">
        <v>224</v>
      </c>
      <c r="C199">
        <v>0</v>
      </c>
      <c r="D199">
        <v>3.93</v>
      </c>
      <c r="E199" t="s">
        <v>16</v>
      </c>
      <c r="F199" t="s">
        <v>16</v>
      </c>
      <c r="H199">
        <v>0</v>
      </c>
      <c r="I199">
        <v>-5.76</v>
      </c>
      <c r="J199">
        <v>-2.24</v>
      </c>
      <c r="L199">
        <v>-0.25</v>
      </c>
      <c r="M199">
        <v>13.29</v>
      </c>
      <c r="N199">
        <v>0.01</v>
      </c>
      <c r="O199">
        <v>0.36</v>
      </c>
    </row>
    <row r="200" spans="1:15">
      <c r="A200" t="str">
        <f>"000668"</f>
        <v>000668</v>
      </c>
      <c r="B200" t="s">
        <v>225</v>
      </c>
      <c r="C200">
        <v>4.8</v>
      </c>
      <c r="D200">
        <v>22.26</v>
      </c>
      <c r="E200" t="s">
        <v>16</v>
      </c>
      <c r="F200" t="s">
        <v>16</v>
      </c>
      <c r="H200">
        <v>0</v>
      </c>
      <c r="I200">
        <v>18.91</v>
      </c>
      <c r="J200">
        <v>-4.71</v>
      </c>
      <c r="L200">
        <v>0.71</v>
      </c>
      <c r="M200">
        <v>15.61</v>
      </c>
      <c r="N200">
        <v>0.01</v>
      </c>
      <c r="O200">
        <v>0.26</v>
      </c>
    </row>
    <row r="201" spans="1:15">
      <c r="A201" t="str">
        <f>"000669"</f>
        <v>000669</v>
      </c>
      <c r="B201" t="s">
        <v>226</v>
      </c>
      <c r="C201">
        <v>-2.89</v>
      </c>
      <c r="D201">
        <v>4.03</v>
      </c>
      <c r="E201" t="s">
        <v>16</v>
      </c>
      <c r="F201" t="s">
        <v>16</v>
      </c>
      <c r="H201">
        <v>-0.24</v>
      </c>
      <c r="I201">
        <v>-7.57</v>
      </c>
      <c r="J201">
        <v>-2.18</v>
      </c>
      <c r="L201">
        <v>-3.13</v>
      </c>
      <c r="M201">
        <v>104.26</v>
      </c>
      <c r="N201">
        <v>0.05</v>
      </c>
      <c r="O201">
        <v>3.19</v>
      </c>
    </row>
    <row r="202" spans="1:15">
      <c r="A202" t="str">
        <f>"000670"</f>
        <v>000670</v>
      </c>
      <c r="B202" t="s">
        <v>227</v>
      </c>
      <c r="C202">
        <v>-4.56</v>
      </c>
      <c r="D202">
        <v>8.79</v>
      </c>
      <c r="E202" t="s">
        <v>16</v>
      </c>
      <c r="F202" t="s">
        <v>16</v>
      </c>
      <c r="H202">
        <v>0.11</v>
      </c>
      <c r="I202">
        <v>-9.1</v>
      </c>
      <c r="J202">
        <v>-9.29</v>
      </c>
      <c r="L202">
        <v>-0.65</v>
      </c>
      <c r="M202">
        <v>557.05</v>
      </c>
      <c r="N202">
        <v>0.09</v>
      </c>
      <c r="O202">
        <v>0.8</v>
      </c>
    </row>
    <row r="203" spans="1:15">
      <c r="A203" t="str">
        <f>"000672"</f>
        <v>000672</v>
      </c>
      <c r="B203" t="s">
        <v>228</v>
      </c>
      <c r="C203">
        <v>-1.68</v>
      </c>
      <c r="D203">
        <v>18.71</v>
      </c>
      <c r="E203" t="s">
        <v>16</v>
      </c>
      <c r="F203" t="s">
        <v>16</v>
      </c>
      <c r="H203">
        <v>-0.15</v>
      </c>
      <c r="I203">
        <v>16.07</v>
      </c>
      <c r="J203">
        <v>-3.9</v>
      </c>
      <c r="K203" t="s">
        <v>54</v>
      </c>
      <c r="L203">
        <v>0</v>
      </c>
      <c r="M203">
        <v>1278.63</v>
      </c>
      <c r="N203">
        <v>0.17</v>
      </c>
      <c r="O203">
        <v>4.29</v>
      </c>
    </row>
    <row r="204" spans="1:15">
      <c r="A204" t="str">
        <f>"000676"</f>
        <v>000676</v>
      </c>
      <c r="B204" t="s">
        <v>229</v>
      </c>
      <c r="C204">
        <v>-0.73</v>
      </c>
      <c r="D204">
        <v>5.46</v>
      </c>
      <c r="E204" t="s">
        <v>16</v>
      </c>
      <c r="F204" t="s">
        <v>16</v>
      </c>
      <c r="H204">
        <v>0</v>
      </c>
      <c r="I204">
        <v>-4.04</v>
      </c>
      <c r="J204">
        <v>-1.44</v>
      </c>
      <c r="L204">
        <v>-0.91</v>
      </c>
      <c r="M204">
        <v>29.1</v>
      </c>
      <c r="N204">
        <v>0.01</v>
      </c>
      <c r="O204">
        <v>0.41</v>
      </c>
    </row>
    <row r="205" spans="1:15">
      <c r="A205" t="str">
        <f>"000677"</f>
        <v>000677</v>
      </c>
      <c r="B205" t="s">
        <v>230</v>
      </c>
      <c r="C205">
        <v>-4.44</v>
      </c>
      <c r="D205">
        <v>1.72</v>
      </c>
      <c r="E205" t="s">
        <v>16</v>
      </c>
      <c r="F205" t="s">
        <v>16</v>
      </c>
      <c r="H205">
        <v>0</v>
      </c>
      <c r="I205">
        <v>-14.85</v>
      </c>
      <c r="J205">
        <v>-3.37</v>
      </c>
      <c r="K205" t="s">
        <v>26</v>
      </c>
      <c r="L205">
        <v>-2.78</v>
      </c>
      <c r="M205">
        <v>183.21</v>
      </c>
      <c r="N205">
        <v>0.16</v>
      </c>
      <c r="O205">
        <v>0.5</v>
      </c>
    </row>
    <row r="206" spans="1:15">
      <c r="A206" t="str">
        <f>"000678"</f>
        <v>000678</v>
      </c>
      <c r="B206" t="s">
        <v>231</v>
      </c>
      <c r="C206">
        <v>0.83</v>
      </c>
      <c r="D206">
        <v>9.72</v>
      </c>
      <c r="E206" t="s">
        <v>16</v>
      </c>
      <c r="F206" t="s">
        <v>16</v>
      </c>
      <c r="H206">
        <v>0</v>
      </c>
      <c r="I206">
        <v>-16.78</v>
      </c>
      <c r="J206">
        <v>-2.8</v>
      </c>
      <c r="L206">
        <v>-0.93</v>
      </c>
      <c r="M206">
        <v>59.21</v>
      </c>
      <c r="N206">
        <v>0.02</v>
      </c>
      <c r="O206">
        <v>0.66</v>
      </c>
    </row>
    <row r="207" spans="1:15">
      <c r="A207" t="str">
        <f>"000679"</f>
        <v>000679</v>
      </c>
      <c r="B207" t="s">
        <v>232</v>
      </c>
      <c r="C207">
        <v>3.13</v>
      </c>
      <c r="D207">
        <v>7.58</v>
      </c>
      <c r="E207" t="s">
        <v>16</v>
      </c>
      <c r="F207" t="s">
        <v>16</v>
      </c>
      <c r="H207">
        <v>0</v>
      </c>
      <c r="I207">
        <v>21.28</v>
      </c>
      <c r="J207">
        <v>-6.3</v>
      </c>
      <c r="K207" t="s">
        <v>233</v>
      </c>
      <c r="L207">
        <v>0</v>
      </c>
      <c r="M207">
        <v>551.72</v>
      </c>
      <c r="N207">
        <v>0.29</v>
      </c>
      <c r="O207">
        <v>1.9</v>
      </c>
    </row>
    <row r="208" spans="1:15">
      <c r="A208" t="str">
        <f>"000680"</f>
        <v>000680</v>
      </c>
      <c r="B208" t="s">
        <v>234</v>
      </c>
      <c r="C208">
        <v>-1.83</v>
      </c>
      <c r="D208">
        <v>10.22</v>
      </c>
      <c r="E208" t="s">
        <v>16</v>
      </c>
      <c r="F208" t="s">
        <v>16</v>
      </c>
      <c r="H208">
        <v>0.1</v>
      </c>
      <c r="I208">
        <v>-4.93</v>
      </c>
      <c r="J208">
        <v>-4.13</v>
      </c>
      <c r="L208">
        <v>-0.38</v>
      </c>
      <c r="M208">
        <v>3.84</v>
      </c>
      <c r="N208">
        <v>0</v>
      </c>
      <c r="O208">
        <v>0.16</v>
      </c>
    </row>
    <row r="209" spans="1:15">
      <c r="A209" t="str">
        <f>"000681"</f>
        <v>000681</v>
      </c>
      <c r="B209" t="s">
        <v>235</v>
      </c>
      <c r="C209">
        <v>5.03</v>
      </c>
      <c r="D209">
        <v>21.7</v>
      </c>
      <c r="E209" t="s">
        <v>16</v>
      </c>
      <c r="F209" t="s">
        <v>16</v>
      </c>
      <c r="H209">
        <v>-0.13</v>
      </c>
      <c r="I209">
        <v>-6.47</v>
      </c>
      <c r="J209">
        <v>-2.3</v>
      </c>
      <c r="L209">
        <v>0.05</v>
      </c>
      <c r="M209">
        <v>485.12</v>
      </c>
      <c r="N209">
        <v>0.05</v>
      </c>
      <c r="O209">
        <v>0.85</v>
      </c>
    </row>
    <row r="210" spans="1:15">
      <c r="A210" t="str">
        <f>"000682"</f>
        <v>000682</v>
      </c>
      <c r="B210" t="s">
        <v>236</v>
      </c>
      <c r="C210">
        <v>-0.31</v>
      </c>
      <c r="D210">
        <v>12.86</v>
      </c>
      <c r="E210" t="s">
        <v>16</v>
      </c>
      <c r="F210" t="s">
        <v>16</v>
      </c>
      <c r="H210">
        <v>-0.15</v>
      </c>
      <c r="I210">
        <v>-1</v>
      </c>
      <c r="J210">
        <v>-1.61</v>
      </c>
      <c r="L210">
        <v>-0.08</v>
      </c>
      <c r="M210">
        <v>531.07</v>
      </c>
      <c r="N210">
        <v>0.05</v>
      </c>
      <c r="O210">
        <v>7.02</v>
      </c>
    </row>
    <row r="211" spans="1:15">
      <c r="A211" t="str">
        <f>"000683"</f>
        <v>000683</v>
      </c>
      <c r="B211" t="s">
        <v>237</v>
      </c>
      <c r="C211">
        <v>-4.26</v>
      </c>
      <c r="D211">
        <v>6.29</v>
      </c>
      <c r="E211" t="s">
        <v>16</v>
      </c>
      <c r="F211" t="s">
        <v>16</v>
      </c>
      <c r="H211">
        <v>0</v>
      </c>
      <c r="I211">
        <v>-10.14</v>
      </c>
      <c r="J211">
        <v>-4.12</v>
      </c>
      <c r="L211">
        <v>-0.15</v>
      </c>
      <c r="M211">
        <v>36.21</v>
      </c>
      <c r="N211">
        <v>0</v>
      </c>
      <c r="O211">
        <v>0.49</v>
      </c>
    </row>
    <row r="212" spans="1:15">
      <c r="A212" t="str">
        <f>"000685"</f>
        <v>000685</v>
      </c>
      <c r="B212" t="s">
        <v>238</v>
      </c>
      <c r="C212">
        <v>-2.06</v>
      </c>
      <c r="D212">
        <v>10.96</v>
      </c>
      <c r="E212" t="s">
        <v>16</v>
      </c>
      <c r="F212" t="s">
        <v>16</v>
      </c>
      <c r="H212">
        <v>-0.08</v>
      </c>
      <c r="I212">
        <v>0.18</v>
      </c>
      <c r="J212">
        <v>-2.06</v>
      </c>
      <c r="L212">
        <v>-0.63</v>
      </c>
      <c r="M212">
        <v>56.49</v>
      </c>
      <c r="N212">
        <v>0.01</v>
      </c>
      <c r="O212">
        <v>0.94</v>
      </c>
    </row>
    <row r="213" spans="1:15">
      <c r="A213" t="str">
        <f>"000686"</f>
        <v>000686</v>
      </c>
      <c r="B213" t="s">
        <v>239</v>
      </c>
      <c r="C213">
        <v>-3.22</v>
      </c>
      <c r="D213">
        <v>7.81</v>
      </c>
      <c r="E213" t="s">
        <v>16</v>
      </c>
      <c r="F213" t="s">
        <v>16</v>
      </c>
      <c r="H213">
        <v>0.13</v>
      </c>
      <c r="I213">
        <v>0.9</v>
      </c>
      <c r="J213">
        <v>-3.1</v>
      </c>
      <c r="L213">
        <v>-0.37</v>
      </c>
      <c r="M213">
        <v>17.45</v>
      </c>
      <c r="N213">
        <v>0</v>
      </c>
      <c r="O213">
        <v>0.54</v>
      </c>
    </row>
    <row r="214" spans="1:15">
      <c r="A214" t="str">
        <f>"000688"</f>
        <v>000688</v>
      </c>
      <c r="B214" t="s">
        <v>240</v>
      </c>
      <c r="C214">
        <v>-7.21</v>
      </c>
      <c r="D214">
        <v>37.86</v>
      </c>
      <c r="E214" t="s">
        <v>16</v>
      </c>
      <c r="F214" t="s">
        <v>16</v>
      </c>
      <c r="H214">
        <v>0.11</v>
      </c>
      <c r="I214">
        <v>-0.89</v>
      </c>
      <c r="J214">
        <v>-8.71</v>
      </c>
      <c r="L214">
        <v>-1.96</v>
      </c>
      <c r="M214">
        <v>881.74</v>
      </c>
      <c r="N214">
        <v>0.06</v>
      </c>
      <c r="O214">
        <v>0.88</v>
      </c>
    </row>
    <row r="215" spans="1:15">
      <c r="A215" t="str">
        <f>"000690"</f>
        <v>000690</v>
      </c>
      <c r="B215" t="s">
        <v>241</v>
      </c>
      <c r="C215">
        <v>-5.51</v>
      </c>
      <c r="D215">
        <v>5.14</v>
      </c>
      <c r="E215" t="s">
        <v>16</v>
      </c>
      <c r="F215" t="s">
        <v>16</v>
      </c>
      <c r="H215">
        <v>0</v>
      </c>
      <c r="I215">
        <v>-11.84</v>
      </c>
      <c r="J215">
        <v>-5.34</v>
      </c>
      <c r="L215">
        <v>-0.74</v>
      </c>
      <c r="M215">
        <v>174.69</v>
      </c>
      <c r="N215">
        <v>0.02</v>
      </c>
      <c r="O215">
        <v>0.46</v>
      </c>
    </row>
    <row r="216" spans="1:15">
      <c r="A216" t="str">
        <f>"000691"</f>
        <v>000691</v>
      </c>
      <c r="B216" t="s">
        <v>242</v>
      </c>
      <c r="C216">
        <v>5.61</v>
      </c>
      <c r="D216">
        <v>12.23</v>
      </c>
      <c r="E216" t="s">
        <v>16</v>
      </c>
      <c r="F216" t="s">
        <v>16</v>
      </c>
      <c r="H216">
        <v>-0.4</v>
      </c>
      <c r="I216">
        <v>40.25</v>
      </c>
      <c r="J216">
        <v>-2</v>
      </c>
      <c r="L216">
        <v>-0.09</v>
      </c>
      <c r="M216">
        <v>388.64</v>
      </c>
      <c r="N216">
        <v>0.12</v>
      </c>
      <c r="O216">
        <v>0.39</v>
      </c>
    </row>
    <row r="217" spans="1:15">
      <c r="A217" t="str">
        <f>"000692"</f>
        <v>000692</v>
      </c>
      <c r="B217" t="s">
        <v>243</v>
      </c>
      <c r="C217">
        <v>-1.83</v>
      </c>
      <c r="D217">
        <v>4.28</v>
      </c>
      <c r="E217" t="s">
        <v>16</v>
      </c>
      <c r="F217" t="s">
        <v>16</v>
      </c>
      <c r="H217">
        <v>0</v>
      </c>
      <c r="I217">
        <v>-15.91</v>
      </c>
      <c r="J217">
        <v>-1.61</v>
      </c>
      <c r="L217">
        <v>-0.23</v>
      </c>
      <c r="M217">
        <v>3.57</v>
      </c>
      <c r="N217">
        <v>0</v>
      </c>
      <c r="O217">
        <v>0.2</v>
      </c>
    </row>
    <row r="218" spans="1:15">
      <c r="A218" t="str">
        <f>"000695"</f>
        <v>000695</v>
      </c>
      <c r="B218" t="s">
        <v>244</v>
      </c>
      <c r="C218">
        <v>-2.07</v>
      </c>
      <c r="D218">
        <v>14.17</v>
      </c>
      <c r="E218" t="s">
        <v>16</v>
      </c>
      <c r="F218" t="s">
        <v>16</v>
      </c>
      <c r="H218">
        <v>0</v>
      </c>
      <c r="I218">
        <v>1.5</v>
      </c>
      <c r="J218">
        <v>-3.14</v>
      </c>
      <c r="K218" t="s">
        <v>54</v>
      </c>
      <c r="L218">
        <v>-1.04</v>
      </c>
      <c r="M218">
        <v>733.9</v>
      </c>
      <c r="N218">
        <v>0.31</v>
      </c>
      <c r="O218">
        <v>20.1</v>
      </c>
    </row>
    <row r="219" spans="1:15">
      <c r="A219" t="str">
        <f>"000697"</f>
        <v>000697</v>
      </c>
      <c r="B219" t="s">
        <v>245</v>
      </c>
      <c r="C219">
        <v>-2.87</v>
      </c>
      <c r="D219">
        <v>11.5</v>
      </c>
      <c r="E219" t="s">
        <v>16</v>
      </c>
      <c r="F219" t="s">
        <v>16</v>
      </c>
      <c r="H219">
        <v>0</v>
      </c>
      <c r="I219">
        <v>2.86</v>
      </c>
      <c r="J219">
        <v>-6.81</v>
      </c>
      <c r="L219">
        <v>0.76</v>
      </c>
      <c r="M219">
        <v>1098.99</v>
      </c>
      <c r="N219">
        <v>0.21</v>
      </c>
      <c r="O219">
        <v>4.88</v>
      </c>
    </row>
    <row r="220" spans="1:15">
      <c r="A220" t="str">
        <f>"000698"</f>
        <v>000698</v>
      </c>
      <c r="B220" t="s">
        <v>246</v>
      </c>
      <c r="C220">
        <v>-2.24</v>
      </c>
      <c r="D220">
        <v>3.05</v>
      </c>
      <c r="E220" t="s">
        <v>16</v>
      </c>
      <c r="F220" t="s">
        <v>16</v>
      </c>
      <c r="H220">
        <v>0.33</v>
      </c>
      <c r="I220">
        <v>-11.85</v>
      </c>
      <c r="J220">
        <v>-2.87</v>
      </c>
      <c r="L220">
        <v>-0.32</v>
      </c>
      <c r="M220">
        <v>20.77</v>
      </c>
      <c r="N220">
        <v>0.02</v>
      </c>
      <c r="O220">
        <v>1.34</v>
      </c>
    </row>
    <row r="221" spans="1:15">
      <c r="A221" t="str">
        <f>"000700"</f>
        <v>000700</v>
      </c>
      <c r="B221" t="s">
        <v>247</v>
      </c>
      <c r="C221">
        <v>-3.2</v>
      </c>
      <c r="D221">
        <v>15.45</v>
      </c>
      <c r="E221" t="s">
        <v>16</v>
      </c>
      <c r="F221" t="s">
        <v>16</v>
      </c>
      <c r="H221">
        <v>0</v>
      </c>
      <c r="I221">
        <v>-13.2</v>
      </c>
      <c r="J221">
        <v>-4.28</v>
      </c>
      <c r="K221" t="s">
        <v>57</v>
      </c>
      <c r="L221">
        <v>-0.06</v>
      </c>
      <c r="M221">
        <v>576.11</v>
      </c>
      <c r="N221">
        <v>0.06</v>
      </c>
      <c r="O221">
        <v>0.44</v>
      </c>
    </row>
    <row r="222" spans="1:15">
      <c r="A222" t="str">
        <f>"000701"</f>
        <v>000701</v>
      </c>
      <c r="B222" t="s">
        <v>248</v>
      </c>
      <c r="C222">
        <v>2.9</v>
      </c>
      <c r="D222">
        <v>4.97</v>
      </c>
      <c r="E222" t="s">
        <v>16</v>
      </c>
      <c r="F222" t="s">
        <v>16</v>
      </c>
      <c r="H222">
        <v>-0.39</v>
      </c>
      <c r="I222">
        <v>-10.45</v>
      </c>
      <c r="J222">
        <v>-2.36</v>
      </c>
      <c r="L222">
        <v>-0.41</v>
      </c>
      <c r="M222">
        <v>5.68</v>
      </c>
      <c r="N222">
        <v>0</v>
      </c>
      <c r="O222">
        <v>0.19</v>
      </c>
    </row>
    <row r="223" spans="1:15">
      <c r="A223" t="str">
        <f>"000702"</f>
        <v>000702</v>
      </c>
      <c r="B223" t="s">
        <v>249</v>
      </c>
      <c r="C223">
        <v>-1.31</v>
      </c>
      <c r="D223">
        <v>5.27</v>
      </c>
      <c r="E223" t="s">
        <v>16</v>
      </c>
      <c r="F223" t="s">
        <v>16</v>
      </c>
      <c r="H223">
        <v>-0.18</v>
      </c>
      <c r="I223">
        <v>-8.82</v>
      </c>
      <c r="J223">
        <v>-1.31</v>
      </c>
      <c r="L223">
        <v>-0.94</v>
      </c>
      <c r="M223">
        <v>35.34</v>
      </c>
      <c r="N223">
        <v>0.03</v>
      </c>
      <c r="O223">
        <v>4.1</v>
      </c>
    </row>
    <row r="224" spans="1:15">
      <c r="A224" t="str">
        <f>"000703"</f>
        <v>000703</v>
      </c>
      <c r="B224" t="s">
        <v>250</v>
      </c>
      <c r="C224">
        <v>-1.5</v>
      </c>
      <c r="D224">
        <v>12.46</v>
      </c>
      <c r="E224" t="s">
        <v>16</v>
      </c>
      <c r="F224" t="s">
        <v>16</v>
      </c>
      <c r="H224">
        <v>-0.31</v>
      </c>
      <c r="I224">
        <v>-4.59</v>
      </c>
      <c r="J224">
        <v>-1.74</v>
      </c>
      <c r="L224">
        <v>-0.95</v>
      </c>
      <c r="M224">
        <v>85.45</v>
      </c>
      <c r="N224">
        <v>0</v>
      </c>
      <c r="O224">
        <v>1.11</v>
      </c>
    </row>
    <row r="225" spans="1:15">
      <c r="A225" t="str">
        <f>"000705"</f>
        <v>000705</v>
      </c>
      <c r="B225" t="s">
        <v>251</v>
      </c>
      <c r="C225">
        <v>-1.1</v>
      </c>
      <c r="D225">
        <v>6.31</v>
      </c>
      <c r="E225" t="s">
        <v>16</v>
      </c>
      <c r="F225" t="s">
        <v>16</v>
      </c>
      <c r="H225">
        <v>-0.31</v>
      </c>
      <c r="I225">
        <v>-6.79</v>
      </c>
      <c r="J225">
        <v>-2.17</v>
      </c>
      <c r="L225">
        <v>0.31</v>
      </c>
      <c r="M225">
        <v>34.24</v>
      </c>
      <c r="N225">
        <v>0.02</v>
      </c>
      <c r="O225">
        <v>1.26</v>
      </c>
    </row>
    <row r="226" spans="1:15">
      <c r="A226" t="str">
        <f>"000707"</f>
        <v>000707</v>
      </c>
      <c r="B226" t="s">
        <v>252</v>
      </c>
      <c r="C226">
        <v>-1.94</v>
      </c>
      <c r="D226">
        <v>4.55</v>
      </c>
      <c r="E226" t="s">
        <v>16</v>
      </c>
      <c r="F226" t="s">
        <v>16</v>
      </c>
      <c r="H226">
        <v>0.22</v>
      </c>
      <c r="I226">
        <v>-5.41</v>
      </c>
      <c r="J226">
        <v>-2.15</v>
      </c>
      <c r="L226">
        <v>-0.65</v>
      </c>
      <c r="M226">
        <v>2.77</v>
      </c>
      <c r="N226">
        <v>0</v>
      </c>
      <c r="O226">
        <v>0.16</v>
      </c>
    </row>
    <row r="227" spans="1:15">
      <c r="A227" t="str">
        <f>"000708"</f>
        <v>000708</v>
      </c>
      <c r="B227" t="s">
        <v>253</v>
      </c>
      <c r="C227">
        <v>-0.59</v>
      </c>
      <c r="D227">
        <v>13.53</v>
      </c>
      <c r="E227" t="s">
        <v>16</v>
      </c>
      <c r="F227" t="s">
        <v>16</v>
      </c>
      <c r="H227">
        <v>-0.21</v>
      </c>
      <c r="I227">
        <v>-0.95</v>
      </c>
      <c r="J227">
        <v>-1.81</v>
      </c>
      <c r="L227">
        <v>0.44</v>
      </c>
      <c r="M227">
        <v>115.81</v>
      </c>
      <c r="N227">
        <v>0.01</v>
      </c>
      <c r="O227">
        <v>2.86</v>
      </c>
    </row>
    <row r="228" spans="1:15">
      <c r="A228" t="str">
        <f>"000709"</f>
        <v>000709</v>
      </c>
      <c r="B228" t="s">
        <v>254</v>
      </c>
      <c r="C228">
        <v>-0.96</v>
      </c>
      <c r="D228">
        <v>2.06</v>
      </c>
      <c r="E228" t="s">
        <v>16</v>
      </c>
      <c r="F228" t="s">
        <v>16</v>
      </c>
      <c r="H228">
        <v>-0.47</v>
      </c>
      <c r="I228">
        <v>-5.5</v>
      </c>
      <c r="J228">
        <v>-1.9</v>
      </c>
      <c r="L228">
        <v>-0.48</v>
      </c>
      <c r="M228">
        <v>25.09</v>
      </c>
      <c r="N228">
        <v>0</v>
      </c>
      <c r="O228">
        <v>0.15</v>
      </c>
    </row>
    <row r="229" spans="1:15">
      <c r="A229" t="str">
        <f>"000710"</f>
        <v>000710</v>
      </c>
      <c r="B229" t="s">
        <v>255</v>
      </c>
      <c r="C229">
        <v>0.26</v>
      </c>
      <c r="D229">
        <v>7.86</v>
      </c>
      <c r="E229" t="s">
        <v>16</v>
      </c>
      <c r="F229" t="s">
        <v>16</v>
      </c>
      <c r="H229">
        <v>0</v>
      </c>
      <c r="I229">
        <v>-5.3</v>
      </c>
      <c r="J229">
        <v>-2.48</v>
      </c>
      <c r="L229">
        <v>0</v>
      </c>
      <c r="M229">
        <v>16.07</v>
      </c>
      <c r="N229">
        <v>0.01</v>
      </c>
      <c r="O229">
        <v>1.58</v>
      </c>
    </row>
    <row r="230" spans="1:15">
      <c r="A230" t="str">
        <f>"000711"</f>
        <v>000711</v>
      </c>
      <c r="B230" t="s">
        <v>256</v>
      </c>
      <c r="C230">
        <v>-4.06</v>
      </c>
      <c r="D230">
        <v>5.2</v>
      </c>
      <c r="E230" t="s">
        <v>16</v>
      </c>
      <c r="F230" t="s">
        <v>16</v>
      </c>
      <c r="H230">
        <v>0.39</v>
      </c>
      <c r="I230">
        <v>-13.91</v>
      </c>
      <c r="J230">
        <v>-6.14</v>
      </c>
      <c r="L230">
        <v>-2.21</v>
      </c>
      <c r="M230">
        <v>1207.23</v>
      </c>
      <c r="N230">
        <v>0.1</v>
      </c>
      <c r="O230">
        <v>1.54</v>
      </c>
    </row>
    <row r="231" spans="1:15">
      <c r="A231" t="str">
        <f>"000712"</f>
        <v>000712</v>
      </c>
      <c r="B231" t="s">
        <v>257</v>
      </c>
      <c r="C231">
        <v>-2.99</v>
      </c>
      <c r="D231">
        <v>9.07</v>
      </c>
      <c r="E231" t="s">
        <v>16</v>
      </c>
      <c r="F231" t="s">
        <v>16</v>
      </c>
      <c r="H231">
        <v>-0.21</v>
      </c>
      <c r="I231">
        <v>-3.41</v>
      </c>
      <c r="J231">
        <v>-4.02</v>
      </c>
      <c r="L231">
        <v>-0.32</v>
      </c>
      <c r="M231">
        <v>173.07</v>
      </c>
      <c r="N231">
        <v>0.03</v>
      </c>
      <c r="O231">
        <v>0.29</v>
      </c>
    </row>
    <row r="232" spans="1:15">
      <c r="A232" t="str">
        <f>"000713"</f>
        <v>000713</v>
      </c>
      <c r="B232" t="s">
        <v>258</v>
      </c>
      <c r="C232">
        <v>-2.28</v>
      </c>
      <c r="D232">
        <v>5.57</v>
      </c>
      <c r="E232" t="s">
        <v>16</v>
      </c>
      <c r="F232" t="s">
        <v>16</v>
      </c>
      <c r="H232">
        <v>0.36</v>
      </c>
      <c r="I232">
        <v>-5.11</v>
      </c>
      <c r="J232">
        <v>-1.94</v>
      </c>
      <c r="L232">
        <v>-0.35</v>
      </c>
      <c r="M232">
        <v>16.02</v>
      </c>
      <c r="N232">
        <v>0.01</v>
      </c>
      <c r="O232">
        <v>1.34</v>
      </c>
    </row>
    <row r="233" spans="1:15">
      <c r="A233" t="str">
        <f>"000715"</f>
        <v>000715</v>
      </c>
      <c r="B233" t="s">
        <v>259</v>
      </c>
      <c r="C233">
        <v>0.42</v>
      </c>
      <c r="D233">
        <v>4.74</v>
      </c>
      <c r="E233" t="s">
        <v>16</v>
      </c>
      <c r="F233" t="s">
        <v>16</v>
      </c>
      <c r="H233">
        <v>-0.2</v>
      </c>
      <c r="I233">
        <v>-3.66</v>
      </c>
      <c r="J233">
        <v>-1.04</v>
      </c>
      <c r="L233">
        <v>-0.42</v>
      </c>
      <c r="M233">
        <v>0.89</v>
      </c>
      <c r="N233">
        <v>0</v>
      </c>
      <c r="O233">
        <v>0.07</v>
      </c>
    </row>
    <row r="234" spans="1:15">
      <c r="A234" t="str">
        <f>"000716"</f>
        <v>000716</v>
      </c>
      <c r="B234" t="s">
        <v>260</v>
      </c>
      <c r="C234">
        <v>-2.93</v>
      </c>
      <c r="D234">
        <v>4.3</v>
      </c>
      <c r="E234" t="s">
        <v>16</v>
      </c>
      <c r="F234" t="s">
        <v>16</v>
      </c>
      <c r="H234">
        <v>-0.22</v>
      </c>
      <c r="I234">
        <v>-17.31</v>
      </c>
      <c r="J234">
        <v>-3.37</v>
      </c>
      <c r="L234">
        <v>0</v>
      </c>
      <c r="M234">
        <v>26.36</v>
      </c>
      <c r="N234">
        <v>0.01</v>
      </c>
      <c r="O234">
        <v>0.4</v>
      </c>
    </row>
    <row r="235" spans="1:15">
      <c r="A235" t="str">
        <f>"000717"</f>
        <v>000717</v>
      </c>
      <c r="B235" t="s">
        <v>261</v>
      </c>
      <c r="C235">
        <v>0</v>
      </c>
      <c r="D235">
        <v>2.09</v>
      </c>
      <c r="E235" t="s">
        <v>16</v>
      </c>
      <c r="F235" t="s">
        <v>16</v>
      </c>
      <c r="H235">
        <v>0</v>
      </c>
      <c r="I235">
        <v>-3.69</v>
      </c>
      <c r="J235">
        <v>-0.95</v>
      </c>
      <c r="L235">
        <v>-0.48</v>
      </c>
      <c r="M235">
        <v>41.29</v>
      </c>
      <c r="N235">
        <v>0.02</v>
      </c>
      <c r="O235">
        <v>23.08</v>
      </c>
    </row>
    <row r="236" spans="1:15">
      <c r="A236" t="str">
        <f>"000718"</f>
        <v>000718</v>
      </c>
      <c r="B236" t="s">
        <v>262</v>
      </c>
      <c r="C236">
        <v>-1.6</v>
      </c>
      <c r="D236">
        <v>1.85</v>
      </c>
      <c r="E236" t="s">
        <v>16</v>
      </c>
      <c r="F236" t="s">
        <v>16</v>
      </c>
      <c r="H236">
        <v>-0.53</v>
      </c>
      <c r="I236">
        <v>-17.04</v>
      </c>
      <c r="J236">
        <v>-1.6</v>
      </c>
      <c r="L236">
        <v>-0.53</v>
      </c>
      <c r="M236">
        <v>32.67</v>
      </c>
      <c r="N236">
        <v>0.01</v>
      </c>
      <c r="O236">
        <v>0.9</v>
      </c>
    </row>
    <row r="237" spans="1:15">
      <c r="A237" t="str">
        <f>"000719"</f>
        <v>000719</v>
      </c>
      <c r="B237" t="s">
        <v>263</v>
      </c>
      <c r="C237">
        <v>-0.08</v>
      </c>
      <c r="D237">
        <v>11.94</v>
      </c>
      <c r="E237" t="s">
        <v>16</v>
      </c>
      <c r="F237" t="s">
        <v>16</v>
      </c>
      <c r="H237">
        <v>-0.16</v>
      </c>
      <c r="I237">
        <v>-8.92</v>
      </c>
      <c r="J237">
        <v>-1.24</v>
      </c>
      <c r="L237">
        <v>-0.08</v>
      </c>
      <c r="M237">
        <v>38.33</v>
      </c>
      <c r="N237">
        <v>0.01</v>
      </c>
      <c r="O237">
        <v>2.01</v>
      </c>
    </row>
    <row r="238" spans="1:15">
      <c r="A238" t="str">
        <f>"000720"</f>
        <v>000720</v>
      </c>
      <c r="B238" t="s">
        <v>264</v>
      </c>
      <c r="C238">
        <v>-5.83</v>
      </c>
      <c r="D238">
        <v>4.04</v>
      </c>
      <c r="E238" t="s">
        <v>16</v>
      </c>
      <c r="F238" t="s">
        <v>16</v>
      </c>
      <c r="H238">
        <v>-0.24</v>
      </c>
      <c r="I238">
        <v>-22.01</v>
      </c>
      <c r="J238">
        <v>-4.94</v>
      </c>
      <c r="L238">
        <v>-0.93</v>
      </c>
      <c r="M238">
        <v>34.77</v>
      </c>
      <c r="N238">
        <v>0.01</v>
      </c>
      <c r="O238">
        <v>0.56</v>
      </c>
    </row>
    <row r="239" spans="1:15">
      <c r="A239" t="str">
        <f>"000721"</f>
        <v>000721</v>
      </c>
      <c r="B239" t="s">
        <v>265</v>
      </c>
      <c r="C239">
        <v>-0.17</v>
      </c>
      <c r="D239">
        <v>5.85</v>
      </c>
      <c r="E239" t="s">
        <v>16</v>
      </c>
      <c r="F239" t="s">
        <v>16</v>
      </c>
      <c r="H239">
        <v>0</v>
      </c>
      <c r="I239">
        <v>-6.7</v>
      </c>
      <c r="J239">
        <v>-1.18</v>
      </c>
      <c r="L239">
        <v>-0.68</v>
      </c>
      <c r="M239">
        <v>10.71</v>
      </c>
      <c r="N239">
        <v>0.01</v>
      </c>
      <c r="O239">
        <v>4.6</v>
      </c>
    </row>
    <row r="240" spans="1:15">
      <c r="A240" t="str">
        <f>"000722"</f>
        <v>000722</v>
      </c>
      <c r="B240" t="s">
        <v>266</v>
      </c>
      <c r="C240">
        <v>-9.4</v>
      </c>
      <c r="D240">
        <v>14.36</v>
      </c>
      <c r="E240" t="s">
        <v>16</v>
      </c>
      <c r="F240" t="s">
        <v>16</v>
      </c>
      <c r="H240">
        <v>0.49</v>
      </c>
      <c r="I240">
        <v>-9</v>
      </c>
      <c r="J240">
        <v>-8.48</v>
      </c>
      <c r="L240">
        <v>-2.15</v>
      </c>
      <c r="M240">
        <v>296.4</v>
      </c>
      <c r="N240">
        <v>0.08</v>
      </c>
      <c r="O240">
        <v>1.66</v>
      </c>
    </row>
    <row r="241" spans="1:15">
      <c r="A241" t="str">
        <f>"000723"</f>
        <v>000723</v>
      </c>
      <c r="B241" t="s">
        <v>267</v>
      </c>
      <c r="C241">
        <v>-4.2</v>
      </c>
      <c r="D241">
        <v>3.65</v>
      </c>
      <c r="E241" t="s">
        <v>16</v>
      </c>
      <c r="F241" t="s">
        <v>16</v>
      </c>
      <c r="H241">
        <v>-0.26</v>
      </c>
      <c r="I241">
        <v>-17.79</v>
      </c>
      <c r="J241">
        <v>-4.45</v>
      </c>
      <c r="L241">
        <v>-0.26</v>
      </c>
      <c r="M241">
        <v>69.35</v>
      </c>
      <c r="N241">
        <v>0.01</v>
      </c>
      <c r="O241">
        <v>0.64</v>
      </c>
    </row>
    <row r="242" spans="1:15">
      <c r="A242" t="str">
        <f>"000725"</f>
        <v>000725</v>
      </c>
      <c r="B242" t="s">
        <v>268</v>
      </c>
      <c r="C242">
        <v>-1.5</v>
      </c>
      <c r="D242">
        <v>6.55</v>
      </c>
      <c r="E242" t="s">
        <v>16</v>
      </c>
      <c r="F242" t="s">
        <v>16</v>
      </c>
      <c r="H242">
        <v>0.15</v>
      </c>
      <c r="I242">
        <v>7.55</v>
      </c>
      <c r="J242">
        <v>-5.48</v>
      </c>
      <c r="K242" t="s">
        <v>54</v>
      </c>
      <c r="L242">
        <v>3.16</v>
      </c>
      <c r="M242">
        <v>64877.35</v>
      </c>
      <c r="N242">
        <v>0.31</v>
      </c>
      <c r="O242">
        <v>2.45</v>
      </c>
    </row>
    <row r="243" spans="1:15">
      <c r="A243" t="str">
        <f>"000726"</f>
        <v>000726</v>
      </c>
      <c r="B243" t="s">
        <v>269</v>
      </c>
      <c r="C243">
        <v>-0.18</v>
      </c>
      <c r="D243">
        <v>5.62</v>
      </c>
      <c r="E243" t="s">
        <v>16</v>
      </c>
      <c r="F243" t="s">
        <v>16</v>
      </c>
      <c r="H243">
        <v>0.18</v>
      </c>
      <c r="I243">
        <v>-2.09</v>
      </c>
      <c r="J243">
        <v>-1.23</v>
      </c>
      <c r="L243">
        <v>0</v>
      </c>
      <c r="M243">
        <v>14.53</v>
      </c>
      <c r="N243">
        <v>0.01</v>
      </c>
      <c r="O243">
        <v>7.37</v>
      </c>
    </row>
    <row r="244" spans="1:15">
      <c r="A244" t="str">
        <f>"000727"</f>
        <v>000727</v>
      </c>
      <c r="B244" t="s">
        <v>270</v>
      </c>
      <c r="C244">
        <v>-6.78</v>
      </c>
      <c r="D244">
        <v>2.75</v>
      </c>
      <c r="E244" t="s">
        <v>16</v>
      </c>
      <c r="F244" t="s">
        <v>16</v>
      </c>
      <c r="H244">
        <v>0.36</v>
      </c>
      <c r="I244">
        <v>-5.17</v>
      </c>
      <c r="J244">
        <v>-7.72</v>
      </c>
      <c r="L244">
        <v>-0.68</v>
      </c>
      <c r="M244">
        <v>338.5</v>
      </c>
      <c r="N244">
        <v>0.05</v>
      </c>
      <c r="O244">
        <v>0.73</v>
      </c>
    </row>
    <row r="245" spans="1:15">
      <c r="A245" t="str">
        <f>"000728"</f>
        <v>000728</v>
      </c>
      <c r="B245" t="s">
        <v>271</v>
      </c>
      <c r="C245">
        <v>-3.03</v>
      </c>
      <c r="D245">
        <v>7.03</v>
      </c>
      <c r="E245" t="s">
        <v>16</v>
      </c>
      <c r="F245" t="s">
        <v>16</v>
      </c>
      <c r="H245">
        <v>-0.27</v>
      </c>
      <c r="I245">
        <v>0.86</v>
      </c>
      <c r="J245">
        <v>-2.9</v>
      </c>
      <c r="L245">
        <v>-0.41</v>
      </c>
      <c r="M245">
        <v>131.39</v>
      </c>
      <c r="N245">
        <v>0.01</v>
      </c>
      <c r="O245">
        <v>2.11</v>
      </c>
    </row>
    <row r="246" spans="1:15">
      <c r="A246" t="str">
        <f>"000729"</f>
        <v>000729</v>
      </c>
      <c r="B246" t="s">
        <v>272</v>
      </c>
      <c r="C246">
        <v>-2.01</v>
      </c>
      <c r="D246">
        <v>10.25</v>
      </c>
      <c r="E246" t="s">
        <v>16</v>
      </c>
      <c r="F246" t="s">
        <v>16</v>
      </c>
      <c r="H246">
        <v>0</v>
      </c>
      <c r="I246">
        <v>-13.87</v>
      </c>
      <c r="J246">
        <v>-2.19</v>
      </c>
      <c r="L246">
        <v>-0.48</v>
      </c>
      <c r="M246">
        <v>233.18</v>
      </c>
      <c r="N246">
        <v>0.02</v>
      </c>
      <c r="O246">
        <v>1.22</v>
      </c>
    </row>
    <row r="247" spans="1:15">
      <c r="A247" t="str">
        <f>"000731"</f>
        <v>000731</v>
      </c>
      <c r="B247" t="s">
        <v>273</v>
      </c>
      <c r="C247">
        <v>-2.49</v>
      </c>
      <c r="D247">
        <v>5.48</v>
      </c>
      <c r="E247" t="s">
        <v>16</v>
      </c>
      <c r="F247" t="s">
        <v>16</v>
      </c>
      <c r="H247">
        <v>0</v>
      </c>
      <c r="I247">
        <v>-7.43</v>
      </c>
      <c r="J247">
        <v>-2.14</v>
      </c>
      <c r="L247">
        <v>-0.36</v>
      </c>
      <c r="M247">
        <v>2.52</v>
      </c>
      <c r="N247">
        <v>0</v>
      </c>
      <c r="O247">
        <v>0.06</v>
      </c>
    </row>
    <row r="248" spans="1:15">
      <c r="A248" t="str">
        <f>"000733"</f>
        <v>000733</v>
      </c>
      <c r="B248" t="s">
        <v>274</v>
      </c>
      <c r="C248">
        <v>2.86</v>
      </c>
      <c r="D248">
        <v>59.79</v>
      </c>
      <c r="E248" t="s">
        <v>16</v>
      </c>
      <c r="F248" t="s">
        <v>16</v>
      </c>
      <c r="H248">
        <v>-0.24</v>
      </c>
      <c r="I248">
        <v>0.81</v>
      </c>
      <c r="J248">
        <v>-2.06</v>
      </c>
      <c r="K248" t="s">
        <v>57</v>
      </c>
      <c r="L248">
        <v>0.89</v>
      </c>
      <c r="M248">
        <v>3215.19</v>
      </c>
      <c r="N248">
        <v>0.14</v>
      </c>
      <c r="O248">
        <v>0.57</v>
      </c>
    </row>
    <row r="249" spans="1:15">
      <c r="A249" t="str">
        <f>"000735"</f>
        <v>000735</v>
      </c>
      <c r="B249" t="s">
        <v>275</v>
      </c>
      <c r="C249">
        <v>-1.58</v>
      </c>
      <c r="D249">
        <v>4.99</v>
      </c>
      <c r="E249" t="s">
        <v>16</v>
      </c>
      <c r="F249" t="s">
        <v>16</v>
      </c>
      <c r="H249">
        <v>0.2</v>
      </c>
      <c r="I249">
        <v>-5.13</v>
      </c>
      <c r="J249">
        <v>-1.58</v>
      </c>
      <c r="L249">
        <v>0</v>
      </c>
      <c r="M249">
        <v>14.15</v>
      </c>
      <c r="N249">
        <v>0</v>
      </c>
      <c r="O249">
        <v>0.54</v>
      </c>
    </row>
    <row r="250" spans="1:15">
      <c r="A250" t="str">
        <f>"000736"</f>
        <v>000736</v>
      </c>
      <c r="B250" t="s">
        <v>276</v>
      </c>
      <c r="C250">
        <v>-7.52</v>
      </c>
      <c r="D250">
        <v>4.06</v>
      </c>
      <c r="E250" t="s">
        <v>16</v>
      </c>
      <c r="F250" t="s">
        <v>16</v>
      </c>
      <c r="H250">
        <v>-0.24</v>
      </c>
      <c r="I250">
        <v>-16.12</v>
      </c>
      <c r="J250">
        <v>-7.09</v>
      </c>
      <c r="K250" t="s">
        <v>26</v>
      </c>
      <c r="L250">
        <v>-0.68</v>
      </c>
      <c r="M250">
        <v>135.99</v>
      </c>
      <c r="N250">
        <v>0.09</v>
      </c>
      <c r="O250">
        <v>0.35</v>
      </c>
    </row>
    <row r="251" spans="1:15">
      <c r="A251" t="str">
        <f>"000737"</f>
        <v>000737</v>
      </c>
      <c r="B251" t="s">
        <v>277</v>
      </c>
      <c r="C251">
        <v>2.93</v>
      </c>
      <c r="D251">
        <v>15.11</v>
      </c>
      <c r="E251" t="s">
        <v>16</v>
      </c>
      <c r="F251" t="s">
        <v>16</v>
      </c>
      <c r="H251">
        <v>0.13</v>
      </c>
      <c r="I251">
        <v>6.18</v>
      </c>
      <c r="J251">
        <v>-2.64</v>
      </c>
      <c r="L251">
        <v>-1.57</v>
      </c>
      <c r="M251">
        <v>990.4</v>
      </c>
      <c r="N251">
        <v>0.07</v>
      </c>
      <c r="O251">
        <v>3.09</v>
      </c>
    </row>
    <row r="252" spans="1:15">
      <c r="A252" t="str">
        <f>"000738"</f>
        <v>000738</v>
      </c>
      <c r="B252" t="s">
        <v>278</v>
      </c>
      <c r="C252">
        <v>-0.63</v>
      </c>
      <c r="D252">
        <v>18.79</v>
      </c>
      <c r="E252" t="s">
        <v>16</v>
      </c>
      <c r="F252" t="s">
        <v>16</v>
      </c>
      <c r="H252">
        <v>-0.04</v>
      </c>
      <c r="I252">
        <v>-0.11</v>
      </c>
      <c r="J252">
        <v>-2.34</v>
      </c>
      <c r="L252">
        <v>-0.53</v>
      </c>
      <c r="M252">
        <v>83.14</v>
      </c>
      <c r="N252">
        <v>0.01</v>
      </c>
      <c r="O252">
        <v>0.66</v>
      </c>
    </row>
    <row r="253" spans="1:15">
      <c r="A253" t="str">
        <f>"000739"</f>
        <v>000739</v>
      </c>
      <c r="B253" t="s">
        <v>279</v>
      </c>
      <c r="C253">
        <v>0.49</v>
      </c>
      <c r="D253">
        <v>16.37</v>
      </c>
      <c r="E253" t="s">
        <v>16</v>
      </c>
      <c r="F253" t="s">
        <v>16</v>
      </c>
      <c r="H253">
        <v>-0.17</v>
      </c>
      <c r="I253">
        <v>1.99</v>
      </c>
      <c r="J253">
        <v>-1.86</v>
      </c>
      <c r="L253">
        <v>-0.37</v>
      </c>
      <c r="M253">
        <v>13.15</v>
      </c>
      <c r="N253">
        <v>0</v>
      </c>
      <c r="O253">
        <v>1.11</v>
      </c>
    </row>
    <row r="254" spans="1:15">
      <c r="A254" t="str">
        <f>"000750"</f>
        <v>000750</v>
      </c>
      <c r="B254" t="s">
        <v>280</v>
      </c>
      <c r="C254">
        <v>-3.23</v>
      </c>
      <c r="D254">
        <v>3.6</v>
      </c>
      <c r="E254" t="s">
        <v>16</v>
      </c>
      <c r="F254" t="s">
        <v>16</v>
      </c>
      <c r="H254">
        <v>0</v>
      </c>
      <c r="I254">
        <v>-0.28</v>
      </c>
      <c r="J254">
        <v>-3.23</v>
      </c>
      <c r="L254">
        <v>0</v>
      </c>
      <c r="M254">
        <v>23.06</v>
      </c>
      <c r="N254">
        <v>0</v>
      </c>
      <c r="O254">
        <v>0.24</v>
      </c>
    </row>
    <row r="255" spans="1:15">
      <c r="A255" t="str">
        <f>"000751"</f>
        <v>000751</v>
      </c>
      <c r="B255" t="s">
        <v>281</v>
      </c>
      <c r="C255">
        <v>0.78</v>
      </c>
      <c r="D255">
        <v>5.15</v>
      </c>
      <c r="E255" t="s">
        <v>16</v>
      </c>
      <c r="F255" t="s">
        <v>16</v>
      </c>
      <c r="H255">
        <v>0</v>
      </c>
      <c r="I255">
        <v>0</v>
      </c>
      <c r="J255">
        <v>-3.56</v>
      </c>
      <c r="L255">
        <v>-0.59</v>
      </c>
      <c r="M255">
        <v>113.94</v>
      </c>
      <c r="N255">
        <v>0.02</v>
      </c>
      <c r="O255">
        <v>0.5</v>
      </c>
    </row>
    <row r="256" spans="1:15">
      <c r="A256" t="str">
        <f>"000752"</f>
        <v>000752</v>
      </c>
      <c r="B256" t="s">
        <v>282</v>
      </c>
      <c r="C256">
        <v>2.09</v>
      </c>
      <c r="D256">
        <v>8.79</v>
      </c>
      <c r="E256" t="s">
        <v>16</v>
      </c>
      <c r="F256" t="s">
        <v>16</v>
      </c>
      <c r="H256">
        <v>0.23</v>
      </c>
      <c r="I256">
        <v>-2.66</v>
      </c>
      <c r="J256">
        <v>-0.11</v>
      </c>
      <c r="L256">
        <v>0.12</v>
      </c>
      <c r="M256">
        <v>10.6</v>
      </c>
      <c r="N256">
        <v>0.01</v>
      </c>
      <c r="O256">
        <v>0.41</v>
      </c>
    </row>
    <row r="257" spans="1:15">
      <c r="A257" t="str">
        <f>"000753"</f>
        <v>000753</v>
      </c>
      <c r="B257" t="s">
        <v>283</v>
      </c>
      <c r="C257">
        <v>-1.64</v>
      </c>
      <c r="D257">
        <v>4.81</v>
      </c>
      <c r="E257" t="s">
        <v>16</v>
      </c>
      <c r="F257" t="s">
        <v>16</v>
      </c>
      <c r="H257">
        <v>-0.2</v>
      </c>
      <c r="I257">
        <v>-7.85</v>
      </c>
      <c r="J257">
        <v>-2.24</v>
      </c>
      <c r="L257">
        <v>0</v>
      </c>
      <c r="M257">
        <v>19.9</v>
      </c>
      <c r="N257">
        <v>0.01</v>
      </c>
      <c r="O257">
        <v>1.86</v>
      </c>
    </row>
    <row r="258" spans="1:15">
      <c r="A258" t="str">
        <f>"000755"</f>
        <v>000755</v>
      </c>
      <c r="B258" t="s">
        <v>284</v>
      </c>
      <c r="C258">
        <v>-2.8</v>
      </c>
      <c r="D258">
        <v>4.51</v>
      </c>
      <c r="E258" t="s">
        <v>16</v>
      </c>
      <c r="F258" t="s">
        <v>16</v>
      </c>
      <c r="H258">
        <v>-0.21</v>
      </c>
      <c r="I258">
        <v>-13.1</v>
      </c>
      <c r="J258">
        <v>-2.59</v>
      </c>
      <c r="L258">
        <v>-0.22</v>
      </c>
      <c r="M258">
        <v>2.41</v>
      </c>
      <c r="N258">
        <v>0</v>
      </c>
      <c r="O258">
        <v>1.24</v>
      </c>
    </row>
    <row r="259" spans="1:15">
      <c r="A259" t="str">
        <f>"000756"</f>
        <v>000756</v>
      </c>
      <c r="B259" t="s">
        <v>285</v>
      </c>
      <c r="C259">
        <v>-0.5</v>
      </c>
      <c r="D259">
        <v>11.95</v>
      </c>
      <c r="E259" t="s">
        <v>16</v>
      </c>
      <c r="F259" t="s">
        <v>16</v>
      </c>
      <c r="H259">
        <v>-0.16</v>
      </c>
      <c r="I259">
        <v>-6.35</v>
      </c>
      <c r="J259">
        <v>-1.4</v>
      </c>
      <c r="L259">
        <v>0.08</v>
      </c>
      <c r="M259">
        <v>23.68</v>
      </c>
      <c r="N259">
        <v>0.01</v>
      </c>
      <c r="O259">
        <v>0.8</v>
      </c>
    </row>
    <row r="260" spans="1:15">
      <c r="A260" t="str">
        <f>"000757"</f>
        <v>000757</v>
      </c>
      <c r="B260" t="s">
        <v>286</v>
      </c>
      <c r="C260">
        <v>-1.35</v>
      </c>
      <c r="D260">
        <v>3.66</v>
      </c>
      <c r="E260" t="s">
        <v>16</v>
      </c>
      <c r="F260" t="s">
        <v>16</v>
      </c>
      <c r="H260">
        <v>0</v>
      </c>
      <c r="I260">
        <v>-6.39</v>
      </c>
      <c r="J260">
        <v>-1.35</v>
      </c>
      <c r="L260">
        <v>-0.81</v>
      </c>
      <c r="M260">
        <v>34.71</v>
      </c>
      <c r="N260">
        <v>0.03</v>
      </c>
      <c r="O260">
        <v>1.04</v>
      </c>
    </row>
    <row r="261" spans="1:15">
      <c r="A261" t="str">
        <f>"000758"</f>
        <v>000758</v>
      </c>
      <c r="B261" t="s">
        <v>287</v>
      </c>
      <c r="C261">
        <v>1.29</v>
      </c>
      <c r="D261">
        <v>7.05</v>
      </c>
      <c r="E261" t="s">
        <v>16</v>
      </c>
      <c r="F261" t="s">
        <v>16</v>
      </c>
      <c r="H261">
        <v>0.14</v>
      </c>
      <c r="I261">
        <v>3.22</v>
      </c>
      <c r="J261">
        <v>-2.62</v>
      </c>
      <c r="L261">
        <v>-0.86</v>
      </c>
      <c r="M261">
        <v>188.23</v>
      </c>
      <c r="N261">
        <v>0.02</v>
      </c>
      <c r="O261">
        <v>1.61</v>
      </c>
    </row>
    <row r="262" spans="1:15">
      <c r="A262" t="str">
        <f>"000759"</f>
        <v>000759</v>
      </c>
      <c r="B262" t="s">
        <v>288</v>
      </c>
      <c r="C262">
        <v>3.47</v>
      </c>
      <c r="D262">
        <v>6.26</v>
      </c>
      <c r="E262" t="s">
        <v>16</v>
      </c>
      <c r="F262" t="s">
        <v>16</v>
      </c>
      <c r="H262">
        <v>-0.47</v>
      </c>
      <c r="I262">
        <v>20.85</v>
      </c>
      <c r="J262">
        <v>-2.49</v>
      </c>
      <c r="L262">
        <v>-0.5</v>
      </c>
      <c r="M262">
        <v>279.45</v>
      </c>
      <c r="N262">
        <v>0.11</v>
      </c>
      <c r="O262">
        <v>0.45</v>
      </c>
    </row>
    <row r="263" spans="1:15">
      <c r="A263" t="str">
        <f>"000761"</f>
        <v>000761</v>
      </c>
      <c r="B263" t="s">
        <v>289</v>
      </c>
      <c r="C263">
        <v>2.21</v>
      </c>
      <c r="D263">
        <v>2.31</v>
      </c>
      <c r="E263" t="s">
        <v>16</v>
      </c>
      <c r="F263" t="s">
        <v>16</v>
      </c>
      <c r="H263">
        <v>0</v>
      </c>
      <c r="I263">
        <v>-6.1</v>
      </c>
      <c r="J263">
        <v>-3.35</v>
      </c>
      <c r="L263">
        <v>0.44</v>
      </c>
      <c r="M263">
        <v>16.14</v>
      </c>
      <c r="N263">
        <v>0.01</v>
      </c>
      <c r="O263">
        <v>2</v>
      </c>
    </row>
    <row r="264" spans="1:15">
      <c r="A264" t="str">
        <f>"000762"</f>
        <v>000762</v>
      </c>
      <c r="B264" t="s">
        <v>290</v>
      </c>
      <c r="C264">
        <v>-0.17</v>
      </c>
      <c r="D264">
        <v>30.13</v>
      </c>
      <c r="E264" t="s">
        <v>16</v>
      </c>
      <c r="F264" t="s">
        <v>16</v>
      </c>
      <c r="H264">
        <v>-0.06</v>
      </c>
      <c r="I264">
        <v>7.3</v>
      </c>
      <c r="J264">
        <v>-1.66</v>
      </c>
      <c r="L264">
        <v>-1.72</v>
      </c>
      <c r="M264">
        <v>548.41</v>
      </c>
      <c r="N264">
        <v>0.04</v>
      </c>
      <c r="O264">
        <v>1.89</v>
      </c>
    </row>
    <row r="265" spans="1:15">
      <c r="A265" t="str">
        <f>"000766"</f>
        <v>000766</v>
      </c>
      <c r="B265" t="s">
        <v>291</v>
      </c>
      <c r="C265">
        <v>-0.41</v>
      </c>
      <c r="D265">
        <v>24.41</v>
      </c>
      <c r="E265" t="s">
        <v>16</v>
      </c>
      <c r="F265" t="s">
        <v>16</v>
      </c>
      <c r="H265">
        <v>-0.28</v>
      </c>
      <c r="I265">
        <v>-1.17</v>
      </c>
      <c r="J265">
        <v>-0.81</v>
      </c>
      <c r="L265">
        <v>-0.65</v>
      </c>
      <c r="M265">
        <v>44.32</v>
      </c>
      <c r="N265">
        <v>0</v>
      </c>
      <c r="O265">
        <v>0.3</v>
      </c>
    </row>
    <row r="266" spans="1:15">
      <c r="A266" t="str">
        <f>"000767"</f>
        <v>000767</v>
      </c>
      <c r="B266" t="s">
        <v>292</v>
      </c>
      <c r="C266">
        <v>-8.2</v>
      </c>
      <c r="D266">
        <v>4.59</v>
      </c>
      <c r="E266" t="s">
        <v>16</v>
      </c>
      <c r="F266" t="s">
        <v>16</v>
      </c>
      <c r="H266">
        <v>-0.21</v>
      </c>
      <c r="I266">
        <v>-20.03</v>
      </c>
      <c r="J266">
        <v>-10.7</v>
      </c>
      <c r="L266">
        <v>-1.2</v>
      </c>
      <c r="M266">
        <v>392.38</v>
      </c>
      <c r="N266">
        <v>0.04</v>
      </c>
      <c r="O266">
        <v>0.7</v>
      </c>
    </row>
    <row r="267" spans="1:15">
      <c r="A267" t="str">
        <f>"000768"</f>
        <v>000768</v>
      </c>
      <c r="B267" t="s">
        <v>293</v>
      </c>
      <c r="C267">
        <v>-3.29</v>
      </c>
      <c r="D267">
        <v>20.59</v>
      </c>
      <c r="E267" t="s">
        <v>16</v>
      </c>
      <c r="F267" t="s">
        <v>16</v>
      </c>
      <c r="H267">
        <v>-0.14</v>
      </c>
      <c r="I267">
        <v>-2.42</v>
      </c>
      <c r="J267">
        <v>-2.56</v>
      </c>
      <c r="L267">
        <v>-0.99</v>
      </c>
      <c r="M267">
        <v>313.25</v>
      </c>
      <c r="N267">
        <v>0.01</v>
      </c>
      <c r="O267">
        <v>0.42</v>
      </c>
    </row>
    <row r="268" spans="1:15">
      <c r="A268" t="str">
        <f>"000776"</f>
        <v>000776</v>
      </c>
      <c r="B268" t="s">
        <v>294</v>
      </c>
      <c r="C268">
        <v>-3.64</v>
      </c>
      <c r="D268">
        <v>20.64</v>
      </c>
      <c r="E268" t="s">
        <v>16</v>
      </c>
      <c r="F268" t="s">
        <v>16</v>
      </c>
      <c r="H268">
        <v>-0.14</v>
      </c>
      <c r="I268">
        <v>7.78</v>
      </c>
      <c r="J268">
        <v>-4.4</v>
      </c>
      <c r="L268">
        <v>-0.51</v>
      </c>
      <c r="M268">
        <v>445.59</v>
      </c>
      <c r="N268">
        <v>0.01</v>
      </c>
      <c r="O268">
        <v>0.65</v>
      </c>
    </row>
    <row r="269" spans="1:15">
      <c r="A269" t="str">
        <f>"000777"</f>
        <v>000777</v>
      </c>
      <c r="B269" t="s">
        <v>295</v>
      </c>
      <c r="C269">
        <v>-10.02</v>
      </c>
      <c r="D269">
        <v>19.67</v>
      </c>
      <c r="E269">
        <v>6432.29</v>
      </c>
      <c r="F269" t="s">
        <v>16</v>
      </c>
      <c r="H269">
        <v>0</v>
      </c>
      <c r="I269">
        <v>14.96</v>
      </c>
      <c r="J269">
        <v>-5.34</v>
      </c>
      <c r="K269" t="s">
        <v>296</v>
      </c>
      <c r="L269">
        <v>-6.45</v>
      </c>
      <c r="M269">
        <v>7341.9</v>
      </c>
      <c r="N269">
        <v>1.29</v>
      </c>
      <c r="O269">
        <v>0.77</v>
      </c>
    </row>
    <row r="270" spans="1:15">
      <c r="A270" t="str">
        <f>"000778"</f>
        <v>000778</v>
      </c>
      <c r="B270" t="s">
        <v>297</v>
      </c>
      <c r="C270">
        <v>0</v>
      </c>
      <c r="D270">
        <v>4.04</v>
      </c>
      <c r="E270" t="s">
        <v>16</v>
      </c>
      <c r="F270" t="s">
        <v>16</v>
      </c>
      <c r="H270">
        <v>0</v>
      </c>
      <c r="I270">
        <v>-4.72</v>
      </c>
      <c r="J270">
        <v>-0.49</v>
      </c>
      <c r="L270">
        <v>-0.25</v>
      </c>
      <c r="M270">
        <v>64.36</v>
      </c>
      <c r="N270">
        <v>0.01</v>
      </c>
      <c r="O270">
        <v>0.92</v>
      </c>
    </row>
    <row r="271" spans="1:15">
      <c r="A271" t="str">
        <f>"000779"</f>
        <v>000779</v>
      </c>
      <c r="B271" t="s">
        <v>298</v>
      </c>
      <c r="C271">
        <v>-0.52</v>
      </c>
      <c r="D271">
        <v>7.71</v>
      </c>
      <c r="E271" t="s">
        <v>16</v>
      </c>
      <c r="F271" t="s">
        <v>16</v>
      </c>
      <c r="H271">
        <v>0</v>
      </c>
      <c r="I271">
        <v>2.39</v>
      </c>
      <c r="J271">
        <v>-1.53</v>
      </c>
      <c r="L271">
        <v>-0.39</v>
      </c>
      <c r="M271">
        <v>3.78</v>
      </c>
      <c r="N271">
        <v>0</v>
      </c>
      <c r="O271">
        <v>0.46</v>
      </c>
    </row>
    <row r="272" spans="1:15">
      <c r="A272" t="str">
        <f>"000782"</f>
        <v>000782</v>
      </c>
      <c r="B272" t="s">
        <v>299</v>
      </c>
      <c r="C272">
        <v>-2.52</v>
      </c>
      <c r="D272">
        <v>7.34</v>
      </c>
      <c r="E272" t="s">
        <v>16</v>
      </c>
      <c r="F272" t="s">
        <v>16</v>
      </c>
      <c r="H272">
        <v>0.14</v>
      </c>
      <c r="I272">
        <v>-1.61</v>
      </c>
      <c r="J272">
        <v>-5.53</v>
      </c>
      <c r="L272">
        <v>-0.13</v>
      </c>
      <c r="M272">
        <v>21.43</v>
      </c>
      <c r="N272">
        <v>0.01</v>
      </c>
      <c r="O272">
        <v>0.39</v>
      </c>
    </row>
    <row r="273" spans="1:15">
      <c r="A273" t="str">
        <f>"000783"</f>
        <v>000783</v>
      </c>
      <c r="B273" t="s">
        <v>300</v>
      </c>
      <c r="C273">
        <v>-2.86</v>
      </c>
      <c r="D273">
        <v>7.82</v>
      </c>
      <c r="E273" t="s">
        <v>16</v>
      </c>
      <c r="F273" t="s">
        <v>16</v>
      </c>
      <c r="H273">
        <v>0</v>
      </c>
      <c r="I273">
        <v>5.53</v>
      </c>
      <c r="J273">
        <v>-3.34</v>
      </c>
      <c r="L273">
        <v>-0.75</v>
      </c>
      <c r="M273">
        <v>439.69</v>
      </c>
      <c r="N273">
        <v>0.02</v>
      </c>
      <c r="O273">
        <v>1.22</v>
      </c>
    </row>
    <row r="274" spans="1:15">
      <c r="A274" t="str">
        <f>"000785"</f>
        <v>000785</v>
      </c>
      <c r="B274" t="s">
        <v>301</v>
      </c>
      <c r="C274">
        <v>-1.37</v>
      </c>
      <c r="D274">
        <v>2.16</v>
      </c>
      <c r="E274" t="s">
        <v>16</v>
      </c>
      <c r="F274" t="s">
        <v>16</v>
      </c>
      <c r="H274">
        <v>0.47</v>
      </c>
      <c r="I274">
        <v>-7.3</v>
      </c>
      <c r="J274">
        <v>-1.37</v>
      </c>
      <c r="L274">
        <v>-0.46</v>
      </c>
      <c r="M274">
        <v>67.67</v>
      </c>
      <c r="N274">
        <v>0.02</v>
      </c>
      <c r="O274">
        <v>1.04</v>
      </c>
    </row>
    <row r="275" spans="1:15">
      <c r="A275" t="str">
        <f>"000786"</f>
        <v>000786</v>
      </c>
      <c r="B275" t="s">
        <v>302</v>
      </c>
      <c r="C275">
        <v>-4.18</v>
      </c>
      <c r="D275">
        <v>19.72</v>
      </c>
      <c r="E275" t="s">
        <v>16</v>
      </c>
      <c r="F275" t="s">
        <v>16</v>
      </c>
      <c r="H275">
        <v>-0.24</v>
      </c>
      <c r="I275">
        <v>-7.94</v>
      </c>
      <c r="J275">
        <v>-4.18</v>
      </c>
      <c r="L275">
        <v>-0.34</v>
      </c>
      <c r="M275">
        <v>44.3</v>
      </c>
      <c r="N275">
        <v>0</v>
      </c>
      <c r="O275">
        <v>2.18</v>
      </c>
    </row>
    <row r="276" spans="1:15">
      <c r="A276" t="str">
        <f>"000788"</f>
        <v>000788</v>
      </c>
      <c r="B276" t="s">
        <v>303</v>
      </c>
      <c r="C276">
        <v>-2.6</v>
      </c>
      <c r="D276">
        <v>5.24</v>
      </c>
      <c r="E276" t="s">
        <v>16</v>
      </c>
      <c r="F276" t="s">
        <v>16</v>
      </c>
      <c r="H276">
        <v>0</v>
      </c>
      <c r="I276">
        <v>1.95</v>
      </c>
      <c r="J276">
        <v>-2.24</v>
      </c>
      <c r="L276">
        <v>-0.37</v>
      </c>
      <c r="M276">
        <v>19.03</v>
      </c>
      <c r="N276">
        <v>0.01</v>
      </c>
      <c r="O276">
        <v>1.2</v>
      </c>
    </row>
    <row r="277" spans="1:15">
      <c r="A277" t="str">
        <f>"000789"</f>
        <v>000789</v>
      </c>
      <c r="B277" t="s">
        <v>304</v>
      </c>
      <c r="C277">
        <v>-1.2</v>
      </c>
      <c r="D277">
        <v>4.11</v>
      </c>
      <c r="E277" t="s">
        <v>16</v>
      </c>
      <c r="F277" t="s">
        <v>16</v>
      </c>
      <c r="H277">
        <v>0.24</v>
      </c>
      <c r="I277">
        <v>-4.2</v>
      </c>
      <c r="J277">
        <v>-1.2</v>
      </c>
      <c r="L277">
        <v>-0.48</v>
      </c>
      <c r="M277">
        <v>1.16</v>
      </c>
      <c r="N277">
        <v>0</v>
      </c>
      <c r="O277">
        <v>0.4</v>
      </c>
    </row>
    <row r="278" spans="1:15">
      <c r="A278" t="str">
        <f>"000790"</f>
        <v>000790</v>
      </c>
      <c r="B278" t="s">
        <v>305</v>
      </c>
      <c r="C278">
        <v>1.89</v>
      </c>
      <c r="D278">
        <v>3.77</v>
      </c>
      <c r="E278" t="s">
        <v>16</v>
      </c>
      <c r="F278" t="s">
        <v>16</v>
      </c>
      <c r="H278">
        <v>0.27</v>
      </c>
      <c r="I278">
        <v>-0.53</v>
      </c>
      <c r="J278">
        <v>0</v>
      </c>
      <c r="L278">
        <v>-0.81</v>
      </c>
      <c r="M278">
        <v>14.9</v>
      </c>
      <c r="N278">
        <v>0.01</v>
      </c>
      <c r="O278">
        <v>2.84</v>
      </c>
    </row>
    <row r="279" spans="1:15">
      <c r="A279" t="str">
        <f>"000791"</f>
        <v>000791</v>
      </c>
      <c r="B279" t="s">
        <v>306</v>
      </c>
      <c r="C279">
        <v>-6.83</v>
      </c>
      <c r="D279">
        <v>8.59</v>
      </c>
      <c r="E279" t="s">
        <v>16</v>
      </c>
      <c r="F279" t="s">
        <v>16</v>
      </c>
      <c r="H279">
        <v>0.12</v>
      </c>
      <c r="I279">
        <v>-12.17</v>
      </c>
      <c r="J279">
        <v>-6.12</v>
      </c>
      <c r="K279" t="s">
        <v>26</v>
      </c>
      <c r="L279">
        <v>-2.39</v>
      </c>
      <c r="M279">
        <v>1948.32</v>
      </c>
      <c r="N279">
        <v>0.28</v>
      </c>
      <c r="O279">
        <v>0.6</v>
      </c>
    </row>
    <row r="280" spans="1:15">
      <c r="A280" t="str">
        <f>"000792"</f>
        <v>000792</v>
      </c>
      <c r="B280" t="s">
        <v>307</v>
      </c>
      <c r="C280">
        <v>-3.63</v>
      </c>
      <c r="D280">
        <v>29.75</v>
      </c>
      <c r="E280" t="s">
        <v>16</v>
      </c>
      <c r="F280" t="s">
        <v>16</v>
      </c>
      <c r="H280">
        <v>-0.43</v>
      </c>
      <c r="I280">
        <v>1.36</v>
      </c>
      <c r="J280">
        <v>-4.16</v>
      </c>
      <c r="L280">
        <v>-1.55</v>
      </c>
      <c r="M280">
        <v>1754.72</v>
      </c>
      <c r="N280">
        <v>0.02</v>
      </c>
      <c r="O280">
        <v>1.94</v>
      </c>
    </row>
    <row r="281" spans="1:15">
      <c r="A281" t="str">
        <f>"000793"</f>
        <v>000793</v>
      </c>
      <c r="B281" t="s">
        <v>308</v>
      </c>
      <c r="C281" t="s">
        <v>16</v>
      </c>
      <c r="D281">
        <v>2.63</v>
      </c>
      <c r="E281" t="s">
        <v>16</v>
      </c>
      <c r="F281" t="s">
        <v>16</v>
      </c>
      <c r="H281" t="s">
        <v>16</v>
      </c>
      <c r="I281">
        <v>0</v>
      </c>
      <c r="J281" t="s">
        <v>16</v>
      </c>
      <c r="L281" t="s">
        <v>16</v>
      </c>
      <c r="M281">
        <v>0</v>
      </c>
      <c r="N281" t="s">
        <v>16</v>
      </c>
      <c r="O281" t="s">
        <v>16</v>
      </c>
    </row>
    <row r="282" spans="1:15">
      <c r="A282" t="str">
        <f>"000795"</f>
        <v>000795</v>
      </c>
      <c r="B282" t="s">
        <v>309</v>
      </c>
      <c r="C282">
        <v>5.35</v>
      </c>
      <c r="D282">
        <v>9.84</v>
      </c>
      <c r="E282" t="s">
        <v>16</v>
      </c>
      <c r="F282" t="s">
        <v>16</v>
      </c>
      <c r="H282">
        <v>0.41</v>
      </c>
      <c r="I282">
        <v>8.97</v>
      </c>
      <c r="J282">
        <v>-0.1</v>
      </c>
      <c r="L282">
        <v>-0.96</v>
      </c>
      <c r="M282">
        <v>98.51</v>
      </c>
      <c r="N282">
        <v>0.02</v>
      </c>
      <c r="O282">
        <v>0.23</v>
      </c>
    </row>
    <row r="283" spans="1:15">
      <c r="A283" t="str">
        <f>"000796"</f>
        <v>000796</v>
      </c>
      <c r="B283" t="s">
        <v>310</v>
      </c>
      <c r="C283">
        <v>-1.41</v>
      </c>
      <c r="D283">
        <v>4.19</v>
      </c>
      <c r="E283" t="s">
        <v>16</v>
      </c>
      <c r="F283" t="s">
        <v>16</v>
      </c>
      <c r="H283">
        <v>-0.47</v>
      </c>
      <c r="I283">
        <v>-7.71</v>
      </c>
      <c r="J283">
        <v>-1.18</v>
      </c>
      <c r="L283">
        <v>-0.47</v>
      </c>
      <c r="M283">
        <v>50.51</v>
      </c>
      <c r="N283">
        <v>0.01</v>
      </c>
      <c r="O283">
        <v>4.7</v>
      </c>
    </row>
    <row r="284" spans="1:15">
      <c r="A284" t="str">
        <f>"000797"</f>
        <v>000797</v>
      </c>
      <c r="B284" t="s">
        <v>311</v>
      </c>
      <c r="C284">
        <v>0.43</v>
      </c>
      <c r="D284">
        <v>2.34</v>
      </c>
      <c r="E284" t="s">
        <v>16</v>
      </c>
      <c r="F284" t="s">
        <v>16</v>
      </c>
      <c r="H284">
        <v>0</v>
      </c>
      <c r="I284">
        <v>-6.4</v>
      </c>
      <c r="J284">
        <v>-1.27</v>
      </c>
      <c r="L284">
        <v>0.43</v>
      </c>
      <c r="M284">
        <v>22.72</v>
      </c>
      <c r="N284">
        <v>0.01</v>
      </c>
      <c r="O284">
        <v>1.32</v>
      </c>
    </row>
    <row r="285" spans="1:15">
      <c r="A285" t="str">
        <f>"000798"</f>
        <v>000798</v>
      </c>
      <c r="B285" t="s">
        <v>312</v>
      </c>
      <c r="C285">
        <v>-1.32</v>
      </c>
      <c r="D285">
        <v>7.48</v>
      </c>
      <c r="E285" t="s">
        <v>16</v>
      </c>
      <c r="F285" t="s">
        <v>16</v>
      </c>
      <c r="H285">
        <v>-0.12</v>
      </c>
      <c r="I285">
        <v>-8.89</v>
      </c>
      <c r="J285">
        <v>-1.84</v>
      </c>
      <c r="L285">
        <v>0.53</v>
      </c>
      <c r="M285">
        <v>91.14</v>
      </c>
      <c r="N285">
        <v>0.07</v>
      </c>
      <c r="O285">
        <v>0.4</v>
      </c>
    </row>
    <row r="286" spans="1:15">
      <c r="A286" t="str">
        <f>"000799"</f>
        <v>000799</v>
      </c>
      <c r="B286" t="s">
        <v>313</v>
      </c>
      <c r="C286">
        <v>2.96</v>
      </c>
      <c r="D286">
        <v>39.36</v>
      </c>
      <c r="E286" t="s">
        <v>16</v>
      </c>
      <c r="F286" t="s">
        <v>16</v>
      </c>
      <c r="H286">
        <v>-0.52</v>
      </c>
      <c r="I286">
        <v>-9.14</v>
      </c>
      <c r="J286">
        <v>-3.88</v>
      </c>
      <c r="L286">
        <v>-0.89</v>
      </c>
      <c r="M286">
        <v>85.25</v>
      </c>
      <c r="N286">
        <v>0.01</v>
      </c>
      <c r="O286">
        <v>0.85</v>
      </c>
    </row>
    <row r="287" spans="1:15">
      <c r="A287" t="str">
        <f>"000800"</f>
        <v>000800</v>
      </c>
      <c r="B287" t="s">
        <v>314</v>
      </c>
      <c r="C287">
        <v>-2.72</v>
      </c>
      <c r="D287">
        <v>6.09</v>
      </c>
      <c r="E287" t="s">
        <v>16</v>
      </c>
      <c r="F287" t="s">
        <v>16</v>
      </c>
      <c r="H287">
        <v>-0.15</v>
      </c>
      <c r="I287">
        <v>0.5</v>
      </c>
      <c r="J287">
        <v>-2.25</v>
      </c>
      <c r="L287">
        <v>-0.96</v>
      </c>
      <c r="M287">
        <v>75.33</v>
      </c>
      <c r="N287">
        <v>0.01</v>
      </c>
      <c r="O287">
        <v>2</v>
      </c>
    </row>
    <row r="288" spans="1:15">
      <c r="A288" t="str">
        <f>"000801"</f>
        <v>000801</v>
      </c>
      <c r="B288" t="s">
        <v>315</v>
      </c>
      <c r="C288">
        <v>0.09</v>
      </c>
      <c r="D288">
        <v>11.59</v>
      </c>
      <c r="E288" t="s">
        <v>16</v>
      </c>
      <c r="F288" t="s">
        <v>16</v>
      </c>
      <c r="H288">
        <v>-0.16</v>
      </c>
      <c r="I288">
        <v>-7.87</v>
      </c>
      <c r="J288">
        <v>-2.44</v>
      </c>
      <c r="L288">
        <v>-0.26</v>
      </c>
      <c r="M288">
        <v>34.19</v>
      </c>
      <c r="N288">
        <v>0.01</v>
      </c>
      <c r="O288">
        <v>0.62</v>
      </c>
    </row>
    <row r="289" spans="1:15">
      <c r="A289" t="str">
        <f>"000802"</f>
        <v>000802</v>
      </c>
      <c r="B289" t="s">
        <v>316</v>
      </c>
      <c r="C289">
        <v>1.99</v>
      </c>
      <c r="D289">
        <v>4.11</v>
      </c>
      <c r="E289" t="s">
        <v>16</v>
      </c>
      <c r="F289" t="s">
        <v>16</v>
      </c>
      <c r="H289">
        <v>-0.47</v>
      </c>
      <c r="I289">
        <v>-14.73</v>
      </c>
      <c r="J289">
        <v>-0.72</v>
      </c>
      <c r="L289">
        <v>0</v>
      </c>
      <c r="M289">
        <v>42.64</v>
      </c>
      <c r="N289">
        <v>0.02</v>
      </c>
      <c r="O289">
        <v>0.75</v>
      </c>
    </row>
    <row r="290" spans="1:15">
      <c r="A290" t="str">
        <f>"000803"</f>
        <v>000803</v>
      </c>
      <c r="B290" t="s">
        <v>317</v>
      </c>
      <c r="C290">
        <v>4.23</v>
      </c>
      <c r="D290">
        <v>7.4</v>
      </c>
      <c r="E290" t="s">
        <v>16</v>
      </c>
      <c r="F290" t="s">
        <v>16</v>
      </c>
      <c r="H290">
        <v>0.14</v>
      </c>
      <c r="I290">
        <v>-3.9</v>
      </c>
      <c r="J290">
        <v>-1.33</v>
      </c>
      <c r="L290">
        <v>0.42</v>
      </c>
      <c r="M290">
        <v>7.06</v>
      </c>
      <c r="N290">
        <v>0</v>
      </c>
      <c r="O290">
        <v>2.3</v>
      </c>
    </row>
    <row r="291" spans="1:15">
      <c r="A291" t="str">
        <f>"000807"</f>
        <v>000807</v>
      </c>
      <c r="B291" t="s">
        <v>318</v>
      </c>
      <c r="C291">
        <v>-3.32</v>
      </c>
      <c r="D291">
        <v>24.17</v>
      </c>
      <c r="E291" t="s">
        <v>16</v>
      </c>
      <c r="F291" t="s">
        <v>16</v>
      </c>
      <c r="H291">
        <v>0</v>
      </c>
      <c r="I291">
        <v>-14.35</v>
      </c>
      <c r="J291">
        <v>-3.9</v>
      </c>
      <c r="L291">
        <v>-1</v>
      </c>
      <c r="M291">
        <v>1222.94</v>
      </c>
      <c r="N291">
        <v>0.02</v>
      </c>
      <c r="O291">
        <v>1.53</v>
      </c>
    </row>
    <row r="292" spans="1:15">
      <c r="A292" t="str">
        <f>"000809"</f>
        <v>000809</v>
      </c>
      <c r="B292" t="s">
        <v>319</v>
      </c>
      <c r="C292">
        <v>-1.34</v>
      </c>
      <c r="D292">
        <v>3.68</v>
      </c>
      <c r="E292" t="s">
        <v>16</v>
      </c>
      <c r="F292" t="s">
        <v>16</v>
      </c>
      <c r="H292">
        <v>-0.8</v>
      </c>
      <c r="I292">
        <v>-7.77</v>
      </c>
      <c r="J292">
        <v>-1.87</v>
      </c>
      <c r="L292">
        <v>-2.14</v>
      </c>
      <c r="M292">
        <v>204.58</v>
      </c>
      <c r="N292">
        <v>0.1</v>
      </c>
      <c r="O292">
        <v>3.04</v>
      </c>
    </row>
    <row r="293" spans="1:15">
      <c r="A293" t="str">
        <f>"000810"</f>
        <v>000810</v>
      </c>
      <c r="B293" t="s">
        <v>320</v>
      </c>
      <c r="C293">
        <v>1.23</v>
      </c>
      <c r="D293">
        <v>12.3</v>
      </c>
      <c r="E293" t="s">
        <v>16</v>
      </c>
      <c r="F293" t="s">
        <v>16</v>
      </c>
      <c r="H293">
        <v>-0.64</v>
      </c>
      <c r="I293">
        <v>12.74</v>
      </c>
      <c r="J293">
        <v>-3.61</v>
      </c>
      <c r="L293">
        <v>-0.33</v>
      </c>
      <c r="M293">
        <v>110.08</v>
      </c>
      <c r="N293">
        <v>0.02</v>
      </c>
      <c r="O293">
        <v>0.94</v>
      </c>
    </row>
    <row r="294" spans="1:15">
      <c r="A294" t="str">
        <f>"000811"</f>
        <v>000811</v>
      </c>
      <c r="B294" t="s">
        <v>321</v>
      </c>
      <c r="C294">
        <v>9.99</v>
      </c>
      <c r="D294">
        <v>40.17</v>
      </c>
      <c r="E294">
        <v>34123.21</v>
      </c>
      <c r="F294">
        <v>2</v>
      </c>
      <c r="H294">
        <v>0</v>
      </c>
      <c r="I294">
        <v>26.64</v>
      </c>
      <c r="J294">
        <v>0</v>
      </c>
      <c r="K294" t="s">
        <v>51</v>
      </c>
      <c r="L294">
        <v>9.99</v>
      </c>
      <c r="M294">
        <v>3560.07</v>
      </c>
      <c r="N294">
        <v>0.14</v>
      </c>
      <c r="O294">
        <v>0.26</v>
      </c>
    </row>
    <row r="295" spans="1:15">
      <c r="A295" t="str">
        <f>"000812"</f>
        <v>000812</v>
      </c>
      <c r="B295" t="s">
        <v>322</v>
      </c>
      <c r="C295">
        <v>0</v>
      </c>
      <c r="D295">
        <v>3.32</v>
      </c>
      <c r="E295" t="s">
        <v>16</v>
      </c>
      <c r="F295" t="s">
        <v>16</v>
      </c>
      <c r="H295">
        <v>0.3</v>
      </c>
      <c r="I295">
        <v>-7.78</v>
      </c>
      <c r="J295">
        <v>-1.19</v>
      </c>
      <c r="L295">
        <v>-0.3</v>
      </c>
      <c r="M295">
        <v>16.85</v>
      </c>
      <c r="N295">
        <v>0.01</v>
      </c>
      <c r="O295">
        <v>0.49</v>
      </c>
    </row>
    <row r="296" spans="1:15">
      <c r="A296" t="str">
        <f>"000813"</f>
        <v>000813</v>
      </c>
      <c r="B296" t="s">
        <v>323</v>
      </c>
      <c r="C296">
        <v>-1</v>
      </c>
      <c r="D296">
        <v>2.97</v>
      </c>
      <c r="E296" t="s">
        <v>16</v>
      </c>
      <c r="F296" t="s">
        <v>16</v>
      </c>
      <c r="H296">
        <v>-0.33</v>
      </c>
      <c r="I296">
        <v>-3.88</v>
      </c>
      <c r="J296">
        <v>-1.66</v>
      </c>
      <c r="L296">
        <v>-0.67</v>
      </c>
      <c r="M296">
        <v>31.56</v>
      </c>
      <c r="N296">
        <v>0.01</v>
      </c>
      <c r="O296">
        <v>6.88</v>
      </c>
    </row>
    <row r="297" spans="1:15">
      <c r="A297" t="str">
        <f>"000815"</f>
        <v>000815</v>
      </c>
      <c r="B297" t="s">
        <v>324</v>
      </c>
      <c r="C297">
        <v>-1.27</v>
      </c>
      <c r="D297">
        <v>17.06</v>
      </c>
      <c r="E297" t="s">
        <v>16</v>
      </c>
      <c r="F297" t="s">
        <v>16</v>
      </c>
      <c r="H297">
        <v>0.18</v>
      </c>
      <c r="I297">
        <v>7.43</v>
      </c>
      <c r="J297">
        <v>-2.18</v>
      </c>
      <c r="L297">
        <v>-2.26</v>
      </c>
      <c r="M297">
        <v>816.12</v>
      </c>
      <c r="N297">
        <v>0.1</v>
      </c>
      <c r="O297">
        <v>1.4</v>
      </c>
    </row>
    <row r="298" spans="1:15">
      <c r="A298" t="str">
        <f>"000816"</f>
        <v>000816</v>
      </c>
      <c r="B298" t="s">
        <v>325</v>
      </c>
      <c r="C298">
        <v>-0.83</v>
      </c>
      <c r="D298">
        <v>2.4</v>
      </c>
      <c r="E298" t="s">
        <v>16</v>
      </c>
      <c r="F298" t="s">
        <v>16</v>
      </c>
      <c r="H298">
        <v>0</v>
      </c>
      <c r="I298">
        <v>-8.05</v>
      </c>
      <c r="J298">
        <v>-1.64</v>
      </c>
      <c r="L298">
        <v>-0.41</v>
      </c>
      <c r="M298">
        <v>20.74</v>
      </c>
      <c r="N298">
        <v>0.01</v>
      </c>
      <c r="O298">
        <v>1.4</v>
      </c>
    </row>
    <row r="299" spans="1:15">
      <c r="A299" t="str">
        <f>"000818"</f>
        <v>000818</v>
      </c>
      <c r="B299" t="s">
        <v>326</v>
      </c>
      <c r="C299">
        <v>-2.83</v>
      </c>
      <c r="D299">
        <v>12.35</v>
      </c>
      <c r="E299" t="s">
        <v>16</v>
      </c>
      <c r="F299" t="s">
        <v>16</v>
      </c>
      <c r="H299">
        <v>-0.15</v>
      </c>
      <c r="I299">
        <v>-9.59</v>
      </c>
      <c r="J299">
        <v>-2.29</v>
      </c>
      <c r="L299">
        <v>-0.94</v>
      </c>
      <c r="M299">
        <v>59.3</v>
      </c>
      <c r="N299">
        <v>0.01</v>
      </c>
      <c r="O299">
        <v>0.49</v>
      </c>
    </row>
    <row r="300" spans="1:15">
      <c r="A300" t="str">
        <f>"000819"</f>
        <v>000819</v>
      </c>
      <c r="B300" t="s">
        <v>327</v>
      </c>
      <c r="C300">
        <v>0.76</v>
      </c>
      <c r="D300">
        <v>13.26</v>
      </c>
      <c r="E300" t="s">
        <v>16</v>
      </c>
      <c r="F300" t="s">
        <v>16</v>
      </c>
      <c r="H300">
        <v>0.08</v>
      </c>
      <c r="I300">
        <v>-7.08</v>
      </c>
      <c r="J300">
        <v>-2.5</v>
      </c>
      <c r="L300">
        <v>1.06</v>
      </c>
      <c r="M300">
        <v>21.81</v>
      </c>
      <c r="N300">
        <v>0.01</v>
      </c>
      <c r="O300">
        <v>1.49</v>
      </c>
    </row>
    <row r="301" spans="1:15">
      <c r="A301" t="str">
        <f>"000820"</f>
        <v>000820</v>
      </c>
      <c r="B301" t="s">
        <v>328</v>
      </c>
      <c r="C301">
        <v>-1.31</v>
      </c>
      <c r="D301">
        <v>3.01</v>
      </c>
      <c r="E301" t="s">
        <v>16</v>
      </c>
      <c r="F301" t="s">
        <v>16</v>
      </c>
      <c r="H301">
        <v>0</v>
      </c>
      <c r="I301">
        <v>-9.88</v>
      </c>
      <c r="J301">
        <v>-1.95</v>
      </c>
      <c r="L301">
        <v>0.66</v>
      </c>
      <c r="M301">
        <v>1.66</v>
      </c>
      <c r="N301">
        <v>0</v>
      </c>
      <c r="O301">
        <v>1.2</v>
      </c>
    </row>
    <row r="302" spans="1:15">
      <c r="A302" t="str">
        <f>"000821"</f>
        <v>000821</v>
      </c>
      <c r="B302" t="s">
        <v>329</v>
      </c>
      <c r="C302">
        <v>-3.78</v>
      </c>
      <c r="D302">
        <v>8.65</v>
      </c>
      <c r="E302" t="s">
        <v>16</v>
      </c>
      <c r="F302" t="s">
        <v>16</v>
      </c>
      <c r="H302">
        <v>-0.22</v>
      </c>
      <c r="I302">
        <v>-6.39</v>
      </c>
      <c r="J302">
        <v>-2.81</v>
      </c>
      <c r="L302">
        <v>-1.11</v>
      </c>
      <c r="M302">
        <v>55.83</v>
      </c>
      <c r="N302">
        <v>0.01</v>
      </c>
      <c r="O302">
        <v>2.32</v>
      </c>
    </row>
    <row r="303" spans="1:15">
      <c r="A303" t="str">
        <f>"000822"</f>
        <v>000822</v>
      </c>
      <c r="B303" t="s">
        <v>330</v>
      </c>
      <c r="C303">
        <v>-1.81</v>
      </c>
      <c r="D303">
        <v>4.35</v>
      </c>
      <c r="E303" t="s">
        <v>16</v>
      </c>
      <c r="F303" t="s">
        <v>16</v>
      </c>
      <c r="H303">
        <v>0</v>
      </c>
      <c r="I303">
        <v>-9</v>
      </c>
      <c r="J303">
        <v>-1.81</v>
      </c>
      <c r="L303">
        <v>-0.45</v>
      </c>
      <c r="M303">
        <v>20.73</v>
      </c>
      <c r="N303">
        <v>0.01</v>
      </c>
      <c r="O303">
        <v>1.93</v>
      </c>
    </row>
    <row r="304" spans="1:15">
      <c r="A304" t="str">
        <f>"000823"</f>
        <v>000823</v>
      </c>
      <c r="B304" t="s">
        <v>331</v>
      </c>
      <c r="C304">
        <v>-2.31</v>
      </c>
      <c r="D304">
        <v>21.6</v>
      </c>
      <c r="E304" t="s">
        <v>16</v>
      </c>
      <c r="F304" t="s">
        <v>16</v>
      </c>
      <c r="H304">
        <v>-0.36</v>
      </c>
      <c r="I304">
        <v>24.07</v>
      </c>
      <c r="J304">
        <v>-3.96</v>
      </c>
      <c r="K304" t="s">
        <v>220</v>
      </c>
      <c r="L304">
        <v>1.58</v>
      </c>
      <c r="M304">
        <v>4774.32</v>
      </c>
      <c r="N304">
        <v>0.5</v>
      </c>
      <c r="O304">
        <v>2.15</v>
      </c>
    </row>
    <row r="305" spans="1:15">
      <c r="A305" t="str">
        <f>"000825"</f>
        <v>000825</v>
      </c>
      <c r="B305" t="s">
        <v>332</v>
      </c>
      <c r="C305">
        <v>0.27</v>
      </c>
      <c r="D305">
        <v>3.77</v>
      </c>
      <c r="E305" t="s">
        <v>16</v>
      </c>
      <c r="F305" t="s">
        <v>16</v>
      </c>
      <c r="H305">
        <v>0</v>
      </c>
      <c r="I305">
        <v>-1.57</v>
      </c>
      <c r="J305">
        <v>-2.08</v>
      </c>
      <c r="L305">
        <v>-0.27</v>
      </c>
      <c r="M305">
        <v>20.14</v>
      </c>
      <c r="N305">
        <v>0</v>
      </c>
      <c r="O305">
        <v>0.75</v>
      </c>
    </row>
    <row r="306" spans="1:15">
      <c r="A306" t="str">
        <f>"000826"</f>
        <v>000826</v>
      </c>
      <c r="B306" t="s">
        <v>333</v>
      </c>
      <c r="C306">
        <v>-2.3</v>
      </c>
      <c r="D306">
        <v>2.12</v>
      </c>
      <c r="E306" t="s">
        <v>16</v>
      </c>
      <c r="F306" t="s">
        <v>16</v>
      </c>
      <c r="H306">
        <v>-0.46</v>
      </c>
      <c r="I306">
        <v>-9.01</v>
      </c>
      <c r="J306">
        <v>-2.3</v>
      </c>
      <c r="L306">
        <v>0</v>
      </c>
      <c r="M306">
        <v>26.91</v>
      </c>
      <c r="N306">
        <v>0.01</v>
      </c>
      <c r="O306">
        <v>2.83</v>
      </c>
    </row>
    <row r="307" spans="1:15">
      <c r="A307" t="str">
        <f>"000828"</f>
        <v>000828</v>
      </c>
      <c r="B307" t="s">
        <v>334</v>
      </c>
      <c r="C307">
        <v>-1.23</v>
      </c>
      <c r="D307">
        <v>9.6</v>
      </c>
      <c r="E307" t="s">
        <v>16</v>
      </c>
      <c r="F307" t="s">
        <v>16</v>
      </c>
      <c r="H307">
        <v>0.1</v>
      </c>
      <c r="I307">
        <v>-3.61</v>
      </c>
      <c r="J307">
        <v>-1.23</v>
      </c>
      <c r="L307">
        <v>-0.21</v>
      </c>
      <c r="M307">
        <v>14.36</v>
      </c>
      <c r="N307">
        <v>0</v>
      </c>
      <c r="O307">
        <v>4.78</v>
      </c>
    </row>
    <row r="308" spans="1:15">
      <c r="A308" t="str">
        <f>"000829"</f>
        <v>000829</v>
      </c>
      <c r="B308" t="s">
        <v>335</v>
      </c>
      <c r="C308">
        <v>-3.65</v>
      </c>
      <c r="D308">
        <v>8.19</v>
      </c>
      <c r="E308" t="s">
        <v>16</v>
      </c>
      <c r="F308" t="s">
        <v>16</v>
      </c>
      <c r="H308">
        <v>0.49</v>
      </c>
      <c r="I308">
        <v>-10.59</v>
      </c>
      <c r="J308">
        <v>-3.53</v>
      </c>
      <c r="L308">
        <v>-0.47</v>
      </c>
      <c r="M308">
        <v>23.43</v>
      </c>
      <c r="N308">
        <v>0</v>
      </c>
      <c r="O308">
        <v>1.14</v>
      </c>
    </row>
    <row r="309" spans="1:15">
      <c r="A309" t="str">
        <f>"000830"</f>
        <v>000830</v>
      </c>
      <c r="B309" t="s">
        <v>336</v>
      </c>
      <c r="C309">
        <v>-2.93</v>
      </c>
      <c r="D309">
        <v>12.59</v>
      </c>
      <c r="E309" t="s">
        <v>16</v>
      </c>
      <c r="F309" t="s">
        <v>16</v>
      </c>
      <c r="H309">
        <v>-0.07</v>
      </c>
      <c r="I309">
        <v>0.88</v>
      </c>
      <c r="J309">
        <v>-2.63</v>
      </c>
      <c r="L309">
        <v>-0.77</v>
      </c>
      <c r="M309">
        <v>38.1</v>
      </c>
      <c r="N309">
        <v>0</v>
      </c>
      <c r="O309">
        <v>0.37</v>
      </c>
    </row>
    <row r="310" spans="1:15">
      <c r="A310" t="str">
        <f>"000831"</f>
        <v>000831</v>
      </c>
      <c r="B310" t="s">
        <v>337</v>
      </c>
      <c r="C310">
        <v>4.76</v>
      </c>
      <c r="D310">
        <v>61.9</v>
      </c>
      <c r="E310" t="s">
        <v>16</v>
      </c>
      <c r="F310" t="s">
        <v>16</v>
      </c>
      <c r="H310">
        <v>-0.09</v>
      </c>
      <c r="I310">
        <v>15.4</v>
      </c>
      <c r="J310">
        <v>-2.37</v>
      </c>
      <c r="L310">
        <v>-0.83</v>
      </c>
      <c r="M310">
        <v>990.34</v>
      </c>
      <c r="N310">
        <v>0.03</v>
      </c>
      <c r="O310">
        <v>0.35</v>
      </c>
    </row>
    <row r="311" spans="1:15">
      <c r="A311" t="str">
        <f>"000833"</f>
        <v>000833</v>
      </c>
      <c r="B311" t="s">
        <v>338</v>
      </c>
      <c r="C311">
        <v>-0.86</v>
      </c>
      <c r="D311">
        <v>21.94</v>
      </c>
      <c r="E311" t="s">
        <v>16</v>
      </c>
      <c r="F311" t="s">
        <v>16</v>
      </c>
      <c r="H311">
        <v>0</v>
      </c>
      <c r="I311">
        <v>-1.7</v>
      </c>
      <c r="J311">
        <v>-2.66</v>
      </c>
      <c r="L311">
        <v>-0.77</v>
      </c>
      <c r="M311">
        <v>352.68</v>
      </c>
      <c r="N311">
        <v>0.04</v>
      </c>
      <c r="O311">
        <v>0.7</v>
      </c>
    </row>
    <row r="312" spans="1:15">
      <c r="A312" t="str">
        <f>"000837"</f>
        <v>000837</v>
      </c>
      <c r="B312" t="s">
        <v>339</v>
      </c>
      <c r="C312">
        <v>1.41</v>
      </c>
      <c r="D312">
        <v>12.2</v>
      </c>
      <c r="E312" t="s">
        <v>16</v>
      </c>
      <c r="F312" t="s">
        <v>16</v>
      </c>
      <c r="H312">
        <v>-0.24</v>
      </c>
      <c r="I312">
        <v>6.36</v>
      </c>
      <c r="J312">
        <v>-2.4</v>
      </c>
      <c r="L312">
        <v>-1</v>
      </c>
      <c r="M312">
        <v>91.83</v>
      </c>
      <c r="N312">
        <v>0.01</v>
      </c>
      <c r="O312">
        <v>0.91</v>
      </c>
    </row>
    <row r="313" spans="1:15">
      <c r="A313" t="str">
        <f>"000838"</f>
        <v>000838</v>
      </c>
      <c r="B313" t="s">
        <v>340</v>
      </c>
      <c r="C313">
        <v>-5</v>
      </c>
      <c r="D313">
        <v>1.52</v>
      </c>
      <c r="E313">
        <v>781.72</v>
      </c>
      <c r="F313" t="s">
        <v>16</v>
      </c>
      <c r="H313">
        <v>0</v>
      </c>
      <c r="I313">
        <v>-12.14</v>
      </c>
      <c r="J313">
        <v>-3.8</v>
      </c>
      <c r="L313">
        <v>-2.5</v>
      </c>
      <c r="M313">
        <v>107.48</v>
      </c>
      <c r="N313">
        <v>0.1</v>
      </c>
      <c r="O313">
        <v>7.78</v>
      </c>
    </row>
    <row r="314" spans="1:15">
      <c r="A314" t="str">
        <f>"000839"</f>
        <v>000839</v>
      </c>
      <c r="B314" t="s">
        <v>341</v>
      </c>
      <c r="C314">
        <v>10.04</v>
      </c>
      <c r="D314">
        <v>2.85</v>
      </c>
      <c r="E314">
        <v>3460.44</v>
      </c>
      <c r="F314">
        <v>1</v>
      </c>
      <c r="H314">
        <v>0</v>
      </c>
      <c r="I314">
        <v>-2.73</v>
      </c>
      <c r="J314">
        <v>0</v>
      </c>
      <c r="K314" t="s">
        <v>140</v>
      </c>
      <c r="L314">
        <v>-0.39</v>
      </c>
      <c r="M314">
        <v>34.83</v>
      </c>
      <c r="N314">
        <v>0.01</v>
      </c>
      <c r="O314">
        <v>1.04</v>
      </c>
    </row>
    <row r="315" spans="1:15">
      <c r="A315" t="str">
        <f>"000848"</f>
        <v>000848</v>
      </c>
      <c r="B315" t="s">
        <v>342</v>
      </c>
      <c r="C315">
        <v>0.26</v>
      </c>
      <c r="D315">
        <v>7.68</v>
      </c>
      <c r="E315" t="s">
        <v>16</v>
      </c>
      <c r="F315" t="s">
        <v>16</v>
      </c>
      <c r="H315">
        <v>0.39</v>
      </c>
      <c r="I315">
        <v>-2.91</v>
      </c>
      <c r="J315">
        <v>-0.26</v>
      </c>
      <c r="L315">
        <v>-0.39</v>
      </c>
      <c r="M315">
        <v>35.78</v>
      </c>
      <c r="N315">
        <v>0.01</v>
      </c>
      <c r="O315">
        <v>1.31</v>
      </c>
    </row>
    <row r="316" spans="1:15">
      <c r="A316" t="str">
        <f>"000850"</f>
        <v>000850</v>
      </c>
      <c r="B316" t="s">
        <v>343</v>
      </c>
      <c r="C316">
        <v>-1.6</v>
      </c>
      <c r="D316">
        <v>3.68</v>
      </c>
      <c r="E316" t="s">
        <v>16</v>
      </c>
      <c r="F316" t="s">
        <v>16</v>
      </c>
      <c r="H316">
        <v>0</v>
      </c>
      <c r="I316">
        <v>-6.36</v>
      </c>
      <c r="J316">
        <v>-1.6</v>
      </c>
      <c r="L316">
        <v>0</v>
      </c>
      <c r="M316">
        <v>16.49</v>
      </c>
      <c r="N316">
        <v>0.01</v>
      </c>
      <c r="O316">
        <v>1.17</v>
      </c>
    </row>
    <row r="317" spans="1:15">
      <c r="A317" t="str">
        <f>"000852"</f>
        <v>000852</v>
      </c>
      <c r="B317" t="s">
        <v>344</v>
      </c>
      <c r="C317">
        <v>-0.89</v>
      </c>
      <c r="D317">
        <v>5.55</v>
      </c>
      <c r="E317" t="s">
        <v>16</v>
      </c>
      <c r="F317" t="s">
        <v>16</v>
      </c>
      <c r="H317">
        <v>0</v>
      </c>
      <c r="I317">
        <v>-2.97</v>
      </c>
      <c r="J317">
        <v>-1.6</v>
      </c>
      <c r="L317">
        <v>-0.18</v>
      </c>
      <c r="M317">
        <v>11.18</v>
      </c>
      <c r="N317">
        <v>0</v>
      </c>
      <c r="O317">
        <v>0.18</v>
      </c>
    </row>
    <row r="318" spans="1:15">
      <c r="A318" t="str">
        <f>"000856"</f>
        <v>000856</v>
      </c>
      <c r="B318" t="s">
        <v>345</v>
      </c>
      <c r="C318">
        <v>-0.89</v>
      </c>
      <c r="D318">
        <v>7.78</v>
      </c>
      <c r="E318" t="s">
        <v>16</v>
      </c>
      <c r="F318" t="s">
        <v>16</v>
      </c>
      <c r="H318">
        <v>-0.5</v>
      </c>
      <c r="I318">
        <v>-9.95</v>
      </c>
      <c r="J318">
        <v>-1.52</v>
      </c>
      <c r="L318">
        <v>-0.38</v>
      </c>
      <c r="M318">
        <v>15.41</v>
      </c>
      <c r="N318">
        <v>0.01</v>
      </c>
      <c r="O318">
        <v>1.22</v>
      </c>
    </row>
    <row r="319" spans="1:15">
      <c r="A319" t="str">
        <f>"000858"</f>
        <v>000858</v>
      </c>
      <c r="B319" t="s">
        <v>346</v>
      </c>
      <c r="C319">
        <v>-2.12</v>
      </c>
      <c r="D319">
        <v>75.85</v>
      </c>
      <c r="E319" t="s">
        <v>16</v>
      </c>
      <c r="F319" t="s">
        <v>16</v>
      </c>
      <c r="H319">
        <v>-0.53</v>
      </c>
      <c r="I319">
        <v>-6.47</v>
      </c>
      <c r="J319">
        <v>-1.95</v>
      </c>
      <c r="L319">
        <v>-0.27</v>
      </c>
      <c r="M319">
        <v>1878.68</v>
      </c>
      <c r="N319">
        <v>0.01</v>
      </c>
      <c r="O319">
        <v>2.74</v>
      </c>
    </row>
    <row r="320" spans="1:15">
      <c r="A320" t="str">
        <f>"000859"</f>
        <v>000859</v>
      </c>
      <c r="B320" t="s">
        <v>347</v>
      </c>
      <c r="C320">
        <v>-3.63</v>
      </c>
      <c r="D320">
        <v>11.41</v>
      </c>
      <c r="E320" t="s">
        <v>16</v>
      </c>
      <c r="F320" t="s">
        <v>16</v>
      </c>
      <c r="H320">
        <v>-0.25</v>
      </c>
      <c r="I320">
        <v>9.19</v>
      </c>
      <c r="J320">
        <v>-4.36</v>
      </c>
      <c r="L320">
        <v>-1.77</v>
      </c>
      <c r="M320">
        <v>1126.83</v>
      </c>
      <c r="N320">
        <v>0.15</v>
      </c>
      <c r="O320">
        <v>1.6</v>
      </c>
    </row>
    <row r="321" spans="1:15">
      <c r="A321" t="str">
        <f>"000860"</f>
        <v>000860</v>
      </c>
      <c r="B321" t="s">
        <v>348</v>
      </c>
      <c r="C321">
        <v>-0.99</v>
      </c>
      <c r="D321">
        <v>10.05</v>
      </c>
      <c r="E321" t="s">
        <v>16</v>
      </c>
      <c r="F321" t="s">
        <v>16</v>
      </c>
      <c r="H321">
        <v>-0.19</v>
      </c>
      <c r="I321">
        <v>-5.9</v>
      </c>
      <c r="J321">
        <v>-1.47</v>
      </c>
      <c r="L321">
        <v>-0.1</v>
      </c>
      <c r="M321">
        <v>38.43</v>
      </c>
      <c r="N321">
        <v>0.01</v>
      </c>
      <c r="O321">
        <v>6.77</v>
      </c>
    </row>
    <row r="322" spans="1:15">
      <c r="A322" t="str">
        <f>"000862"</f>
        <v>000862</v>
      </c>
      <c r="B322" t="s">
        <v>349</v>
      </c>
      <c r="C322">
        <v>-4.7</v>
      </c>
      <c r="D322">
        <v>5.27</v>
      </c>
      <c r="E322" t="s">
        <v>16</v>
      </c>
      <c r="F322" t="s">
        <v>16</v>
      </c>
      <c r="H322">
        <v>-0.18</v>
      </c>
      <c r="I322">
        <v>-27.21</v>
      </c>
      <c r="J322">
        <v>-4.7</v>
      </c>
      <c r="L322">
        <v>-0.36</v>
      </c>
      <c r="M322">
        <v>152.9</v>
      </c>
      <c r="N322">
        <v>0.06</v>
      </c>
      <c r="O322">
        <v>1.71</v>
      </c>
    </row>
    <row r="323" spans="1:15">
      <c r="A323" t="str">
        <f>"000863"</f>
        <v>000863</v>
      </c>
      <c r="B323" t="s">
        <v>350</v>
      </c>
      <c r="C323">
        <v>0.23</v>
      </c>
      <c r="D323">
        <v>4.43</v>
      </c>
      <c r="E323" t="s">
        <v>16</v>
      </c>
      <c r="F323" t="s">
        <v>16</v>
      </c>
      <c r="H323">
        <v>0.23</v>
      </c>
      <c r="I323">
        <v>-7.9</v>
      </c>
      <c r="J323">
        <v>-2.42</v>
      </c>
      <c r="L323">
        <v>-0.45</v>
      </c>
      <c r="M323">
        <v>52.93</v>
      </c>
      <c r="N323">
        <v>0.02</v>
      </c>
      <c r="O323">
        <v>3</v>
      </c>
    </row>
    <row r="324" spans="1:15">
      <c r="A324" t="str">
        <f>"000868"</f>
        <v>000868</v>
      </c>
      <c r="B324" t="s">
        <v>351</v>
      </c>
      <c r="C324">
        <v>-1.1</v>
      </c>
      <c r="D324">
        <v>3.59</v>
      </c>
      <c r="E324" t="s">
        <v>16</v>
      </c>
      <c r="F324" t="s">
        <v>16</v>
      </c>
      <c r="H324">
        <v>0</v>
      </c>
      <c r="I324">
        <v>-4.52</v>
      </c>
      <c r="J324">
        <v>-1.37</v>
      </c>
      <c r="L324">
        <v>0</v>
      </c>
      <c r="M324">
        <v>15.9</v>
      </c>
      <c r="N324">
        <v>0.01</v>
      </c>
      <c r="O324">
        <v>2.88</v>
      </c>
    </row>
    <row r="325" spans="1:15">
      <c r="A325" t="str">
        <f>"000869"</f>
        <v>000869</v>
      </c>
      <c r="B325" t="s">
        <v>352</v>
      </c>
      <c r="C325">
        <v>-1.47</v>
      </c>
      <c r="D325">
        <v>16.71</v>
      </c>
      <c r="E325" t="s">
        <v>16</v>
      </c>
      <c r="F325" t="s">
        <v>16</v>
      </c>
      <c r="H325">
        <v>-0.7</v>
      </c>
      <c r="I325">
        <v>-3.8</v>
      </c>
      <c r="J325">
        <v>-1.53</v>
      </c>
      <c r="L325">
        <v>0.06</v>
      </c>
      <c r="M325">
        <v>9.5</v>
      </c>
      <c r="N325">
        <v>0.01</v>
      </c>
      <c r="O325">
        <v>2.33</v>
      </c>
    </row>
    <row r="326" spans="1:15">
      <c r="A326" t="str">
        <f>"000875"</f>
        <v>000875</v>
      </c>
      <c r="B326" t="s">
        <v>353</v>
      </c>
      <c r="C326">
        <v>-6.83</v>
      </c>
      <c r="D326">
        <v>5.46</v>
      </c>
      <c r="E326" t="s">
        <v>16</v>
      </c>
      <c r="F326" t="s">
        <v>16</v>
      </c>
      <c r="H326">
        <v>-0.17</v>
      </c>
      <c r="I326">
        <v>-17.77</v>
      </c>
      <c r="J326">
        <v>-6.67</v>
      </c>
      <c r="L326">
        <v>-0.17</v>
      </c>
      <c r="M326">
        <v>102.26</v>
      </c>
      <c r="N326">
        <v>0.01</v>
      </c>
      <c r="O326">
        <v>0.85</v>
      </c>
    </row>
    <row r="327" spans="1:15">
      <c r="A327" t="str">
        <f>"000876"</f>
        <v>000876</v>
      </c>
      <c r="B327" t="s">
        <v>354</v>
      </c>
      <c r="C327">
        <v>-1.9</v>
      </c>
      <c r="D327">
        <v>6.2</v>
      </c>
      <c r="E327" t="s">
        <v>16</v>
      </c>
      <c r="F327" t="s">
        <v>16</v>
      </c>
      <c r="H327">
        <v>-0.63</v>
      </c>
      <c r="I327">
        <v>-15.3</v>
      </c>
      <c r="J327">
        <v>-1.9</v>
      </c>
      <c r="L327">
        <v>-0.47</v>
      </c>
      <c r="M327">
        <v>414.89</v>
      </c>
      <c r="N327">
        <v>0.03</v>
      </c>
      <c r="O327">
        <v>6.39</v>
      </c>
    </row>
    <row r="328" spans="1:15">
      <c r="A328" t="str">
        <f>"000877"</f>
        <v>000877</v>
      </c>
      <c r="B328" t="s">
        <v>355</v>
      </c>
      <c r="C328">
        <v>-2.48</v>
      </c>
      <c r="D328">
        <v>3.94</v>
      </c>
      <c r="E328" t="s">
        <v>16</v>
      </c>
      <c r="F328" t="s">
        <v>16</v>
      </c>
      <c r="H328">
        <v>0</v>
      </c>
      <c r="I328">
        <v>-6.19</v>
      </c>
      <c r="J328">
        <v>-2.23</v>
      </c>
      <c r="L328">
        <v>-0.25</v>
      </c>
      <c r="M328">
        <v>22.73</v>
      </c>
      <c r="N328">
        <v>0</v>
      </c>
      <c r="O328">
        <v>1.2</v>
      </c>
    </row>
    <row r="329" spans="1:15">
      <c r="A329" t="str">
        <f>"000878"</f>
        <v>000878</v>
      </c>
      <c r="B329" t="s">
        <v>356</v>
      </c>
      <c r="C329">
        <v>4.07</v>
      </c>
      <c r="D329">
        <v>18.66</v>
      </c>
      <c r="E329" t="s">
        <v>16</v>
      </c>
      <c r="F329" t="s">
        <v>16</v>
      </c>
      <c r="H329">
        <v>0</v>
      </c>
      <c r="I329">
        <v>4.25</v>
      </c>
      <c r="J329">
        <v>-4.55</v>
      </c>
      <c r="L329">
        <v>-0.5</v>
      </c>
      <c r="M329">
        <v>786.21</v>
      </c>
      <c r="N329">
        <v>0.03</v>
      </c>
      <c r="O329">
        <v>1.85</v>
      </c>
    </row>
    <row r="330" spans="1:15">
      <c r="A330" t="str">
        <f>"000880"</f>
        <v>000880</v>
      </c>
      <c r="B330" t="s">
        <v>357</v>
      </c>
      <c r="C330">
        <v>0.43</v>
      </c>
      <c r="D330">
        <v>25.71</v>
      </c>
      <c r="E330" t="s">
        <v>16</v>
      </c>
      <c r="F330" t="s">
        <v>16</v>
      </c>
      <c r="H330">
        <v>0</v>
      </c>
      <c r="I330">
        <v>-8.77</v>
      </c>
      <c r="J330">
        <v>-1.12</v>
      </c>
      <c r="L330">
        <v>-0.59</v>
      </c>
      <c r="M330">
        <v>128.01</v>
      </c>
      <c r="N330">
        <v>0.02</v>
      </c>
      <c r="O330">
        <v>0.71</v>
      </c>
    </row>
    <row r="331" spans="1:15">
      <c r="A331" t="str">
        <f>"000881"</f>
        <v>000881</v>
      </c>
      <c r="B331" t="s">
        <v>358</v>
      </c>
      <c r="C331">
        <v>-2.3</v>
      </c>
      <c r="D331">
        <v>6.79</v>
      </c>
      <c r="E331" t="s">
        <v>16</v>
      </c>
      <c r="F331" t="s">
        <v>16</v>
      </c>
      <c r="H331">
        <v>-0.28</v>
      </c>
      <c r="I331">
        <v>-13.5</v>
      </c>
      <c r="J331">
        <v>-1.59</v>
      </c>
      <c r="L331">
        <v>-0.86</v>
      </c>
      <c r="M331">
        <v>36.72</v>
      </c>
      <c r="N331">
        <v>0.01</v>
      </c>
      <c r="O331">
        <v>1.25</v>
      </c>
    </row>
    <row r="332" spans="1:15">
      <c r="A332" t="str">
        <f>"000882"</f>
        <v>000882</v>
      </c>
      <c r="B332" t="s">
        <v>359</v>
      </c>
      <c r="C332">
        <v>-3.62</v>
      </c>
      <c r="D332">
        <v>1.33</v>
      </c>
      <c r="E332" t="s">
        <v>16</v>
      </c>
      <c r="F332" t="s">
        <v>16</v>
      </c>
      <c r="H332">
        <v>0</v>
      </c>
      <c r="I332">
        <v>-8.28</v>
      </c>
      <c r="J332">
        <v>-2.92</v>
      </c>
      <c r="L332">
        <v>-0.72</v>
      </c>
      <c r="M332">
        <v>55.91</v>
      </c>
      <c r="N332">
        <v>0.02</v>
      </c>
      <c r="O332">
        <v>0.76</v>
      </c>
    </row>
    <row r="333" spans="1:15">
      <c r="A333" t="str">
        <f>"000883"</f>
        <v>000883</v>
      </c>
      <c r="B333" t="s">
        <v>360</v>
      </c>
      <c r="C333">
        <v>-6.07</v>
      </c>
      <c r="D333">
        <v>4.64</v>
      </c>
      <c r="E333" t="s">
        <v>16</v>
      </c>
      <c r="F333" t="s">
        <v>16</v>
      </c>
      <c r="H333">
        <v>0</v>
      </c>
      <c r="I333">
        <v>-10.42</v>
      </c>
      <c r="J333">
        <v>-5.88</v>
      </c>
      <c r="L333">
        <v>-0.61</v>
      </c>
      <c r="M333">
        <v>91.28</v>
      </c>
      <c r="N333">
        <v>0.01</v>
      </c>
      <c r="O333">
        <v>1.08</v>
      </c>
    </row>
    <row r="334" spans="1:15">
      <c r="A334" t="str">
        <f>"000885"</f>
        <v>000885</v>
      </c>
      <c r="B334" t="s">
        <v>361</v>
      </c>
      <c r="C334">
        <v>-0.47</v>
      </c>
      <c r="D334">
        <v>12.61</v>
      </c>
      <c r="E334" t="s">
        <v>16</v>
      </c>
      <c r="F334" t="s">
        <v>16</v>
      </c>
      <c r="H334">
        <v>-0.07</v>
      </c>
      <c r="I334">
        <v>1.45</v>
      </c>
      <c r="J334">
        <v>-0.79</v>
      </c>
      <c r="L334">
        <v>0</v>
      </c>
      <c r="M334">
        <v>22.3</v>
      </c>
      <c r="N334">
        <v>0.01</v>
      </c>
      <c r="O334">
        <v>1.54</v>
      </c>
    </row>
    <row r="335" spans="1:15">
      <c r="A335" t="str">
        <f>"000886"</f>
        <v>000886</v>
      </c>
      <c r="B335" t="s">
        <v>362</v>
      </c>
      <c r="C335">
        <v>-0.23</v>
      </c>
      <c r="D335">
        <v>4.25</v>
      </c>
      <c r="E335" t="s">
        <v>16</v>
      </c>
      <c r="F335" t="s">
        <v>16</v>
      </c>
      <c r="H335">
        <v>-0.46</v>
      </c>
      <c r="I335">
        <v>-6.39</v>
      </c>
      <c r="J335">
        <v>-1.62</v>
      </c>
      <c r="L335">
        <v>0.23</v>
      </c>
      <c r="M335">
        <v>22.76</v>
      </c>
      <c r="N335">
        <v>0.01</v>
      </c>
      <c r="O335">
        <v>4.23</v>
      </c>
    </row>
    <row r="336" spans="1:15">
      <c r="A336" t="str">
        <f>"000887"</f>
        <v>000887</v>
      </c>
      <c r="B336" t="s">
        <v>363</v>
      </c>
      <c r="C336">
        <v>-1.18</v>
      </c>
      <c r="D336">
        <v>21.84</v>
      </c>
      <c r="E336" t="s">
        <v>16</v>
      </c>
      <c r="F336" t="s">
        <v>16</v>
      </c>
      <c r="H336">
        <v>0.09</v>
      </c>
      <c r="I336">
        <v>6.28</v>
      </c>
      <c r="J336">
        <v>-1.93</v>
      </c>
      <c r="L336">
        <v>-0.41</v>
      </c>
      <c r="M336">
        <v>232.43</v>
      </c>
      <c r="N336">
        <v>0.01</v>
      </c>
      <c r="O336">
        <v>0.87</v>
      </c>
    </row>
    <row r="337" spans="1:15">
      <c r="A337" t="str">
        <f>"000888"</f>
        <v>000888</v>
      </c>
      <c r="B337" t="s">
        <v>364</v>
      </c>
      <c r="C337">
        <v>-1.15</v>
      </c>
      <c r="D337">
        <v>9.42</v>
      </c>
      <c r="E337" t="s">
        <v>16</v>
      </c>
      <c r="F337" t="s">
        <v>16</v>
      </c>
      <c r="H337">
        <v>0.11</v>
      </c>
      <c r="I337">
        <v>-5.52</v>
      </c>
      <c r="J337">
        <v>-1.05</v>
      </c>
      <c r="L337">
        <v>-0.1</v>
      </c>
      <c r="M337">
        <v>5.43</v>
      </c>
      <c r="N337">
        <v>0</v>
      </c>
      <c r="O337">
        <v>0.62</v>
      </c>
    </row>
    <row r="338" spans="1:15">
      <c r="A338" t="str">
        <f>"000889"</f>
        <v>000889</v>
      </c>
      <c r="B338" t="s">
        <v>365</v>
      </c>
      <c r="C338">
        <v>10.14</v>
      </c>
      <c r="D338">
        <v>4.02</v>
      </c>
      <c r="E338">
        <v>5568.3</v>
      </c>
      <c r="F338">
        <v>1</v>
      </c>
      <c r="H338">
        <v>0</v>
      </c>
      <c r="I338">
        <v>5.24</v>
      </c>
      <c r="J338">
        <v>0</v>
      </c>
      <c r="K338" t="s">
        <v>140</v>
      </c>
      <c r="L338">
        <v>10.14</v>
      </c>
      <c r="M338">
        <v>2478.65</v>
      </c>
      <c r="N338">
        <v>0.96</v>
      </c>
      <c r="O338">
        <v>19.12</v>
      </c>
    </row>
    <row r="339" spans="1:15">
      <c r="A339" t="str">
        <f>"000890"</f>
        <v>000890</v>
      </c>
      <c r="B339" t="s">
        <v>366</v>
      </c>
      <c r="C339">
        <v>-2.41</v>
      </c>
      <c r="D339">
        <v>8.9</v>
      </c>
      <c r="E339" t="s">
        <v>16</v>
      </c>
      <c r="F339" t="s">
        <v>16</v>
      </c>
      <c r="H339">
        <v>0.11</v>
      </c>
      <c r="I339">
        <v>-16.59</v>
      </c>
      <c r="J339">
        <v>-2.41</v>
      </c>
      <c r="L339">
        <v>0</v>
      </c>
      <c r="M339">
        <v>227.73</v>
      </c>
      <c r="N339">
        <v>0.1</v>
      </c>
      <c r="O339">
        <v>2.17</v>
      </c>
    </row>
    <row r="340" spans="1:15">
      <c r="A340" t="str">
        <f>"000892"</f>
        <v>000892</v>
      </c>
      <c r="B340" t="s">
        <v>367</v>
      </c>
      <c r="C340">
        <v>-0.83</v>
      </c>
      <c r="D340">
        <v>3.57</v>
      </c>
      <c r="E340" t="s">
        <v>16</v>
      </c>
      <c r="F340" t="s">
        <v>16</v>
      </c>
      <c r="H340">
        <v>-0.55</v>
      </c>
      <c r="I340">
        <v>-7.51</v>
      </c>
      <c r="J340">
        <v>-2.19</v>
      </c>
      <c r="L340">
        <v>-0.56</v>
      </c>
      <c r="M340">
        <v>19.58</v>
      </c>
      <c r="N340">
        <v>0.01</v>
      </c>
      <c r="O340">
        <v>0.66</v>
      </c>
    </row>
    <row r="341" spans="1:15">
      <c r="A341" t="str">
        <f>"000893"</f>
        <v>000893</v>
      </c>
      <c r="B341" t="s">
        <v>368</v>
      </c>
      <c r="C341">
        <v>-2.06</v>
      </c>
      <c r="D341">
        <v>40.91</v>
      </c>
      <c r="E341" t="s">
        <v>16</v>
      </c>
      <c r="F341" t="s">
        <v>16</v>
      </c>
      <c r="H341">
        <v>0.57</v>
      </c>
      <c r="I341">
        <v>-8.89</v>
      </c>
      <c r="J341">
        <v>-3.29</v>
      </c>
      <c r="L341">
        <v>-0.65</v>
      </c>
      <c r="M341">
        <v>212.48</v>
      </c>
      <c r="N341">
        <v>0.01</v>
      </c>
      <c r="O341">
        <v>0.2</v>
      </c>
    </row>
    <row r="342" spans="1:15">
      <c r="A342" t="str">
        <f>"000895"</f>
        <v>000895</v>
      </c>
      <c r="B342" t="s">
        <v>369</v>
      </c>
      <c r="C342">
        <v>-1.13</v>
      </c>
      <c r="D342">
        <v>22.79</v>
      </c>
      <c r="E342" t="s">
        <v>16</v>
      </c>
      <c r="F342" t="s">
        <v>16</v>
      </c>
      <c r="H342">
        <v>-0.17</v>
      </c>
      <c r="I342">
        <v>-6.33</v>
      </c>
      <c r="J342">
        <v>-1.56</v>
      </c>
      <c r="L342">
        <v>-0.09</v>
      </c>
      <c r="M342">
        <v>73.01</v>
      </c>
      <c r="N342">
        <v>0</v>
      </c>
      <c r="O342">
        <v>0.74</v>
      </c>
    </row>
    <row r="343" spans="1:15">
      <c r="A343" t="str">
        <f>"000897"</f>
        <v>000897</v>
      </c>
      <c r="B343" t="s">
        <v>370</v>
      </c>
      <c r="C343">
        <v>-1.13</v>
      </c>
      <c r="D343">
        <v>1.75</v>
      </c>
      <c r="E343" t="s">
        <v>16</v>
      </c>
      <c r="F343" t="s">
        <v>16</v>
      </c>
      <c r="H343">
        <v>0</v>
      </c>
      <c r="I343">
        <v>-7.89</v>
      </c>
      <c r="J343">
        <v>-2.23</v>
      </c>
      <c r="L343">
        <v>0</v>
      </c>
      <c r="M343">
        <v>29.4</v>
      </c>
      <c r="N343">
        <v>0.01</v>
      </c>
      <c r="O343">
        <v>1.99</v>
      </c>
    </row>
    <row r="344" spans="1:15">
      <c r="A344" t="str">
        <f>"000898"</f>
        <v>000898</v>
      </c>
      <c r="B344" t="s">
        <v>371</v>
      </c>
      <c r="C344">
        <v>0.5</v>
      </c>
      <c r="D344">
        <v>2</v>
      </c>
      <c r="E344" t="s">
        <v>16</v>
      </c>
      <c r="F344" t="s">
        <v>16</v>
      </c>
      <c r="H344">
        <v>1.01</v>
      </c>
      <c r="I344">
        <v>-0.99</v>
      </c>
      <c r="J344">
        <v>-0.99</v>
      </c>
      <c r="L344">
        <v>-0.5</v>
      </c>
      <c r="M344">
        <v>39.46</v>
      </c>
      <c r="N344">
        <v>0.01</v>
      </c>
      <c r="O344">
        <v>4.68</v>
      </c>
    </row>
    <row r="345" spans="1:15">
      <c r="A345" t="str">
        <f>"000899"</f>
        <v>000899</v>
      </c>
      <c r="B345" t="s">
        <v>372</v>
      </c>
      <c r="C345">
        <v>-8.48</v>
      </c>
      <c r="D345">
        <v>10.79</v>
      </c>
      <c r="E345" t="s">
        <v>16</v>
      </c>
      <c r="F345" t="s">
        <v>16</v>
      </c>
      <c r="H345">
        <v>0.28</v>
      </c>
      <c r="I345">
        <v>-23.26</v>
      </c>
      <c r="J345">
        <v>-8.25</v>
      </c>
      <c r="L345">
        <v>-0.34</v>
      </c>
      <c r="M345">
        <v>162.86</v>
      </c>
      <c r="N345">
        <v>0.05</v>
      </c>
      <c r="O345">
        <v>1.11</v>
      </c>
    </row>
    <row r="346" spans="1:15">
      <c r="A346" t="str">
        <f>"000900"</f>
        <v>000900</v>
      </c>
      <c r="B346" t="s">
        <v>373</v>
      </c>
      <c r="C346">
        <v>0.28</v>
      </c>
      <c r="D346">
        <v>3.62</v>
      </c>
      <c r="E346" t="s">
        <v>16</v>
      </c>
      <c r="F346" t="s">
        <v>16</v>
      </c>
      <c r="H346">
        <v>0.28</v>
      </c>
      <c r="I346">
        <v>-3.47</v>
      </c>
      <c r="J346">
        <v>-0.28</v>
      </c>
      <c r="L346">
        <v>-0.28</v>
      </c>
      <c r="M346">
        <v>6.62</v>
      </c>
      <c r="N346">
        <v>0</v>
      </c>
      <c r="O346">
        <v>1.67</v>
      </c>
    </row>
    <row r="347" spans="1:15">
      <c r="A347" t="str">
        <f>"000901"</f>
        <v>000901</v>
      </c>
      <c r="B347" t="s">
        <v>374</v>
      </c>
      <c r="C347">
        <v>0.44</v>
      </c>
      <c r="D347">
        <v>18.34</v>
      </c>
      <c r="E347" t="s">
        <v>16</v>
      </c>
      <c r="F347" t="s">
        <v>16</v>
      </c>
      <c r="H347">
        <v>0</v>
      </c>
      <c r="I347">
        <v>-0.76</v>
      </c>
      <c r="J347">
        <v>-1.82</v>
      </c>
      <c r="L347">
        <v>-0.82</v>
      </c>
      <c r="M347">
        <v>174.4</v>
      </c>
      <c r="N347">
        <v>0.02</v>
      </c>
      <c r="O347">
        <v>1.44</v>
      </c>
    </row>
    <row r="348" spans="1:15">
      <c r="A348" t="str">
        <f>"000902"</f>
        <v>000902</v>
      </c>
      <c r="B348" t="s">
        <v>375</v>
      </c>
      <c r="C348">
        <v>-2.17</v>
      </c>
      <c r="D348">
        <v>12.15</v>
      </c>
      <c r="E348" t="s">
        <v>16</v>
      </c>
      <c r="F348" t="s">
        <v>16</v>
      </c>
      <c r="H348">
        <v>0</v>
      </c>
      <c r="I348">
        <v>-2.57</v>
      </c>
      <c r="J348">
        <v>-2.64</v>
      </c>
      <c r="L348">
        <v>-0.72</v>
      </c>
      <c r="M348">
        <v>94.2</v>
      </c>
      <c r="N348">
        <v>0.01</v>
      </c>
      <c r="O348">
        <v>2.09</v>
      </c>
    </row>
    <row r="349" spans="1:15">
      <c r="A349" t="str">
        <f>"000903"</f>
        <v>000903</v>
      </c>
      <c r="B349" t="s">
        <v>376</v>
      </c>
      <c r="C349">
        <v>1.02</v>
      </c>
      <c r="D349">
        <v>1.99</v>
      </c>
      <c r="E349" t="s">
        <v>16</v>
      </c>
      <c r="F349" t="s">
        <v>16</v>
      </c>
      <c r="H349">
        <v>0.51</v>
      </c>
      <c r="I349">
        <v>9.34</v>
      </c>
      <c r="J349">
        <v>-1.97</v>
      </c>
      <c r="L349">
        <v>0</v>
      </c>
      <c r="M349">
        <v>16.29</v>
      </c>
      <c r="N349">
        <v>0.01</v>
      </c>
      <c r="O349">
        <v>0.56</v>
      </c>
    </row>
    <row r="350" spans="1:15">
      <c r="A350" t="str">
        <f>"000905"</f>
        <v>000905</v>
      </c>
      <c r="B350" t="s">
        <v>377</v>
      </c>
      <c r="C350">
        <v>-0.46</v>
      </c>
      <c r="D350">
        <v>8.57</v>
      </c>
      <c r="E350" t="s">
        <v>16</v>
      </c>
      <c r="F350" t="s">
        <v>16</v>
      </c>
      <c r="H350">
        <v>0.59</v>
      </c>
      <c r="I350">
        <v>-4.03</v>
      </c>
      <c r="J350">
        <v>-1.15</v>
      </c>
      <c r="L350">
        <v>0.46</v>
      </c>
      <c r="M350">
        <v>25.86</v>
      </c>
      <c r="N350">
        <v>0.01</v>
      </c>
      <c r="O350">
        <v>2.25</v>
      </c>
    </row>
    <row r="351" spans="1:15">
      <c r="A351" t="str">
        <f>"000906"</f>
        <v>000906</v>
      </c>
      <c r="B351" t="s">
        <v>378</v>
      </c>
      <c r="C351">
        <v>-0.37</v>
      </c>
      <c r="D351">
        <v>5.41</v>
      </c>
      <c r="E351" t="s">
        <v>16</v>
      </c>
      <c r="F351" t="s">
        <v>16</v>
      </c>
      <c r="H351">
        <v>0</v>
      </c>
      <c r="I351">
        <v>-6.4</v>
      </c>
      <c r="J351">
        <v>-0.73</v>
      </c>
      <c r="L351">
        <v>-0.37</v>
      </c>
      <c r="M351">
        <v>2.43</v>
      </c>
      <c r="N351">
        <v>0</v>
      </c>
      <c r="O351">
        <v>0.3</v>
      </c>
    </row>
    <row r="352" spans="1:15">
      <c r="A352" t="str">
        <f>"000908"</f>
        <v>000908</v>
      </c>
      <c r="B352" t="s">
        <v>379</v>
      </c>
      <c r="C352">
        <v>-2.67</v>
      </c>
      <c r="D352">
        <v>5.83</v>
      </c>
      <c r="E352" t="s">
        <v>16</v>
      </c>
      <c r="F352" t="s">
        <v>16</v>
      </c>
      <c r="H352">
        <v>-0.16</v>
      </c>
      <c r="I352">
        <v>-18.46</v>
      </c>
      <c r="J352">
        <v>-3.32</v>
      </c>
      <c r="L352">
        <v>-0.33</v>
      </c>
      <c r="M352">
        <v>42.69</v>
      </c>
      <c r="N352">
        <v>0.01</v>
      </c>
      <c r="O352">
        <v>0.58</v>
      </c>
    </row>
    <row r="353" spans="1:15">
      <c r="A353" t="str">
        <f>"000909"</f>
        <v>000909</v>
      </c>
      <c r="B353" t="s">
        <v>380</v>
      </c>
      <c r="C353">
        <v>-3.47</v>
      </c>
      <c r="D353">
        <v>3.89</v>
      </c>
      <c r="E353" t="s">
        <v>16</v>
      </c>
      <c r="F353" t="s">
        <v>16</v>
      </c>
      <c r="H353">
        <v>-0.25</v>
      </c>
      <c r="I353">
        <v>-16.88</v>
      </c>
      <c r="J353">
        <v>-3.47</v>
      </c>
      <c r="L353">
        <v>0</v>
      </c>
      <c r="M353">
        <v>0.89</v>
      </c>
      <c r="N353">
        <v>0</v>
      </c>
      <c r="O353">
        <v>0.09</v>
      </c>
    </row>
    <row r="354" spans="1:15">
      <c r="A354" t="str">
        <f>"000910"</f>
        <v>000910</v>
      </c>
      <c r="B354" t="s">
        <v>381</v>
      </c>
      <c r="C354">
        <v>-3.67</v>
      </c>
      <c r="D354">
        <v>5.51</v>
      </c>
      <c r="E354" t="s">
        <v>16</v>
      </c>
      <c r="F354" t="s">
        <v>16</v>
      </c>
      <c r="H354">
        <v>0.18</v>
      </c>
      <c r="I354">
        <v>-12.26</v>
      </c>
      <c r="J354">
        <v>-4.17</v>
      </c>
      <c r="L354">
        <v>-0.35</v>
      </c>
      <c r="M354">
        <v>11.91</v>
      </c>
      <c r="N354">
        <v>0.01</v>
      </c>
      <c r="O354">
        <v>5.36</v>
      </c>
    </row>
    <row r="355" spans="1:15">
      <c r="A355" t="str">
        <f>"000911"</f>
        <v>000911</v>
      </c>
      <c r="B355" t="s">
        <v>382</v>
      </c>
      <c r="C355">
        <v>-4.89</v>
      </c>
      <c r="D355">
        <v>4.28</v>
      </c>
      <c r="E355">
        <v>220.76</v>
      </c>
      <c r="F355" t="s">
        <v>16</v>
      </c>
      <c r="H355">
        <v>0</v>
      </c>
      <c r="I355">
        <v>-23.71</v>
      </c>
      <c r="J355">
        <v>-2.73</v>
      </c>
      <c r="L355">
        <v>-2.67</v>
      </c>
      <c r="M355">
        <v>355.61</v>
      </c>
      <c r="N355">
        <v>0.43</v>
      </c>
      <c r="O355">
        <v>3.41</v>
      </c>
    </row>
    <row r="356" spans="1:15">
      <c r="A356" t="str">
        <f>"000912"</f>
        <v>000912</v>
      </c>
      <c r="B356" t="s">
        <v>383</v>
      </c>
      <c r="C356">
        <v>-1.73</v>
      </c>
      <c r="D356">
        <v>3.41</v>
      </c>
      <c r="E356" t="s">
        <v>16</v>
      </c>
      <c r="F356" t="s">
        <v>16</v>
      </c>
      <c r="H356">
        <v>0.29</v>
      </c>
      <c r="I356">
        <v>-7.08</v>
      </c>
      <c r="J356">
        <v>-2.01</v>
      </c>
      <c r="L356">
        <v>-0.29</v>
      </c>
      <c r="M356">
        <v>25.4</v>
      </c>
      <c r="N356">
        <v>0.01</v>
      </c>
      <c r="O356">
        <v>0.36</v>
      </c>
    </row>
    <row r="357" spans="1:15">
      <c r="A357" t="str">
        <f>"000913"</f>
        <v>000913</v>
      </c>
      <c r="B357" t="s">
        <v>384</v>
      </c>
      <c r="C357">
        <v>-4.45</v>
      </c>
      <c r="D357">
        <v>11.6</v>
      </c>
      <c r="E357" t="s">
        <v>16</v>
      </c>
      <c r="F357" t="s">
        <v>16</v>
      </c>
      <c r="H357">
        <v>0.17</v>
      </c>
      <c r="I357">
        <v>3.11</v>
      </c>
      <c r="J357">
        <v>-4.29</v>
      </c>
      <c r="L357">
        <v>-0.82</v>
      </c>
      <c r="M357">
        <v>21.79</v>
      </c>
      <c r="N357">
        <v>0.01</v>
      </c>
      <c r="O357">
        <v>0.54</v>
      </c>
    </row>
    <row r="358" spans="1:15">
      <c r="A358" t="str">
        <f>"000915"</f>
        <v>000915</v>
      </c>
      <c r="B358" t="s">
        <v>385</v>
      </c>
      <c r="C358">
        <v>-0.66</v>
      </c>
      <c r="D358">
        <v>27.06</v>
      </c>
      <c r="E358" t="s">
        <v>16</v>
      </c>
      <c r="F358" t="s">
        <v>16</v>
      </c>
      <c r="H358">
        <v>0</v>
      </c>
      <c r="I358">
        <v>0.15</v>
      </c>
      <c r="J358">
        <v>-1.06</v>
      </c>
      <c r="L358">
        <v>-0.15</v>
      </c>
      <c r="M358">
        <v>17.14</v>
      </c>
      <c r="N358">
        <v>0</v>
      </c>
      <c r="O358">
        <v>0.95</v>
      </c>
    </row>
    <row r="359" spans="1:15">
      <c r="A359" t="str">
        <f>"000917"</f>
        <v>000917</v>
      </c>
      <c r="B359" t="s">
        <v>386</v>
      </c>
      <c r="C359">
        <v>2.32</v>
      </c>
      <c r="D359">
        <v>7.06</v>
      </c>
      <c r="E359" t="s">
        <v>16</v>
      </c>
      <c r="F359" t="s">
        <v>16</v>
      </c>
      <c r="H359">
        <v>0.14</v>
      </c>
      <c r="I359">
        <v>-6.12</v>
      </c>
      <c r="J359">
        <v>-4.47</v>
      </c>
      <c r="L359">
        <v>3.62</v>
      </c>
      <c r="M359">
        <v>726.23</v>
      </c>
      <c r="N359">
        <v>0.09</v>
      </c>
      <c r="O359">
        <v>6.45</v>
      </c>
    </row>
    <row r="360" spans="1:15">
      <c r="A360" t="str">
        <f>"000919"</f>
        <v>000919</v>
      </c>
      <c r="B360" t="s">
        <v>387</v>
      </c>
      <c r="C360">
        <v>0.49</v>
      </c>
      <c r="D360">
        <v>6.1</v>
      </c>
      <c r="E360" t="s">
        <v>16</v>
      </c>
      <c r="F360" t="s">
        <v>16</v>
      </c>
      <c r="H360">
        <v>0.33</v>
      </c>
      <c r="I360">
        <v>0.16</v>
      </c>
      <c r="J360">
        <v>-0.81</v>
      </c>
      <c r="L360">
        <v>-0.16</v>
      </c>
      <c r="M360">
        <v>10.85</v>
      </c>
      <c r="N360">
        <v>0</v>
      </c>
      <c r="O360">
        <v>0.53</v>
      </c>
    </row>
    <row r="361" spans="1:15">
      <c r="A361" t="str">
        <f>"000920"</f>
        <v>000920</v>
      </c>
      <c r="B361" t="s">
        <v>388</v>
      </c>
      <c r="C361">
        <v>-0.2</v>
      </c>
      <c r="D361">
        <v>15.01</v>
      </c>
      <c r="E361" t="s">
        <v>16</v>
      </c>
      <c r="F361" t="s">
        <v>16</v>
      </c>
      <c r="H361">
        <v>0.13</v>
      </c>
      <c r="I361">
        <v>22.43</v>
      </c>
      <c r="J361">
        <v>-1.38</v>
      </c>
      <c r="L361">
        <v>-1.8</v>
      </c>
      <c r="M361">
        <v>506.17</v>
      </c>
      <c r="N361">
        <v>0.16</v>
      </c>
      <c r="O361">
        <v>1.47</v>
      </c>
    </row>
    <row r="362" spans="1:15">
      <c r="A362" t="str">
        <f>"000921"</f>
        <v>000921</v>
      </c>
      <c r="B362" t="s">
        <v>389</v>
      </c>
      <c r="C362">
        <v>-3.37</v>
      </c>
      <c r="D362">
        <v>26.94</v>
      </c>
      <c r="E362" t="s">
        <v>16</v>
      </c>
      <c r="F362" t="s">
        <v>16</v>
      </c>
      <c r="H362">
        <v>0</v>
      </c>
      <c r="I362">
        <v>1.47</v>
      </c>
      <c r="J362">
        <v>-3.3</v>
      </c>
      <c r="L362">
        <v>-1.36</v>
      </c>
      <c r="M362">
        <v>250.53</v>
      </c>
      <c r="N362">
        <v>0.02</v>
      </c>
      <c r="O362">
        <v>1.75</v>
      </c>
    </row>
    <row r="363" spans="1:15">
      <c r="A363" t="str">
        <f>"000922"</f>
        <v>000922</v>
      </c>
      <c r="B363" t="s">
        <v>390</v>
      </c>
      <c r="C363">
        <v>-1.15</v>
      </c>
      <c r="D363">
        <v>13.8</v>
      </c>
      <c r="E363" t="s">
        <v>16</v>
      </c>
      <c r="F363" t="s">
        <v>16</v>
      </c>
      <c r="H363">
        <v>-0.21</v>
      </c>
      <c r="I363">
        <v>9.35</v>
      </c>
      <c r="J363">
        <v>-2.75</v>
      </c>
      <c r="L363">
        <v>0.29</v>
      </c>
      <c r="M363">
        <v>294</v>
      </c>
      <c r="N363">
        <v>0.05</v>
      </c>
      <c r="O363">
        <v>0.22</v>
      </c>
    </row>
    <row r="364" spans="1:15">
      <c r="A364" t="str">
        <f>"000923"</f>
        <v>000923</v>
      </c>
      <c r="B364" t="s">
        <v>391</v>
      </c>
      <c r="C364">
        <v>-0.79</v>
      </c>
      <c r="D364">
        <v>13.8</v>
      </c>
      <c r="E364" t="s">
        <v>16</v>
      </c>
      <c r="F364" t="s">
        <v>16</v>
      </c>
      <c r="H364">
        <v>-0.21</v>
      </c>
      <c r="I364">
        <v>-3.63</v>
      </c>
      <c r="J364">
        <v>-3.5</v>
      </c>
      <c r="L364">
        <v>-0.65</v>
      </c>
      <c r="M364">
        <v>35.24</v>
      </c>
      <c r="N364">
        <v>0.01</v>
      </c>
      <c r="O364">
        <v>0.55</v>
      </c>
    </row>
    <row r="365" spans="1:15">
      <c r="A365" t="str">
        <f>"000925"</f>
        <v>000925</v>
      </c>
      <c r="B365" t="s">
        <v>392</v>
      </c>
      <c r="C365">
        <v>-1.45</v>
      </c>
      <c r="D365">
        <v>8.16</v>
      </c>
      <c r="E365" t="s">
        <v>16</v>
      </c>
      <c r="F365" t="s">
        <v>16</v>
      </c>
      <c r="H365">
        <v>-0.11</v>
      </c>
      <c r="I365">
        <v>-3.66</v>
      </c>
      <c r="J365">
        <v>-2.39</v>
      </c>
      <c r="L365">
        <v>0.24</v>
      </c>
      <c r="M365">
        <v>471.77</v>
      </c>
      <c r="N365">
        <v>0.08</v>
      </c>
      <c r="O365">
        <v>2.3</v>
      </c>
    </row>
    <row r="366" spans="1:15">
      <c r="A366" t="str">
        <f>"000926"</f>
        <v>000926</v>
      </c>
      <c r="B366" t="s">
        <v>393</v>
      </c>
      <c r="C366">
        <v>-1</v>
      </c>
      <c r="D366">
        <v>1.99</v>
      </c>
      <c r="E366" t="s">
        <v>16</v>
      </c>
      <c r="F366" t="s">
        <v>16</v>
      </c>
      <c r="H366">
        <v>0</v>
      </c>
      <c r="I366">
        <v>-12.33</v>
      </c>
      <c r="J366">
        <v>-1.49</v>
      </c>
      <c r="L366">
        <v>-0.5</v>
      </c>
      <c r="M366">
        <v>29.02</v>
      </c>
      <c r="N366">
        <v>0.01</v>
      </c>
      <c r="O366">
        <v>0.53</v>
      </c>
    </row>
    <row r="367" spans="1:15">
      <c r="A367" t="str">
        <f>"000927"</f>
        <v>000927</v>
      </c>
      <c r="B367" t="s">
        <v>394</v>
      </c>
      <c r="C367">
        <v>-2.79</v>
      </c>
      <c r="D367">
        <v>2.44</v>
      </c>
      <c r="E367" t="s">
        <v>16</v>
      </c>
      <c r="F367" t="s">
        <v>16</v>
      </c>
      <c r="H367">
        <v>-0.4</v>
      </c>
      <c r="I367">
        <v>-5.43</v>
      </c>
      <c r="J367">
        <v>-2.4</v>
      </c>
      <c r="L367">
        <v>-0.8</v>
      </c>
      <c r="M367">
        <v>108.41</v>
      </c>
      <c r="N367">
        <v>0.02</v>
      </c>
      <c r="O367">
        <v>3.38</v>
      </c>
    </row>
    <row r="368" spans="1:15">
      <c r="A368" t="str">
        <f>"000928"</f>
        <v>000928</v>
      </c>
      <c r="B368" t="s">
        <v>395</v>
      </c>
      <c r="C368">
        <v>-4.79</v>
      </c>
      <c r="D368">
        <v>5.57</v>
      </c>
      <c r="E368" t="s">
        <v>16</v>
      </c>
      <c r="F368" t="s">
        <v>16</v>
      </c>
      <c r="H368">
        <v>0</v>
      </c>
      <c r="I368">
        <v>-2.96</v>
      </c>
      <c r="J368">
        <v>-4.13</v>
      </c>
      <c r="L368">
        <v>-0.68</v>
      </c>
      <c r="M368">
        <v>22.54</v>
      </c>
      <c r="N368">
        <v>0.01</v>
      </c>
      <c r="O368">
        <v>1.06</v>
      </c>
    </row>
    <row r="369" spans="1:15">
      <c r="A369" t="str">
        <f>"000929"</f>
        <v>000929</v>
      </c>
      <c r="B369" t="s">
        <v>396</v>
      </c>
      <c r="C369">
        <v>-1.71</v>
      </c>
      <c r="D369">
        <v>9.76</v>
      </c>
      <c r="E369" t="s">
        <v>16</v>
      </c>
      <c r="F369" t="s">
        <v>16</v>
      </c>
      <c r="H369">
        <v>-0.9</v>
      </c>
      <c r="I369">
        <v>1.14</v>
      </c>
      <c r="J369">
        <v>-4.03</v>
      </c>
      <c r="L369">
        <v>-0.91</v>
      </c>
      <c r="M369">
        <v>31.59</v>
      </c>
      <c r="N369">
        <v>0.02</v>
      </c>
      <c r="O369">
        <v>0.14</v>
      </c>
    </row>
    <row r="370" spans="1:15">
      <c r="A370" t="str">
        <f>"000930"</f>
        <v>000930</v>
      </c>
      <c r="B370" t="s">
        <v>397</v>
      </c>
      <c r="C370">
        <v>-1.27</v>
      </c>
      <c r="D370">
        <v>4.67</v>
      </c>
      <c r="E370" t="s">
        <v>16</v>
      </c>
      <c r="F370" t="s">
        <v>16</v>
      </c>
      <c r="H370">
        <v>0.21</v>
      </c>
      <c r="I370">
        <v>-7.16</v>
      </c>
      <c r="J370">
        <v>-1.27</v>
      </c>
      <c r="L370">
        <v>0</v>
      </c>
      <c r="M370">
        <v>17.08</v>
      </c>
      <c r="N370">
        <v>0</v>
      </c>
      <c r="O370">
        <v>1.03</v>
      </c>
    </row>
    <row r="371" spans="1:15">
      <c r="A371" t="str">
        <f>"000931"</f>
        <v>000931</v>
      </c>
      <c r="B371" t="s">
        <v>398</v>
      </c>
      <c r="C371">
        <v>5.74</v>
      </c>
      <c r="D371">
        <v>4.24</v>
      </c>
      <c r="E371" t="s">
        <v>16</v>
      </c>
      <c r="F371" t="s">
        <v>16</v>
      </c>
      <c r="H371">
        <v>-0.23</v>
      </c>
      <c r="I371">
        <v>3.16</v>
      </c>
      <c r="J371">
        <v>-2.08</v>
      </c>
      <c r="L371">
        <v>-0.25</v>
      </c>
      <c r="M371">
        <v>1.2</v>
      </c>
      <c r="N371">
        <v>0</v>
      </c>
      <c r="O371">
        <v>0.07</v>
      </c>
    </row>
    <row r="372" spans="1:15">
      <c r="A372" t="str">
        <f>"000932"</f>
        <v>000932</v>
      </c>
      <c r="B372" t="s">
        <v>399</v>
      </c>
      <c r="C372">
        <v>-1.09</v>
      </c>
      <c r="D372">
        <v>3.64</v>
      </c>
      <c r="E372" t="s">
        <v>16</v>
      </c>
      <c r="F372" t="s">
        <v>16</v>
      </c>
      <c r="H372">
        <v>0</v>
      </c>
      <c r="I372">
        <v>-7.38</v>
      </c>
      <c r="J372">
        <v>-2.41</v>
      </c>
      <c r="L372">
        <v>-0.27</v>
      </c>
      <c r="M372">
        <v>106.61</v>
      </c>
      <c r="N372">
        <v>0.01</v>
      </c>
      <c r="O372">
        <v>1.26</v>
      </c>
    </row>
    <row r="373" spans="1:15">
      <c r="A373" t="str">
        <f>"000933"</f>
        <v>000933</v>
      </c>
      <c r="B373" t="s">
        <v>400</v>
      </c>
      <c r="C373">
        <v>-3.3</v>
      </c>
      <c r="D373">
        <v>23.74</v>
      </c>
      <c r="E373" t="s">
        <v>16</v>
      </c>
      <c r="F373" t="s">
        <v>16</v>
      </c>
      <c r="H373">
        <v>0</v>
      </c>
      <c r="I373">
        <v>-17.22</v>
      </c>
      <c r="J373">
        <v>-4.2</v>
      </c>
      <c r="L373">
        <v>-1.43</v>
      </c>
      <c r="M373">
        <v>1142.72</v>
      </c>
      <c r="N373">
        <v>0.03</v>
      </c>
      <c r="O373">
        <v>1.59</v>
      </c>
    </row>
    <row r="374" spans="1:15">
      <c r="A374" t="str">
        <f>"000935"</f>
        <v>000935</v>
      </c>
      <c r="B374" t="s">
        <v>401</v>
      </c>
      <c r="C374">
        <v>-1.03</v>
      </c>
      <c r="D374">
        <v>25.98</v>
      </c>
      <c r="E374" t="s">
        <v>16</v>
      </c>
      <c r="F374" t="s">
        <v>16</v>
      </c>
      <c r="H374">
        <v>-0.11</v>
      </c>
      <c r="I374">
        <v>0.46</v>
      </c>
      <c r="J374">
        <v>-2.84</v>
      </c>
      <c r="L374">
        <v>-0.8</v>
      </c>
      <c r="M374">
        <v>14.58</v>
      </c>
      <c r="N374">
        <v>0</v>
      </c>
      <c r="O374">
        <v>0.15</v>
      </c>
    </row>
    <row r="375" spans="1:15">
      <c r="A375" t="str">
        <f>"000936"</f>
        <v>000936</v>
      </c>
      <c r="B375" t="s">
        <v>402</v>
      </c>
      <c r="C375">
        <v>-2.07</v>
      </c>
      <c r="D375">
        <v>5.67</v>
      </c>
      <c r="E375" t="s">
        <v>16</v>
      </c>
      <c r="F375" t="s">
        <v>16</v>
      </c>
      <c r="H375">
        <v>0.18</v>
      </c>
      <c r="I375">
        <v>-10</v>
      </c>
      <c r="J375">
        <v>-1.56</v>
      </c>
      <c r="L375">
        <v>-0.69</v>
      </c>
      <c r="M375">
        <v>14.2</v>
      </c>
      <c r="N375">
        <v>0</v>
      </c>
      <c r="O375">
        <v>0.28</v>
      </c>
    </row>
    <row r="376" spans="1:15">
      <c r="A376" t="str">
        <f>"000937"</f>
        <v>000937</v>
      </c>
      <c r="B376" t="s">
        <v>403</v>
      </c>
      <c r="C376">
        <v>-3.46</v>
      </c>
      <c r="D376">
        <v>4.47</v>
      </c>
      <c r="E376" t="s">
        <v>16</v>
      </c>
      <c r="F376" t="s">
        <v>16</v>
      </c>
      <c r="H376">
        <v>0.22</v>
      </c>
      <c r="I376">
        <v>-13.87</v>
      </c>
      <c r="J376">
        <v>-3.04</v>
      </c>
      <c r="L376">
        <v>-0.43</v>
      </c>
      <c r="M376">
        <v>57.99</v>
      </c>
      <c r="N376">
        <v>0.01</v>
      </c>
      <c r="O376">
        <v>0.54</v>
      </c>
    </row>
    <row r="377" spans="1:15">
      <c r="A377" t="str">
        <f>"000938"</f>
        <v>000938</v>
      </c>
      <c r="B377" t="s">
        <v>404</v>
      </c>
      <c r="C377">
        <v>0.88</v>
      </c>
      <c r="D377">
        <v>27.45</v>
      </c>
      <c r="E377" t="s">
        <v>16</v>
      </c>
      <c r="F377" t="s">
        <v>16</v>
      </c>
      <c r="H377">
        <v>-0.1</v>
      </c>
      <c r="I377">
        <v>-0.72</v>
      </c>
      <c r="J377">
        <v>-1.75</v>
      </c>
      <c r="L377">
        <v>-0.18</v>
      </c>
      <c r="M377">
        <v>1223.56</v>
      </c>
      <c r="N377">
        <v>0.02</v>
      </c>
      <c r="O377">
        <v>1.03</v>
      </c>
    </row>
    <row r="378" spans="1:15">
      <c r="A378" t="str">
        <f>"000948"</f>
        <v>000948</v>
      </c>
      <c r="B378" t="s">
        <v>405</v>
      </c>
      <c r="C378">
        <v>0.24</v>
      </c>
      <c r="D378">
        <v>12.57</v>
      </c>
      <c r="E378" t="s">
        <v>16</v>
      </c>
      <c r="F378" t="s">
        <v>16</v>
      </c>
      <c r="H378">
        <v>-0.07</v>
      </c>
      <c r="I378">
        <v>-2.18</v>
      </c>
      <c r="J378">
        <v>-1.33</v>
      </c>
      <c r="L378">
        <v>-0.72</v>
      </c>
      <c r="M378">
        <v>11.08</v>
      </c>
      <c r="N378">
        <v>0</v>
      </c>
      <c r="O378">
        <v>6.85</v>
      </c>
    </row>
    <row r="379" spans="1:15">
      <c r="A379" t="str">
        <f>"000949"</f>
        <v>000949</v>
      </c>
      <c r="B379" t="s">
        <v>406</v>
      </c>
      <c r="C379">
        <v>-5.26</v>
      </c>
      <c r="D379">
        <v>6.49</v>
      </c>
      <c r="E379" t="s">
        <v>16</v>
      </c>
      <c r="F379" t="s">
        <v>16</v>
      </c>
      <c r="H379">
        <v>0</v>
      </c>
      <c r="I379">
        <v>-1.37</v>
      </c>
      <c r="J379">
        <v>-5.81</v>
      </c>
      <c r="L379">
        <v>-0.58</v>
      </c>
      <c r="M379">
        <v>26.29</v>
      </c>
      <c r="N379">
        <v>0</v>
      </c>
      <c r="O379">
        <v>0.53</v>
      </c>
    </row>
    <row r="380" spans="1:15">
      <c r="A380" t="str">
        <f>"000950"</f>
        <v>000950</v>
      </c>
      <c r="B380" t="s">
        <v>407</v>
      </c>
      <c r="C380">
        <v>1.36</v>
      </c>
      <c r="D380">
        <v>5.23</v>
      </c>
      <c r="E380" t="s">
        <v>16</v>
      </c>
      <c r="F380" t="s">
        <v>16</v>
      </c>
      <c r="H380">
        <v>0</v>
      </c>
      <c r="I380">
        <v>-3.15</v>
      </c>
      <c r="J380">
        <v>-0.76</v>
      </c>
      <c r="L380">
        <v>0.19</v>
      </c>
      <c r="M380">
        <v>45.44</v>
      </c>
      <c r="N380">
        <v>0.01</v>
      </c>
      <c r="O380">
        <v>1.69</v>
      </c>
    </row>
    <row r="381" spans="1:15">
      <c r="A381" t="str">
        <f>"000951"</f>
        <v>000951</v>
      </c>
      <c r="B381" t="s">
        <v>408</v>
      </c>
      <c r="C381">
        <v>0.32</v>
      </c>
      <c r="D381">
        <v>22.07</v>
      </c>
      <c r="E381" t="s">
        <v>16</v>
      </c>
      <c r="F381" t="s">
        <v>16</v>
      </c>
      <c r="H381">
        <v>-0.13</v>
      </c>
      <c r="I381">
        <v>-1.82</v>
      </c>
      <c r="J381">
        <v>-1.91</v>
      </c>
      <c r="L381">
        <v>0</v>
      </c>
      <c r="M381">
        <v>77.22</v>
      </c>
      <c r="N381">
        <v>0.01</v>
      </c>
      <c r="O381">
        <v>0.79</v>
      </c>
    </row>
    <row r="382" spans="1:15">
      <c r="A382" t="str">
        <f>"000952"</f>
        <v>000952</v>
      </c>
      <c r="B382" t="s">
        <v>409</v>
      </c>
      <c r="C382">
        <v>0</v>
      </c>
      <c r="D382">
        <v>5.96</v>
      </c>
      <c r="E382" t="s">
        <v>16</v>
      </c>
      <c r="F382" t="s">
        <v>16</v>
      </c>
      <c r="H382">
        <v>0</v>
      </c>
      <c r="I382">
        <v>-7.31</v>
      </c>
      <c r="J382">
        <v>-1.32</v>
      </c>
      <c r="L382">
        <v>0</v>
      </c>
      <c r="M382">
        <v>2.74</v>
      </c>
      <c r="N382">
        <v>0</v>
      </c>
      <c r="O382">
        <v>0.34</v>
      </c>
    </row>
    <row r="383" spans="1:15">
      <c r="A383" t="str">
        <f>"000953"</f>
        <v>000953</v>
      </c>
      <c r="B383" t="s">
        <v>410</v>
      </c>
      <c r="C383">
        <v>-1.24</v>
      </c>
      <c r="D383">
        <v>5.56</v>
      </c>
      <c r="E383" t="s">
        <v>16</v>
      </c>
      <c r="F383" t="s">
        <v>16</v>
      </c>
      <c r="H383">
        <v>0</v>
      </c>
      <c r="I383">
        <v>-7.18</v>
      </c>
      <c r="J383">
        <v>-2.28</v>
      </c>
      <c r="L383">
        <v>-0.71</v>
      </c>
      <c r="M383">
        <v>20.74</v>
      </c>
      <c r="N383">
        <v>0.02</v>
      </c>
      <c r="O383">
        <v>2.59</v>
      </c>
    </row>
    <row r="384" spans="1:15">
      <c r="A384" t="str">
        <f>"000955"</f>
        <v>000955</v>
      </c>
      <c r="B384" t="s">
        <v>411</v>
      </c>
      <c r="C384">
        <v>7.34</v>
      </c>
      <c r="D384">
        <v>4.97</v>
      </c>
      <c r="E384" t="s">
        <v>16</v>
      </c>
      <c r="F384" t="s">
        <v>16</v>
      </c>
      <c r="H384">
        <v>-0.79</v>
      </c>
      <c r="I384">
        <v>20.92</v>
      </c>
      <c r="J384">
        <v>-2.17</v>
      </c>
      <c r="L384">
        <v>-1.51</v>
      </c>
      <c r="M384">
        <v>247.88</v>
      </c>
      <c r="N384">
        <v>0.13</v>
      </c>
      <c r="O384">
        <v>4.81</v>
      </c>
    </row>
    <row r="385" spans="1:15">
      <c r="A385" t="str">
        <f>"000957"</f>
        <v>000957</v>
      </c>
      <c r="B385" t="s">
        <v>412</v>
      </c>
      <c r="C385">
        <v>-0.89</v>
      </c>
      <c r="D385">
        <v>10.03</v>
      </c>
      <c r="E385" t="s">
        <v>16</v>
      </c>
      <c r="F385" t="s">
        <v>16</v>
      </c>
      <c r="H385">
        <v>0.1</v>
      </c>
      <c r="I385">
        <v>0.3</v>
      </c>
      <c r="J385">
        <v>-0.89</v>
      </c>
      <c r="L385">
        <v>-0.4</v>
      </c>
      <c r="M385">
        <v>22.08</v>
      </c>
      <c r="N385">
        <v>0.01</v>
      </c>
      <c r="O385">
        <v>0.74</v>
      </c>
    </row>
    <row r="386" spans="1:15">
      <c r="A386" t="str">
        <f>"000958"</f>
        <v>000958</v>
      </c>
      <c r="B386" t="s">
        <v>413</v>
      </c>
      <c r="C386">
        <v>-1.85</v>
      </c>
      <c r="D386">
        <v>5.82</v>
      </c>
      <c r="E386" t="s">
        <v>16</v>
      </c>
      <c r="F386" t="s">
        <v>16</v>
      </c>
      <c r="H386">
        <v>0</v>
      </c>
      <c r="I386">
        <v>-6.28</v>
      </c>
      <c r="J386">
        <v>-2.84</v>
      </c>
      <c r="L386">
        <v>-0.51</v>
      </c>
      <c r="M386">
        <v>102.96</v>
      </c>
      <c r="N386">
        <v>0.01</v>
      </c>
      <c r="O386">
        <v>0.97</v>
      </c>
    </row>
    <row r="387" spans="1:15">
      <c r="A387" t="str">
        <f>"000959"</f>
        <v>000959</v>
      </c>
      <c r="B387" t="s">
        <v>414</v>
      </c>
      <c r="C387">
        <v>-1.22</v>
      </c>
      <c r="D387">
        <v>3.24</v>
      </c>
      <c r="E387" t="s">
        <v>16</v>
      </c>
      <c r="F387" t="s">
        <v>16</v>
      </c>
      <c r="H387">
        <v>0.31</v>
      </c>
      <c r="I387">
        <v>-6.63</v>
      </c>
      <c r="J387">
        <v>-2.99</v>
      </c>
      <c r="L387">
        <v>-0.3</v>
      </c>
      <c r="M387">
        <v>61.15</v>
      </c>
      <c r="N387">
        <v>0.01</v>
      </c>
      <c r="O387">
        <v>3.3</v>
      </c>
    </row>
    <row r="388" spans="1:15">
      <c r="A388" t="str">
        <f>"000960"</f>
        <v>000960</v>
      </c>
      <c r="B388" t="s">
        <v>415</v>
      </c>
      <c r="C388">
        <v>0.75</v>
      </c>
      <c r="D388">
        <v>41.74</v>
      </c>
      <c r="E388" t="s">
        <v>16</v>
      </c>
      <c r="F388" t="s">
        <v>16</v>
      </c>
      <c r="H388">
        <v>-0.16</v>
      </c>
      <c r="I388">
        <v>-0.24</v>
      </c>
      <c r="J388">
        <v>-3.58</v>
      </c>
      <c r="K388" t="s">
        <v>57</v>
      </c>
      <c r="L388">
        <v>0.97</v>
      </c>
      <c r="M388">
        <v>3857.56</v>
      </c>
      <c r="N388">
        <v>0.1</v>
      </c>
      <c r="O388">
        <v>0.57</v>
      </c>
    </row>
    <row r="389" spans="1:15">
      <c r="A389" t="str">
        <f>"000962"</f>
        <v>000962</v>
      </c>
      <c r="B389" t="s">
        <v>416</v>
      </c>
      <c r="C389">
        <v>1.04</v>
      </c>
      <c r="D389">
        <v>63.01</v>
      </c>
      <c r="E389" t="s">
        <v>16</v>
      </c>
      <c r="F389" t="s">
        <v>16</v>
      </c>
      <c r="H389">
        <v>0.16</v>
      </c>
      <c r="I389">
        <v>6.56</v>
      </c>
      <c r="J389">
        <v>-1.47</v>
      </c>
      <c r="L389">
        <v>0.02</v>
      </c>
      <c r="M389">
        <v>948.02</v>
      </c>
      <c r="N389">
        <v>0.05</v>
      </c>
      <c r="O389">
        <v>0.58</v>
      </c>
    </row>
    <row r="390" spans="1:15">
      <c r="A390" t="str">
        <f>"000963"</f>
        <v>000963</v>
      </c>
      <c r="B390" t="s">
        <v>417</v>
      </c>
      <c r="C390">
        <v>2.31</v>
      </c>
      <c r="D390">
        <v>28.34</v>
      </c>
      <c r="E390" t="s">
        <v>16</v>
      </c>
      <c r="F390" t="s">
        <v>16</v>
      </c>
      <c r="H390">
        <v>0.14</v>
      </c>
      <c r="I390">
        <v>3.96</v>
      </c>
      <c r="J390">
        <v>-2.11</v>
      </c>
      <c r="L390">
        <v>-0.32</v>
      </c>
      <c r="M390">
        <v>30.37</v>
      </c>
      <c r="N390">
        <v>0</v>
      </c>
      <c r="O390">
        <v>0.39</v>
      </c>
    </row>
    <row r="391" spans="1:15">
      <c r="A391" t="str">
        <f>"000965"</f>
        <v>000965</v>
      </c>
      <c r="B391" t="s">
        <v>418</v>
      </c>
      <c r="C391">
        <v>-1.25</v>
      </c>
      <c r="D391">
        <v>3.17</v>
      </c>
      <c r="E391" t="s">
        <v>16</v>
      </c>
      <c r="F391" t="s">
        <v>16</v>
      </c>
      <c r="H391">
        <v>0</v>
      </c>
      <c r="I391">
        <v>-5.37</v>
      </c>
      <c r="J391">
        <v>-0.94</v>
      </c>
      <c r="L391">
        <v>-0.31</v>
      </c>
      <c r="M391">
        <v>12.26</v>
      </c>
      <c r="N391">
        <v>0.01</v>
      </c>
      <c r="O391">
        <v>0.65</v>
      </c>
    </row>
    <row r="392" spans="1:15">
      <c r="A392" t="str">
        <f>"000966"</f>
        <v>000966</v>
      </c>
      <c r="B392" t="s">
        <v>419</v>
      </c>
      <c r="C392">
        <v>-7.25</v>
      </c>
      <c r="D392">
        <v>4.48</v>
      </c>
      <c r="E392" t="s">
        <v>16</v>
      </c>
      <c r="F392" t="s">
        <v>16</v>
      </c>
      <c r="H392">
        <v>-0.21</v>
      </c>
      <c r="I392">
        <v>-15.15</v>
      </c>
      <c r="J392">
        <v>-6.86</v>
      </c>
      <c r="L392">
        <v>-0.41</v>
      </c>
      <c r="M392">
        <v>250.94</v>
      </c>
      <c r="N392">
        <v>0.04</v>
      </c>
      <c r="O392">
        <v>2.23</v>
      </c>
    </row>
    <row r="393" spans="1:15">
      <c r="A393" t="str">
        <f>"000967"</f>
        <v>000967</v>
      </c>
      <c r="B393" t="s">
        <v>420</v>
      </c>
      <c r="C393">
        <v>-0.49</v>
      </c>
      <c r="D393">
        <v>10.2</v>
      </c>
      <c r="E393" t="s">
        <v>16</v>
      </c>
      <c r="F393" t="s">
        <v>16</v>
      </c>
      <c r="H393">
        <v>-0.19</v>
      </c>
      <c r="I393">
        <v>-7.78</v>
      </c>
      <c r="J393">
        <v>-4.23</v>
      </c>
      <c r="L393">
        <v>0.88</v>
      </c>
      <c r="M393">
        <v>499.22</v>
      </c>
      <c r="N393">
        <v>0.04</v>
      </c>
      <c r="O393">
        <v>0.76</v>
      </c>
    </row>
    <row r="394" spans="1:15">
      <c r="A394" t="str">
        <f>"000968"</f>
        <v>000968</v>
      </c>
      <c r="B394" t="s">
        <v>421</v>
      </c>
      <c r="C394">
        <v>-1.34</v>
      </c>
      <c r="D394">
        <v>6.65</v>
      </c>
      <c r="E394" t="s">
        <v>16</v>
      </c>
      <c r="F394" t="s">
        <v>16</v>
      </c>
      <c r="H394">
        <v>0</v>
      </c>
      <c r="I394">
        <v>-10.26</v>
      </c>
      <c r="J394">
        <v>-1.63</v>
      </c>
      <c r="L394">
        <v>0.15</v>
      </c>
      <c r="M394">
        <v>39.96</v>
      </c>
      <c r="N394">
        <v>0.01</v>
      </c>
      <c r="O394">
        <v>0.3</v>
      </c>
    </row>
    <row r="395" spans="1:15">
      <c r="A395" t="str">
        <f>"000969"</f>
        <v>000969</v>
      </c>
      <c r="B395" t="s">
        <v>422</v>
      </c>
      <c r="C395">
        <v>2.58</v>
      </c>
      <c r="D395">
        <v>25.08</v>
      </c>
      <c r="E395" t="s">
        <v>16</v>
      </c>
      <c r="F395" t="s">
        <v>16</v>
      </c>
      <c r="H395">
        <v>0</v>
      </c>
      <c r="I395">
        <v>14.84</v>
      </c>
      <c r="J395">
        <v>-3.24</v>
      </c>
      <c r="L395">
        <v>0.04</v>
      </c>
      <c r="M395">
        <v>726.95</v>
      </c>
      <c r="N395">
        <v>0.04</v>
      </c>
      <c r="O395">
        <v>0.44</v>
      </c>
    </row>
    <row r="396" spans="1:15">
      <c r="A396" t="str">
        <f>"000970"</f>
        <v>000970</v>
      </c>
      <c r="B396" t="s">
        <v>423</v>
      </c>
      <c r="C396">
        <v>4.7</v>
      </c>
      <c r="D396">
        <v>14.94</v>
      </c>
      <c r="E396" t="s">
        <v>16</v>
      </c>
      <c r="F396" t="s">
        <v>16</v>
      </c>
      <c r="H396">
        <v>0.07</v>
      </c>
      <c r="I396">
        <v>34.23</v>
      </c>
      <c r="J396">
        <v>-1.58</v>
      </c>
      <c r="K396" t="s">
        <v>424</v>
      </c>
      <c r="L396">
        <v>-0.49</v>
      </c>
      <c r="M396">
        <v>1121.94</v>
      </c>
      <c r="N396">
        <v>0.09</v>
      </c>
      <c r="O396">
        <v>0.27</v>
      </c>
    </row>
    <row r="397" spans="1:15">
      <c r="A397" t="str">
        <f>"000972"</f>
        <v>000972</v>
      </c>
      <c r="B397" t="s">
        <v>425</v>
      </c>
      <c r="C397">
        <v>-1.43</v>
      </c>
      <c r="D397">
        <v>3.44</v>
      </c>
      <c r="E397" t="s">
        <v>16</v>
      </c>
      <c r="F397" t="s">
        <v>16</v>
      </c>
      <c r="H397">
        <v>0.29</v>
      </c>
      <c r="I397">
        <v>-2.55</v>
      </c>
      <c r="J397">
        <v>-1.43</v>
      </c>
      <c r="L397">
        <v>-0.29</v>
      </c>
      <c r="M397">
        <v>0.73</v>
      </c>
      <c r="N397">
        <v>0</v>
      </c>
      <c r="O397">
        <v>0.28</v>
      </c>
    </row>
    <row r="398" spans="1:15">
      <c r="A398" t="str">
        <f>"000973"</f>
        <v>000973</v>
      </c>
      <c r="B398" t="s">
        <v>426</v>
      </c>
      <c r="C398">
        <v>-3.28</v>
      </c>
      <c r="D398">
        <v>15.31</v>
      </c>
      <c r="E398" t="s">
        <v>16</v>
      </c>
      <c r="F398" t="s">
        <v>16</v>
      </c>
      <c r="H398">
        <v>-0.45</v>
      </c>
      <c r="I398">
        <v>8.27</v>
      </c>
      <c r="J398">
        <v>-3.35</v>
      </c>
      <c r="L398">
        <v>-1.07</v>
      </c>
      <c r="M398">
        <v>262.11</v>
      </c>
      <c r="N398">
        <v>0.02</v>
      </c>
      <c r="O398">
        <v>0.42</v>
      </c>
    </row>
    <row r="399" spans="1:15">
      <c r="A399" t="str">
        <f>"000975"</f>
        <v>000975</v>
      </c>
      <c r="B399" t="s">
        <v>427</v>
      </c>
      <c r="C399">
        <v>-3.7</v>
      </c>
      <c r="D399">
        <v>21.07</v>
      </c>
      <c r="E399" t="s">
        <v>16</v>
      </c>
      <c r="F399" t="s">
        <v>16</v>
      </c>
      <c r="H399">
        <v>-0.04</v>
      </c>
      <c r="I399">
        <v>-5.13</v>
      </c>
      <c r="J399">
        <v>-3.97</v>
      </c>
      <c r="L399">
        <v>-0.37</v>
      </c>
      <c r="M399">
        <v>977.08</v>
      </c>
      <c r="N399">
        <v>0.03</v>
      </c>
      <c r="O399">
        <v>5.25</v>
      </c>
    </row>
    <row r="400" spans="1:15">
      <c r="A400" t="str">
        <f>"000977"</f>
        <v>000977</v>
      </c>
      <c r="B400" t="s">
        <v>428</v>
      </c>
      <c r="C400">
        <v>1.8</v>
      </c>
      <c r="D400">
        <v>65.66</v>
      </c>
      <c r="E400" t="s">
        <v>16</v>
      </c>
      <c r="F400" t="s">
        <v>16</v>
      </c>
      <c r="H400">
        <v>-0.02</v>
      </c>
      <c r="I400">
        <v>3.63</v>
      </c>
      <c r="J400">
        <v>-1.78</v>
      </c>
      <c r="L400">
        <v>-0.74</v>
      </c>
      <c r="M400">
        <v>1958.37</v>
      </c>
      <c r="N400">
        <v>0.03</v>
      </c>
      <c r="O400">
        <v>1.06</v>
      </c>
    </row>
    <row r="401" spans="1:15">
      <c r="A401" t="str">
        <f>"000978"</f>
        <v>000978</v>
      </c>
      <c r="B401" t="s">
        <v>429</v>
      </c>
      <c r="C401">
        <v>-1.94</v>
      </c>
      <c r="D401">
        <v>5.55</v>
      </c>
      <c r="E401" t="s">
        <v>16</v>
      </c>
      <c r="F401" t="s">
        <v>16</v>
      </c>
      <c r="H401">
        <v>0</v>
      </c>
      <c r="I401">
        <v>-16.16</v>
      </c>
      <c r="J401">
        <v>-1.77</v>
      </c>
      <c r="L401">
        <v>-0.71</v>
      </c>
      <c r="M401">
        <v>24.67</v>
      </c>
      <c r="N401">
        <v>0.02</v>
      </c>
      <c r="O401">
        <v>1.44</v>
      </c>
    </row>
    <row r="402" spans="1:15">
      <c r="A402" t="str">
        <f>"000980"</f>
        <v>000980</v>
      </c>
      <c r="B402" t="s">
        <v>430</v>
      </c>
      <c r="C402">
        <v>-1.77</v>
      </c>
      <c r="D402">
        <v>2.22</v>
      </c>
      <c r="E402" t="s">
        <v>16</v>
      </c>
      <c r="F402" t="s">
        <v>16</v>
      </c>
      <c r="H402">
        <v>-0.44</v>
      </c>
      <c r="I402">
        <v>-14.62</v>
      </c>
      <c r="J402">
        <v>-3.06</v>
      </c>
      <c r="K402" t="s">
        <v>57</v>
      </c>
      <c r="L402">
        <v>0.88</v>
      </c>
      <c r="M402">
        <v>265.3</v>
      </c>
      <c r="N402">
        <v>0.03</v>
      </c>
      <c r="O402">
        <v>0.76</v>
      </c>
    </row>
    <row r="403" spans="1:15">
      <c r="A403" t="str">
        <f>"000981"</f>
        <v>000981</v>
      </c>
      <c r="B403" t="s">
        <v>431</v>
      </c>
      <c r="C403">
        <v>-3.28</v>
      </c>
      <c r="D403">
        <v>3.24</v>
      </c>
      <c r="E403" t="s">
        <v>16</v>
      </c>
      <c r="F403" t="s">
        <v>16</v>
      </c>
      <c r="H403">
        <v>-0.3</v>
      </c>
      <c r="I403">
        <v>-8.22</v>
      </c>
      <c r="J403">
        <v>-2.99</v>
      </c>
      <c r="L403">
        <v>-0.3</v>
      </c>
      <c r="M403">
        <v>129.49</v>
      </c>
      <c r="N403">
        <v>0.01</v>
      </c>
      <c r="O403">
        <v>0.27</v>
      </c>
    </row>
    <row r="404" spans="1:15">
      <c r="A404" t="str">
        <f>"000983"</f>
        <v>000983</v>
      </c>
      <c r="B404" t="s">
        <v>432</v>
      </c>
      <c r="C404">
        <v>-5.21</v>
      </c>
      <c r="D404">
        <v>6.37</v>
      </c>
      <c r="E404" t="s">
        <v>16</v>
      </c>
      <c r="F404" t="s">
        <v>16</v>
      </c>
      <c r="H404">
        <v>-0.3</v>
      </c>
      <c r="I404">
        <v>-18.12</v>
      </c>
      <c r="J404">
        <v>-5.21</v>
      </c>
      <c r="L404">
        <v>-0.6</v>
      </c>
      <c r="M404">
        <v>121.04</v>
      </c>
      <c r="N404">
        <v>0.01</v>
      </c>
      <c r="O404">
        <v>0.63</v>
      </c>
    </row>
    <row r="405" spans="1:15">
      <c r="A405" t="str">
        <f>"000985"</f>
        <v>000985</v>
      </c>
      <c r="B405" t="s">
        <v>433</v>
      </c>
      <c r="C405">
        <v>-2.19</v>
      </c>
      <c r="D405">
        <v>15.17</v>
      </c>
      <c r="E405" t="s">
        <v>16</v>
      </c>
      <c r="F405" t="s">
        <v>16</v>
      </c>
      <c r="H405">
        <v>-0.19</v>
      </c>
      <c r="I405">
        <v>-8.94</v>
      </c>
      <c r="J405">
        <v>-2.88</v>
      </c>
      <c r="L405">
        <v>-0.45</v>
      </c>
      <c r="M405">
        <v>10.81</v>
      </c>
      <c r="N405">
        <v>0.01</v>
      </c>
      <c r="O405">
        <v>2</v>
      </c>
    </row>
    <row r="406" spans="1:15">
      <c r="A406" t="str">
        <f>"000987"</f>
        <v>000987</v>
      </c>
      <c r="B406" t="s">
        <v>434</v>
      </c>
      <c r="C406">
        <v>-2.98</v>
      </c>
      <c r="D406">
        <v>7.48</v>
      </c>
      <c r="E406" t="s">
        <v>16</v>
      </c>
      <c r="F406" t="s">
        <v>16</v>
      </c>
      <c r="H406">
        <v>0</v>
      </c>
      <c r="I406">
        <v>-3.36</v>
      </c>
      <c r="J406">
        <v>-2.86</v>
      </c>
      <c r="L406">
        <v>-0.65</v>
      </c>
      <c r="M406">
        <v>81.5</v>
      </c>
      <c r="N406">
        <v>0.01</v>
      </c>
      <c r="O406">
        <v>1.16</v>
      </c>
    </row>
    <row r="407" spans="1:15">
      <c r="A407" t="str">
        <f>"000988"</f>
        <v>000988</v>
      </c>
      <c r="B407" t="s">
        <v>435</v>
      </c>
      <c r="C407">
        <v>4.13</v>
      </c>
      <c r="D407">
        <v>177.55</v>
      </c>
      <c r="E407" t="s">
        <v>16</v>
      </c>
      <c r="F407" t="s">
        <v>16</v>
      </c>
      <c r="H407">
        <v>-0.02</v>
      </c>
      <c r="I407">
        <v>12.3</v>
      </c>
      <c r="J407">
        <v>-2.21</v>
      </c>
      <c r="L407">
        <v>-0.82</v>
      </c>
      <c r="M407">
        <v>5817.38</v>
      </c>
      <c r="N407">
        <v>0.04</v>
      </c>
      <c r="O407">
        <v>0.7</v>
      </c>
    </row>
    <row r="408" spans="1:15">
      <c r="A408" t="str">
        <f>"000989"</f>
        <v>000989</v>
      </c>
      <c r="B408" t="s">
        <v>436</v>
      </c>
      <c r="C408">
        <v>0.51</v>
      </c>
      <c r="D408">
        <v>7.9</v>
      </c>
      <c r="E408" t="s">
        <v>16</v>
      </c>
      <c r="F408" t="s">
        <v>16</v>
      </c>
      <c r="H408">
        <v>-0.12</v>
      </c>
      <c r="I408">
        <v>0</v>
      </c>
      <c r="J408">
        <v>-1</v>
      </c>
      <c r="L408">
        <v>0.13</v>
      </c>
      <c r="M408">
        <v>9.6</v>
      </c>
      <c r="N408">
        <v>0</v>
      </c>
      <c r="O408">
        <v>0.23</v>
      </c>
    </row>
    <row r="409" spans="1:15">
      <c r="A409" t="str">
        <f>"000990"</f>
        <v>000990</v>
      </c>
      <c r="B409" t="s">
        <v>437</v>
      </c>
      <c r="C409">
        <v>-3.24</v>
      </c>
      <c r="D409">
        <v>8.65</v>
      </c>
      <c r="E409" t="s">
        <v>16</v>
      </c>
      <c r="F409" t="s">
        <v>16</v>
      </c>
      <c r="H409">
        <v>-0.22</v>
      </c>
      <c r="I409">
        <v>-5.98</v>
      </c>
      <c r="J409">
        <v>-3.67</v>
      </c>
      <c r="L409">
        <v>0.11</v>
      </c>
      <c r="M409">
        <v>54.68</v>
      </c>
      <c r="N409">
        <v>0.01</v>
      </c>
      <c r="O409">
        <v>0.62</v>
      </c>
    </row>
    <row r="410" spans="1:15">
      <c r="A410" t="str">
        <f>"000993"</f>
        <v>000993</v>
      </c>
      <c r="B410" t="s">
        <v>438</v>
      </c>
      <c r="C410">
        <v>-4.56</v>
      </c>
      <c r="D410">
        <v>10.88</v>
      </c>
      <c r="E410" t="s">
        <v>16</v>
      </c>
      <c r="F410" t="s">
        <v>16</v>
      </c>
      <c r="H410">
        <v>-0.17</v>
      </c>
      <c r="I410">
        <v>-25.48</v>
      </c>
      <c r="J410">
        <v>-3.89</v>
      </c>
      <c r="L410">
        <v>-0.79</v>
      </c>
      <c r="M410">
        <v>88.67</v>
      </c>
      <c r="N410">
        <v>0.04</v>
      </c>
      <c r="O410">
        <v>2.89</v>
      </c>
    </row>
    <row r="411" spans="1:15">
      <c r="A411" t="str">
        <f>"000995"</f>
        <v>000995</v>
      </c>
      <c r="B411" t="s">
        <v>439</v>
      </c>
      <c r="C411">
        <v>-1.75</v>
      </c>
      <c r="D411">
        <v>10.11</v>
      </c>
      <c r="E411" t="s">
        <v>16</v>
      </c>
      <c r="F411" t="s">
        <v>16</v>
      </c>
      <c r="H411">
        <v>-0.68</v>
      </c>
      <c r="I411">
        <v>-15.96</v>
      </c>
      <c r="J411">
        <v>-1.65</v>
      </c>
      <c r="L411">
        <v>-0.78</v>
      </c>
      <c r="M411">
        <v>126.71</v>
      </c>
      <c r="N411">
        <v>0.1</v>
      </c>
      <c r="O411">
        <v>0.28</v>
      </c>
    </row>
    <row r="412" spans="1:15">
      <c r="A412" t="str">
        <f>"000997"</f>
        <v>000997</v>
      </c>
      <c r="B412" t="s">
        <v>440</v>
      </c>
      <c r="C412">
        <v>0.74</v>
      </c>
      <c r="D412">
        <v>17.75</v>
      </c>
      <c r="E412" t="s">
        <v>16</v>
      </c>
      <c r="F412" t="s">
        <v>16</v>
      </c>
      <c r="H412">
        <v>-0.27</v>
      </c>
      <c r="I412">
        <v>-12.17</v>
      </c>
      <c r="J412">
        <v>-2.42</v>
      </c>
      <c r="L412">
        <v>-0.68</v>
      </c>
      <c r="M412">
        <v>66.33</v>
      </c>
      <c r="N412">
        <v>0.01</v>
      </c>
      <c r="O412">
        <v>0.88</v>
      </c>
    </row>
    <row r="413" spans="1:15">
      <c r="A413" t="str">
        <f>"000998"</f>
        <v>000998</v>
      </c>
      <c r="B413" t="s">
        <v>441</v>
      </c>
      <c r="C413">
        <v>-1.11</v>
      </c>
      <c r="D413">
        <v>8.02</v>
      </c>
      <c r="E413" t="s">
        <v>16</v>
      </c>
      <c r="F413" t="s">
        <v>16</v>
      </c>
      <c r="H413">
        <v>0</v>
      </c>
      <c r="I413">
        <v>-3.95</v>
      </c>
      <c r="J413">
        <v>-1.47</v>
      </c>
      <c r="L413">
        <v>-0.49</v>
      </c>
      <c r="M413">
        <v>44.95</v>
      </c>
      <c r="N413">
        <v>0.01</v>
      </c>
      <c r="O413">
        <v>1.62</v>
      </c>
    </row>
    <row r="414" spans="1:15">
      <c r="A414" t="str">
        <f>"000999"</f>
        <v>000999</v>
      </c>
      <c r="B414" t="s">
        <v>442</v>
      </c>
      <c r="C414">
        <v>-1.3</v>
      </c>
      <c r="D414">
        <v>23.48</v>
      </c>
      <c r="E414" t="s">
        <v>16</v>
      </c>
      <c r="F414" t="s">
        <v>16</v>
      </c>
      <c r="H414">
        <v>-0.08</v>
      </c>
      <c r="I414">
        <v>-1.88</v>
      </c>
      <c r="J414">
        <v>-1.43</v>
      </c>
      <c r="L414">
        <v>-0.29</v>
      </c>
      <c r="M414">
        <v>21.59</v>
      </c>
      <c r="N414">
        <v>0</v>
      </c>
      <c r="O414">
        <v>0.49</v>
      </c>
    </row>
    <row r="415" spans="1:15">
      <c r="A415" t="str">
        <f>"001201"</f>
        <v>001201</v>
      </c>
      <c r="B415" t="s">
        <v>443</v>
      </c>
      <c r="C415">
        <v>-2.12</v>
      </c>
      <c r="D415">
        <v>10.64</v>
      </c>
      <c r="E415" t="s">
        <v>16</v>
      </c>
      <c r="F415" t="s">
        <v>16</v>
      </c>
      <c r="H415">
        <v>0.09</v>
      </c>
      <c r="I415">
        <v>-4.83</v>
      </c>
      <c r="J415">
        <v>-2.56</v>
      </c>
      <c r="L415">
        <v>-0.46</v>
      </c>
      <c r="M415">
        <v>8.44</v>
      </c>
      <c r="N415">
        <v>0.01</v>
      </c>
      <c r="O415">
        <v>0.65</v>
      </c>
    </row>
    <row r="416" spans="1:15">
      <c r="A416" t="str">
        <f>"001202"</f>
        <v>001202</v>
      </c>
      <c r="B416" t="s">
        <v>444</v>
      </c>
      <c r="C416">
        <v>-0.42</v>
      </c>
      <c r="D416">
        <v>14.17</v>
      </c>
      <c r="E416" t="s">
        <v>16</v>
      </c>
      <c r="F416" t="s">
        <v>16</v>
      </c>
      <c r="H416">
        <v>0</v>
      </c>
      <c r="I416">
        <v>-4.9</v>
      </c>
      <c r="J416">
        <v>-1.19</v>
      </c>
      <c r="L416">
        <v>-0.63</v>
      </c>
      <c r="M416">
        <v>12.58</v>
      </c>
      <c r="N416">
        <v>0.02</v>
      </c>
      <c r="O416">
        <v>4.04</v>
      </c>
    </row>
    <row r="417" spans="1:15">
      <c r="A417" t="str">
        <f>"001203"</f>
        <v>001203</v>
      </c>
      <c r="B417" t="s">
        <v>445</v>
      </c>
      <c r="C417">
        <v>-5.53</v>
      </c>
      <c r="D417">
        <v>32.46</v>
      </c>
      <c r="E417" t="s">
        <v>16</v>
      </c>
      <c r="F417" t="s">
        <v>16</v>
      </c>
      <c r="H417">
        <v>-0.14</v>
      </c>
      <c r="I417">
        <v>-12.22</v>
      </c>
      <c r="J417">
        <v>-5.89</v>
      </c>
      <c r="L417">
        <v>-1.46</v>
      </c>
      <c r="M417">
        <v>1327.03</v>
      </c>
      <c r="N417">
        <v>0.08</v>
      </c>
      <c r="O417">
        <v>2.5</v>
      </c>
    </row>
    <row r="418" spans="1:15">
      <c r="A418" t="str">
        <f>"001205"</f>
        <v>001205</v>
      </c>
      <c r="B418" t="s">
        <v>446</v>
      </c>
      <c r="C418">
        <v>-0.35</v>
      </c>
      <c r="D418">
        <v>14.12</v>
      </c>
      <c r="E418" t="s">
        <v>16</v>
      </c>
      <c r="F418" t="s">
        <v>16</v>
      </c>
      <c r="H418">
        <v>-0.34</v>
      </c>
      <c r="I418">
        <v>0.79</v>
      </c>
      <c r="J418">
        <v>-0.98</v>
      </c>
      <c r="L418">
        <v>-0.78</v>
      </c>
      <c r="M418">
        <v>18.98</v>
      </c>
      <c r="N418">
        <v>0.01</v>
      </c>
      <c r="O418">
        <v>0.96</v>
      </c>
    </row>
    <row r="419" spans="1:15">
      <c r="A419" t="str">
        <f>"001206"</f>
        <v>001206</v>
      </c>
      <c r="B419" t="s">
        <v>447</v>
      </c>
      <c r="C419">
        <v>-3.24</v>
      </c>
      <c r="D419">
        <v>16.73</v>
      </c>
      <c r="E419" t="s">
        <v>16</v>
      </c>
      <c r="F419" t="s">
        <v>16</v>
      </c>
      <c r="H419">
        <v>0</v>
      </c>
      <c r="I419">
        <v>4.96</v>
      </c>
      <c r="J419">
        <v>-3.68</v>
      </c>
      <c r="L419">
        <v>-0.35</v>
      </c>
      <c r="M419">
        <v>31.19</v>
      </c>
      <c r="N419">
        <v>0.02</v>
      </c>
      <c r="O419">
        <v>0.46</v>
      </c>
    </row>
    <row r="420" spans="1:15">
      <c r="A420" t="str">
        <f>"001207"</f>
        <v>001207</v>
      </c>
      <c r="B420" t="s">
        <v>448</v>
      </c>
      <c r="C420">
        <v>-2.36</v>
      </c>
      <c r="D420">
        <v>16.94</v>
      </c>
      <c r="E420" t="s">
        <v>16</v>
      </c>
      <c r="F420" t="s">
        <v>16</v>
      </c>
      <c r="H420">
        <v>0.12</v>
      </c>
      <c r="I420">
        <v>-9.41</v>
      </c>
      <c r="J420">
        <v>-2.48</v>
      </c>
      <c r="L420">
        <v>0.12</v>
      </c>
      <c r="M420">
        <v>1.39</v>
      </c>
      <c r="N420">
        <v>0</v>
      </c>
      <c r="O420">
        <v>0.15</v>
      </c>
    </row>
    <row r="421" spans="1:15">
      <c r="A421" t="str">
        <f>"001208"</f>
        <v>001208</v>
      </c>
      <c r="B421" t="s">
        <v>449</v>
      </c>
      <c r="C421">
        <v>-1.47</v>
      </c>
      <c r="D421">
        <v>15.4</v>
      </c>
      <c r="E421" t="s">
        <v>16</v>
      </c>
      <c r="F421" t="s">
        <v>16</v>
      </c>
      <c r="H421">
        <v>-0.25</v>
      </c>
      <c r="I421">
        <v>-3.45</v>
      </c>
      <c r="J421">
        <v>-2.1</v>
      </c>
      <c r="L421">
        <v>-0.51</v>
      </c>
      <c r="M421">
        <v>45.87</v>
      </c>
      <c r="N421">
        <v>0.01</v>
      </c>
      <c r="O421">
        <v>0.61</v>
      </c>
    </row>
    <row r="422" spans="1:15">
      <c r="A422" t="str">
        <f>"001209"</f>
        <v>001209</v>
      </c>
      <c r="B422" t="s">
        <v>450</v>
      </c>
      <c r="C422">
        <v>-1.01</v>
      </c>
      <c r="D422">
        <v>17.67</v>
      </c>
      <c r="E422" t="s">
        <v>16</v>
      </c>
      <c r="F422" t="s">
        <v>16</v>
      </c>
      <c r="H422">
        <v>0</v>
      </c>
      <c r="I422">
        <v>-11.25</v>
      </c>
      <c r="J422">
        <v>-1.01</v>
      </c>
      <c r="L422">
        <v>-1.12</v>
      </c>
      <c r="M422">
        <v>30.71</v>
      </c>
      <c r="N422">
        <v>0.04</v>
      </c>
      <c r="O422">
        <v>4.7</v>
      </c>
    </row>
    <row r="423" spans="1:15">
      <c r="A423" t="str">
        <f>"001210"</f>
        <v>001210</v>
      </c>
      <c r="B423" t="s">
        <v>451</v>
      </c>
      <c r="C423">
        <v>-2.69</v>
      </c>
      <c r="D423">
        <v>23.55</v>
      </c>
      <c r="E423" t="s">
        <v>16</v>
      </c>
      <c r="F423" t="s">
        <v>16</v>
      </c>
      <c r="H423">
        <v>0.21</v>
      </c>
      <c r="I423">
        <v>-5.27</v>
      </c>
      <c r="J423">
        <v>-2.32</v>
      </c>
      <c r="L423">
        <v>-1.57</v>
      </c>
      <c r="M423">
        <v>92.33</v>
      </c>
      <c r="N423">
        <v>0.04</v>
      </c>
      <c r="O423">
        <v>0.63</v>
      </c>
    </row>
    <row r="424" spans="1:15">
      <c r="A424" t="str">
        <f>"001211"</f>
        <v>001211</v>
      </c>
      <c r="B424" t="s">
        <v>452</v>
      </c>
      <c r="C424">
        <v>-0.89</v>
      </c>
      <c r="D424">
        <v>32.2</v>
      </c>
      <c r="E424" t="s">
        <v>16</v>
      </c>
      <c r="F424" t="s">
        <v>16</v>
      </c>
      <c r="H424">
        <v>0.06</v>
      </c>
      <c r="I424">
        <v>-2.22</v>
      </c>
      <c r="J424">
        <v>-1.23</v>
      </c>
      <c r="L424">
        <v>-1.48</v>
      </c>
      <c r="M424">
        <v>413.5</v>
      </c>
      <c r="N424">
        <v>0.24</v>
      </c>
      <c r="O424">
        <v>5.82</v>
      </c>
    </row>
    <row r="425" spans="1:15">
      <c r="A425" t="str">
        <f>"001212"</f>
        <v>001212</v>
      </c>
      <c r="B425" t="s">
        <v>453</v>
      </c>
      <c r="C425">
        <v>6.48</v>
      </c>
      <c r="D425">
        <v>49.3</v>
      </c>
      <c r="E425" t="s">
        <v>16</v>
      </c>
      <c r="F425" t="s">
        <v>16</v>
      </c>
      <c r="H425">
        <v>-0.11</v>
      </c>
      <c r="I425">
        <v>-7.73</v>
      </c>
      <c r="J425">
        <v>-3.2</v>
      </c>
      <c r="L425">
        <v>-0.54</v>
      </c>
      <c r="M425">
        <v>45.13</v>
      </c>
      <c r="N425">
        <v>0.01</v>
      </c>
      <c r="O425">
        <v>0.45</v>
      </c>
    </row>
    <row r="426" spans="1:15">
      <c r="A426" t="str">
        <f>"001213"</f>
        <v>001213</v>
      </c>
      <c r="B426" t="s">
        <v>454</v>
      </c>
      <c r="C426">
        <v>-1.69</v>
      </c>
      <c r="D426">
        <v>3.5</v>
      </c>
      <c r="E426" t="s">
        <v>16</v>
      </c>
      <c r="F426" t="s">
        <v>16</v>
      </c>
      <c r="H426">
        <v>0</v>
      </c>
      <c r="I426">
        <v>-6.42</v>
      </c>
      <c r="J426">
        <v>-1.41</v>
      </c>
      <c r="L426">
        <v>-0.28</v>
      </c>
      <c r="M426">
        <v>7.28</v>
      </c>
      <c r="N426">
        <v>0</v>
      </c>
      <c r="O426">
        <v>0.36</v>
      </c>
    </row>
    <row r="427" spans="1:15">
      <c r="A427" t="str">
        <f>"001215"</f>
        <v>001215</v>
      </c>
      <c r="B427" t="s">
        <v>455</v>
      </c>
      <c r="C427">
        <v>4.77</v>
      </c>
      <c r="D427">
        <v>42.2</v>
      </c>
      <c r="E427" t="s">
        <v>16</v>
      </c>
      <c r="F427" t="s">
        <v>16</v>
      </c>
      <c r="H427">
        <v>0.09</v>
      </c>
      <c r="I427">
        <v>9.04</v>
      </c>
      <c r="J427">
        <v>-0.66</v>
      </c>
      <c r="L427">
        <v>0.79</v>
      </c>
      <c r="M427">
        <v>50.75</v>
      </c>
      <c r="N427">
        <v>0.02</v>
      </c>
      <c r="O427">
        <v>0.59</v>
      </c>
    </row>
    <row r="428" spans="1:15">
      <c r="A428" t="str">
        <f>"001216"</f>
        <v>001216</v>
      </c>
      <c r="B428" t="s">
        <v>456</v>
      </c>
      <c r="C428">
        <v>9.99</v>
      </c>
      <c r="D428">
        <v>17.4</v>
      </c>
      <c r="E428">
        <v>4421.34</v>
      </c>
      <c r="F428">
        <v>1</v>
      </c>
      <c r="H428">
        <v>0</v>
      </c>
      <c r="I428">
        <v>11.25</v>
      </c>
      <c r="J428">
        <v>0</v>
      </c>
      <c r="K428" t="s">
        <v>140</v>
      </c>
      <c r="L428">
        <v>9.99</v>
      </c>
      <c r="M428">
        <v>937.34</v>
      </c>
      <c r="N428">
        <v>0.72</v>
      </c>
      <c r="O428">
        <v>64.13</v>
      </c>
    </row>
    <row r="429" spans="1:15">
      <c r="A429" t="str">
        <f>"001217"</f>
        <v>001217</v>
      </c>
      <c r="B429" t="s">
        <v>457</v>
      </c>
      <c r="C429">
        <v>-0.87</v>
      </c>
      <c r="D429">
        <v>9.1</v>
      </c>
      <c r="E429" t="s">
        <v>16</v>
      </c>
      <c r="F429" t="s">
        <v>16</v>
      </c>
      <c r="H429">
        <v>-0.1</v>
      </c>
      <c r="I429">
        <v>-5.89</v>
      </c>
      <c r="J429">
        <v>-0.55</v>
      </c>
      <c r="L429">
        <v>-0.87</v>
      </c>
      <c r="M429">
        <v>2.28</v>
      </c>
      <c r="N429">
        <v>0</v>
      </c>
      <c r="O429">
        <v>0.44</v>
      </c>
    </row>
    <row r="430" spans="1:15">
      <c r="A430" t="str">
        <f>"001218"</f>
        <v>001218</v>
      </c>
      <c r="B430" t="s">
        <v>458</v>
      </c>
      <c r="C430">
        <v>-9.47</v>
      </c>
      <c r="D430">
        <v>24.66</v>
      </c>
      <c r="E430" t="s">
        <v>16</v>
      </c>
      <c r="F430" t="s">
        <v>16</v>
      </c>
      <c r="H430">
        <v>0.57</v>
      </c>
      <c r="I430">
        <v>1.69</v>
      </c>
      <c r="J430">
        <v>-6.91</v>
      </c>
      <c r="L430">
        <v>-3.01</v>
      </c>
      <c r="M430">
        <v>76.35</v>
      </c>
      <c r="N430">
        <v>0.04</v>
      </c>
      <c r="O430">
        <v>1.65</v>
      </c>
    </row>
    <row r="431" spans="1:15">
      <c r="A431" t="str">
        <f>"001219"</f>
        <v>001219</v>
      </c>
      <c r="B431" t="s">
        <v>459</v>
      </c>
      <c r="C431">
        <v>-0.48</v>
      </c>
      <c r="D431">
        <v>12.33</v>
      </c>
      <c r="E431" t="s">
        <v>16</v>
      </c>
      <c r="F431" t="s">
        <v>16</v>
      </c>
      <c r="H431">
        <v>0.16</v>
      </c>
      <c r="I431">
        <v>-8.46</v>
      </c>
      <c r="J431">
        <v>-0.96</v>
      </c>
      <c r="L431">
        <v>-0.73</v>
      </c>
      <c r="M431">
        <v>5.66</v>
      </c>
      <c r="N431">
        <v>0</v>
      </c>
      <c r="O431">
        <v>0.23</v>
      </c>
    </row>
    <row r="432" spans="1:15">
      <c r="A432" t="str">
        <f>"001220"</f>
        <v>001220</v>
      </c>
      <c r="B432" t="s">
        <v>460</v>
      </c>
      <c r="C432">
        <v>-0.23</v>
      </c>
      <c r="D432">
        <v>30.37</v>
      </c>
      <c r="E432" t="s">
        <v>16</v>
      </c>
      <c r="F432" t="s">
        <v>16</v>
      </c>
      <c r="H432">
        <v>-0.02</v>
      </c>
      <c r="I432">
        <v>-2.47</v>
      </c>
      <c r="J432">
        <v>-2.44</v>
      </c>
      <c r="L432">
        <v>0.07</v>
      </c>
      <c r="M432">
        <v>15.53</v>
      </c>
      <c r="N432">
        <v>0.02</v>
      </c>
      <c r="O432">
        <v>2.43</v>
      </c>
    </row>
    <row r="433" spans="1:15">
      <c r="A433" t="str">
        <f>"001221"</f>
        <v>001221</v>
      </c>
      <c r="B433" t="s">
        <v>461</v>
      </c>
      <c r="C433">
        <v>-0.7</v>
      </c>
      <c r="D433">
        <v>44.11</v>
      </c>
      <c r="E433" t="s">
        <v>16</v>
      </c>
      <c r="F433" t="s">
        <v>16</v>
      </c>
      <c r="H433">
        <v>-0.1</v>
      </c>
      <c r="I433">
        <v>-3.03</v>
      </c>
      <c r="J433">
        <v>-1.28</v>
      </c>
      <c r="L433">
        <v>0.02</v>
      </c>
      <c r="M433">
        <v>40.88</v>
      </c>
      <c r="N433">
        <v>0.03</v>
      </c>
      <c r="O433">
        <v>3.41</v>
      </c>
    </row>
    <row r="434" spans="1:15">
      <c r="A434" t="str">
        <f>"001222"</f>
        <v>001222</v>
      </c>
      <c r="B434" t="s">
        <v>462</v>
      </c>
      <c r="C434">
        <v>-1.4</v>
      </c>
      <c r="D434">
        <v>14.07</v>
      </c>
      <c r="E434" t="s">
        <v>16</v>
      </c>
      <c r="F434" t="s">
        <v>16</v>
      </c>
      <c r="H434">
        <v>0.43</v>
      </c>
      <c r="I434">
        <v>-5.06</v>
      </c>
      <c r="J434">
        <v>-1.68</v>
      </c>
      <c r="L434">
        <v>0.28</v>
      </c>
      <c r="M434">
        <v>4.29</v>
      </c>
      <c r="N434">
        <v>0</v>
      </c>
      <c r="O434">
        <v>0.34</v>
      </c>
    </row>
    <row r="435" spans="1:15">
      <c r="A435" t="str">
        <f>"001223"</f>
        <v>001223</v>
      </c>
      <c r="B435" t="s">
        <v>463</v>
      </c>
      <c r="C435">
        <v>-1.57</v>
      </c>
      <c r="D435">
        <v>49.05</v>
      </c>
      <c r="E435" t="s">
        <v>16</v>
      </c>
      <c r="F435" t="s">
        <v>16</v>
      </c>
      <c r="H435">
        <v>-0.01</v>
      </c>
      <c r="I435">
        <v>4.36</v>
      </c>
      <c r="J435">
        <v>-5.64</v>
      </c>
      <c r="K435" t="s">
        <v>54</v>
      </c>
      <c r="L435">
        <v>1.69</v>
      </c>
      <c r="M435">
        <v>688.71</v>
      </c>
      <c r="N435">
        <v>0.42</v>
      </c>
      <c r="O435">
        <v>11.62</v>
      </c>
    </row>
    <row r="436" spans="1:15">
      <c r="A436" t="str">
        <f>"001225"</f>
        <v>001225</v>
      </c>
      <c r="B436" t="s">
        <v>464</v>
      </c>
      <c r="C436">
        <v>-0.91</v>
      </c>
      <c r="D436">
        <v>41.31</v>
      </c>
      <c r="E436" t="s">
        <v>16</v>
      </c>
      <c r="F436" t="s">
        <v>16</v>
      </c>
      <c r="H436">
        <v>0.12</v>
      </c>
      <c r="I436">
        <v>-10.08</v>
      </c>
      <c r="J436">
        <v>-2.11</v>
      </c>
      <c r="L436">
        <v>1.22</v>
      </c>
      <c r="M436">
        <v>29.12</v>
      </c>
      <c r="N436">
        <v>0.04</v>
      </c>
      <c r="O436">
        <v>2.56</v>
      </c>
    </row>
    <row r="437" spans="1:15">
      <c r="A437" t="str">
        <f>"001226"</f>
        <v>001226</v>
      </c>
      <c r="B437" t="s">
        <v>465</v>
      </c>
      <c r="C437">
        <v>8.89</v>
      </c>
      <c r="D437">
        <v>54.14</v>
      </c>
      <c r="E437" t="s">
        <v>16</v>
      </c>
      <c r="F437" t="s">
        <v>16</v>
      </c>
      <c r="H437">
        <v>0.06</v>
      </c>
      <c r="I437">
        <v>5.78</v>
      </c>
      <c r="J437">
        <v>-1.01</v>
      </c>
      <c r="L437">
        <v>-1.35</v>
      </c>
      <c r="M437">
        <v>5.4</v>
      </c>
      <c r="N437">
        <v>0.01</v>
      </c>
      <c r="O437">
        <v>0.21</v>
      </c>
    </row>
    <row r="438" spans="1:15">
      <c r="A438" t="str">
        <f>"001227"</f>
        <v>001227</v>
      </c>
      <c r="B438" t="s">
        <v>466</v>
      </c>
      <c r="C438">
        <v>-1.88</v>
      </c>
      <c r="D438">
        <v>2.09</v>
      </c>
      <c r="E438" t="s">
        <v>16</v>
      </c>
      <c r="F438" t="s">
        <v>16</v>
      </c>
      <c r="H438">
        <v>0</v>
      </c>
      <c r="I438">
        <v>0</v>
      </c>
      <c r="J438">
        <v>-1.42</v>
      </c>
      <c r="L438">
        <v>-0.47</v>
      </c>
      <c r="M438">
        <v>69.64</v>
      </c>
      <c r="N438">
        <v>0.01</v>
      </c>
      <c r="O438">
        <v>2.27</v>
      </c>
    </row>
    <row r="439" spans="1:15">
      <c r="A439" t="str">
        <f>"001228"</f>
        <v>001228</v>
      </c>
      <c r="B439" t="s">
        <v>467</v>
      </c>
      <c r="C439">
        <v>3.28</v>
      </c>
      <c r="D439">
        <v>27.68</v>
      </c>
      <c r="E439" t="s">
        <v>16</v>
      </c>
      <c r="F439" t="s">
        <v>16</v>
      </c>
      <c r="H439">
        <v>0.11</v>
      </c>
      <c r="I439">
        <v>5.93</v>
      </c>
      <c r="J439">
        <v>-1.77</v>
      </c>
      <c r="L439">
        <v>-0.37</v>
      </c>
      <c r="M439">
        <v>0.27</v>
      </c>
      <c r="N439">
        <v>0</v>
      </c>
      <c r="O439">
        <v>0.14</v>
      </c>
    </row>
    <row r="440" spans="1:15">
      <c r="A440" t="str">
        <f>"001229"</f>
        <v>001229</v>
      </c>
      <c r="B440" t="s">
        <v>468</v>
      </c>
      <c r="C440">
        <v>0.04</v>
      </c>
      <c r="D440">
        <v>27.44</v>
      </c>
      <c r="E440" t="s">
        <v>16</v>
      </c>
      <c r="F440" t="s">
        <v>16</v>
      </c>
      <c r="H440">
        <v>-0.1</v>
      </c>
      <c r="I440">
        <v>1.11</v>
      </c>
      <c r="J440">
        <v>-2.17</v>
      </c>
      <c r="L440">
        <v>-0.98</v>
      </c>
      <c r="M440">
        <v>32.05</v>
      </c>
      <c r="N440">
        <v>0.03</v>
      </c>
      <c r="O440">
        <v>0.18</v>
      </c>
    </row>
    <row r="441" spans="1:15">
      <c r="A441" t="str">
        <f>"001230"</f>
        <v>001230</v>
      </c>
      <c r="B441" t="s">
        <v>469</v>
      </c>
      <c r="C441">
        <v>-2.5</v>
      </c>
      <c r="D441">
        <v>18.36</v>
      </c>
      <c r="E441" t="s">
        <v>16</v>
      </c>
      <c r="F441" t="s">
        <v>16</v>
      </c>
      <c r="H441">
        <v>-0.1</v>
      </c>
      <c r="I441">
        <v>1.16</v>
      </c>
      <c r="J441">
        <v>-2.86</v>
      </c>
      <c r="L441">
        <v>0.37</v>
      </c>
      <c r="M441">
        <v>4.16</v>
      </c>
      <c r="N441">
        <v>0</v>
      </c>
      <c r="O441">
        <v>0.08</v>
      </c>
    </row>
    <row r="442" spans="1:15">
      <c r="A442" t="str">
        <f>"001231"</f>
        <v>001231</v>
      </c>
      <c r="B442" t="s">
        <v>470</v>
      </c>
      <c r="C442">
        <v>-0.56</v>
      </c>
      <c r="D442">
        <v>19.55</v>
      </c>
      <c r="E442" t="s">
        <v>16</v>
      </c>
      <c r="F442" t="s">
        <v>16</v>
      </c>
      <c r="H442">
        <v>-0.04</v>
      </c>
      <c r="I442">
        <v>-6.01</v>
      </c>
      <c r="J442">
        <v>-1.56</v>
      </c>
      <c r="L442">
        <v>-1.07</v>
      </c>
      <c r="M442">
        <v>23.92</v>
      </c>
      <c r="N442">
        <v>0.04</v>
      </c>
      <c r="O442">
        <v>4.55</v>
      </c>
    </row>
    <row r="443" spans="1:15">
      <c r="A443" t="str">
        <f>"001233"</f>
        <v>001233</v>
      </c>
      <c r="B443" t="s">
        <v>471</v>
      </c>
      <c r="C443">
        <v>-1.6</v>
      </c>
      <c r="D443">
        <v>49.05</v>
      </c>
      <c r="E443" t="s">
        <v>16</v>
      </c>
      <c r="F443" t="s">
        <v>16</v>
      </c>
      <c r="H443">
        <v>-0.09</v>
      </c>
      <c r="I443">
        <v>-2.74</v>
      </c>
      <c r="J443">
        <v>-1.86</v>
      </c>
      <c r="L443">
        <v>-0.68</v>
      </c>
      <c r="M443">
        <v>51.49</v>
      </c>
      <c r="N443">
        <v>0.03</v>
      </c>
      <c r="O443">
        <v>0.99</v>
      </c>
    </row>
    <row r="444" spans="1:15">
      <c r="A444" t="str">
        <f>"001234"</f>
        <v>001234</v>
      </c>
      <c r="B444" t="s">
        <v>472</v>
      </c>
      <c r="C444">
        <v>-3.15</v>
      </c>
      <c r="D444">
        <v>22.46</v>
      </c>
      <c r="E444" t="s">
        <v>16</v>
      </c>
      <c r="F444" t="s">
        <v>16</v>
      </c>
      <c r="H444">
        <v>0.04</v>
      </c>
      <c r="I444">
        <v>-2.73</v>
      </c>
      <c r="J444">
        <v>-5.07</v>
      </c>
      <c r="L444">
        <v>-0.78</v>
      </c>
      <c r="M444">
        <v>28.07</v>
      </c>
      <c r="N444">
        <v>0.04</v>
      </c>
      <c r="O444">
        <v>0.69</v>
      </c>
    </row>
    <row r="445" spans="1:15">
      <c r="A445" t="str">
        <f>"001236"</f>
        <v>001236</v>
      </c>
      <c r="B445" t="s">
        <v>473</v>
      </c>
      <c r="C445">
        <v>-3.01</v>
      </c>
      <c r="D445">
        <v>7.4</v>
      </c>
      <c r="E445" t="s">
        <v>16</v>
      </c>
      <c r="F445" t="s">
        <v>16</v>
      </c>
      <c r="H445">
        <v>-0.12</v>
      </c>
      <c r="I445">
        <v>-4.88</v>
      </c>
      <c r="J445">
        <v>-3.14</v>
      </c>
      <c r="L445">
        <v>-0.92</v>
      </c>
      <c r="M445">
        <v>26.38</v>
      </c>
      <c r="N445">
        <v>0.01</v>
      </c>
      <c r="O445">
        <v>1.78</v>
      </c>
    </row>
    <row r="446" spans="1:15">
      <c r="A446" t="str">
        <f>"001237"</f>
        <v>001237</v>
      </c>
      <c r="B446" t="s">
        <v>474</v>
      </c>
      <c r="C446">
        <v>3.81</v>
      </c>
      <c r="D446">
        <v>66.56</v>
      </c>
      <c r="E446" t="s">
        <v>16</v>
      </c>
      <c r="F446" t="s">
        <v>16</v>
      </c>
      <c r="H446">
        <v>-0.02</v>
      </c>
      <c r="I446">
        <v>-2.07</v>
      </c>
      <c r="J446">
        <v>-0.83</v>
      </c>
      <c r="L446">
        <v>0.33</v>
      </c>
      <c r="M446">
        <v>63.69</v>
      </c>
      <c r="N446">
        <v>0.03</v>
      </c>
      <c r="O446">
        <v>0.62</v>
      </c>
    </row>
    <row r="447" spans="1:15">
      <c r="A447" t="str">
        <f>"001238"</f>
        <v>001238</v>
      </c>
      <c r="B447" t="s">
        <v>475</v>
      </c>
      <c r="C447">
        <v>1.35</v>
      </c>
      <c r="D447">
        <v>29.25</v>
      </c>
      <c r="E447" t="s">
        <v>16</v>
      </c>
      <c r="F447" t="s">
        <v>16</v>
      </c>
      <c r="H447">
        <v>0.34</v>
      </c>
      <c r="I447">
        <v>1.74</v>
      </c>
      <c r="J447">
        <v>-0.48</v>
      </c>
      <c r="L447">
        <v>-0.17</v>
      </c>
      <c r="M447">
        <v>0</v>
      </c>
      <c r="N447">
        <v>0</v>
      </c>
      <c r="O447">
        <v>0</v>
      </c>
    </row>
    <row r="448" spans="1:15">
      <c r="A448" t="str">
        <f>"001239"</f>
        <v>001239</v>
      </c>
      <c r="B448" t="s">
        <v>476</v>
      </c>
      <c r="C448">
        <v>-2.01</v>
      </c>
      <c r="D448">
        <v>15.12</v>
      </c>
      <c r="E448" t="s">
        <v>16</v>
      </c>
      <c r="F448" t="s">
        <v>16</v>
      </c>
      <c r="H448">
        <v>0.2</v>
      </c>
      <c r="I448">
        <v>16.94</v>
      </c>
      <c r="J448">
        <v>-2.7</v>
      </c>
      <c r="L448">
        <v>-0.19</v>
      </c>
      <c r="M448">
        <v>42.04</v>
      </c>
      <c r="N448">
        <v>0.03</v>
      </c>
      <c r="O448">
        <v>0.41</v>
      </c>
    </row>
    <row r="449" spans="1:15">
      <c r="A449" t="str">
        <f>"001255"</f>
        <v>001255</v>
      </c>
      <c r="B449" t="s">
        <v>477</v>
      </c>
      <c r="C449">
        <v>-0.92</v>
      </c>
      <c r="D449">
        <v>27.98</v>
      </c>
      <c r="E449" t="s">
        <v>16</v>
      </c>
      <c r="F449" t="s">
        <v>16</v>
      </c>
      <c r="H449">
        <v>0.18</v>
      </c>
      <c r="I449">
        <v>-5.73</v>
      </c>
      <c r="J449">
        <v>-1.34</v>
      </c>
      <c r="L449">
        <v>-1.17</v>
      </c>
      <c r="M449">
        <v>7.54</v>
      </c>
      <c r="N449">
        <v>0.01</v>
      </c>
      <c r="O449">
        <v>0.3</v>
      </c>
    </row>
    <row r="450" spans="1:15">
      <c r="A450" t="str">
        <f>"001256"</f>
        <v>001256</v>
      </c>
      <c r="B450" t="s">
        <v>478</v>
      </c>
      <c r="C450">
        <v>-1.41</v>
      </c>
      <c r="D450">
        <v>25.25</v>
      </c>
      <c r="E450" t="s">
        <v>16</v>
      </c>
      <c r="F450" t="s">
        <v>16</v>
      </c>
      <c r="H450">
        <v>-0.54</v>
      </c>
      <c r="I450">
        <v>11.92</v>
      </c>
      <c r="J450">
        <v>-2.4</v>
      </c>
      <c r="K450" t="s">
        <v>57</v>
      </c>
      <c r="L450">
        <v>-0.12</v>
      </c>
      <c r="M450">
        <v>114.85</v>
      </c>
      <c r="N450">
        <v>0.1</v>
      </c>
      <c r="O450">
        <v>0.58</v>
      </c>
    </row>
    <row r="451" spans="1:15">
      <c r="A451" t="str">
        <f>"001257"</f>
        <v>001257</v>
      </c>
      <c r="B451" t="s">
        <v>479</v>
      </c>
      <c r="C451">
        <v>-2.32</v>
      </c>
      <c r="D451">
        <v>31.96</v>
      </c>
      <c r="E451" t="s">
        <v>16</v>
      </c>
      <c r="F451" t="s">
        <v>16</v>
      </c>
      <c r="H451">
        <v>-0.46</v>
      </c>
      <c r="I451">
        <v>29.39</v>
      </c>
      <c r="J451">
        <v>-4.17</v>
      </c>
      <c r="K451" t="s">
        <v>42</v>
      </c>
      <c r="L451">
        <v>-2.17</v>
      </c>
      <c r="M451">
        <v>6492.36</v>
      </c>
      <c r="N451">
        <v>1.48</v>
      </c>
      <c r="O451">
        <v>0.93</v>
      </c>
    </row>
    <row r="452" spans="1:15">
      <c r="A452" t="str">
        <f>"001258"</f>
        <v>001258</v>
      </c>
      <c r="B452" t="s">
        <v>480</v>
      </c>
      <c r="C452">
        <v>-3.91</v>
      </c>
      <c r="D452">
        <v>7.38</v>
      </c>
      <c r="E452" t="s">
        <v>16</v>
      </c>
      <c r="F452" t="s">
        <v>16</v>
      </c>
      <c r="H452">
        <v>-0.13</v>
      </c>
      <c r="I452">
        <v>-32.04</v>
      </c>
      <c r="J452">
        <v>-3.28</v>
      </c>
      <c r="L452">
        <v>-0.65</v>
      </c>
      <c r="M452">
        <v>37.01</v>
      </c>
      <c r="N452">
        <v>0.01</v>
      </c>
      <c r="O452">
        <v>0.54</v>
      </c>
    </row>
    <row r="453" spans="1:15">
      <c r="A453" t="str">
        <f>"001259"</f>
        <v>001259</v>
      </c>
      <c r="B453" t="s">
        <v>481</v>
      </c>
      <c r="C453">
        <v>0.48</v>
      </c>
      <c r="D453">
        <v>69.28</v>
      </c>
      <c r="E453" t="s">
        <v>16</v>
      </c>
      <c r="F453" t="s">
        <v>16</v>
      </c>
      <c r="H453">
        <v>0.35</v>
      </c>
      <c r="I453">
        <v>-3.35</v>
      </c>
      <c r="J453">
        <v>-0.6</v>
      </c>
      <c r="L453">
        <v>-1.38</v>
      </c>
      <c r="M453">
        <v>317.56</v>
      </c>
      <c r="N453">
        <v>0.19</v>
      </c>
      <c r="O453">
        <v>0.7</v>
      </c>
    </row>
    <row r="454" spans="1:15">
      <c r="A454" t="str">
        <f>"001260"</f>
        <v>001260</v>
      </c>
      <c r="B454" t="s">
        <v>482</v>
      </c>
      <c r="C454">
        <v>0.17</v>
      </c>
      <c r="D454">
        <v>17.28</v>
      </c>
      <c r="E454" t="s">
        <v>16</v>
      </c>
      <c r="F454" t="s">
        <v>16</v>
      </c>
      <c r="H454">
        <v>-0.05</v>
      </c>
      <c r="I454">
        <v>-6.24</v>
      </c>
      <c r="J454">
        <v>-1.26</v>
      </c>
      <c r="L454">
        <v>0.12</v>
      </c>
      <c r="M454">
        <v>26.08</v>
      </c>
      <c r="N454">
        <v>0.05</v>
      </c>
      <c r="O454">
        <v>2.36</v>
      </c>
    </row>
    <row r="455" spans="1:15">
      <c r="A455" t="str">
        <f>"001266"</f>
        <v>001266</v>
      </c>
      <c r="B455" t="s">
        <v>483</v>
      </c>
      <c r="C455">
        <v>4.68</v>
      </c>
      <c r="D455">
        <v>53.2</v>
      </c>
      <c r="E455" t="s">
        <v>16</v>
      </c>
      <c r="F455" t="s">
        <v>16</v>
      </c>
      <c r="H455">
        <v>0.34</v>
      </c>
      <c r="I455">
        <v>12.71</v>
      </c>
      <c r="J455">
        <v>0</v>
      </c>
      <c r="K455" t="s">
        <v>26</v>
      </c>
      <c r="L455">
        <v>1.67</v>
      </c>
      <c r="M455">
        <v>352.39</v>
      </c>
      <c r="N455">
        <v>0.19</v>
      </c>
      <c r="O455">
        <v>0.96</v>
      </c>
    </row>
    <row r="456" spans="1:15">
      <c r="A456" t="str">
        <f>"001267"</f>
        <v>001267</v>
      </c>
      <c r="B456" t="s">
        <v>484</v>
      </c>
      <c r="C456">
        <v>5.71</v>
      </c>
      <c r="D456">
        <v>58.1</v>
      </c>
      <c r="E456" t="s">
        <v>16</v>
      </c>
      <c r="F456" t="s">
        <v>16</v>
      </c>
      <c r="H456">
        <v>0.1</v>
      </c>
      <c r="I456">
        <v>1.7</v>
      </c>
      <c r="J456">
        <v>-1.76</v>
      </c>
      <c r="L456">
        <v>-0.6</v>
      </c>
      <c r="M456">
        <v>1692.44</v>
      </c>
      <c r="N456">
        <v>0.08</v>
      </c>
      <c r="O456">
        <v>0.96</v>
      </c>
    </row>
    <row r="457" spans="1:15">
      <c r="A457" t="str">
        <f>"001268"</f>
        <v>001268</v>
      </c>
      <c r="B457" t="s">
        <v>485</v>
      </c>
      <c r="C457">
        <v>-0.81</v>
      </c>
      <c r="D457">
        <v>41.4</v>
      </c>
      <c r="E457" t="s">
        <v>16</v>
      </c>
      <c r="F457" t="s">
        <v>16</v>
      </c>
      <c r="H457">
        <v>0.12</v>
      </c>
      <c r="I457">
        <v>4.89</v>
      </c>
      <c r="J457">
        <v>-4.54</v>
      </c>
      <c r="L457">
        <v>0.02</v>
      </c>
      <c r="M457">
        <v>3.34</v>
      </c>
      <c r="N457">
        <v>0</v>
      </c>
      <c r="O457">
        <v>0.06</v>
      </c>
    </row>
    <row r="458" spans="1:15">
      <c r="A458" t="str">
        <f>"001269"</f>
        <v>001269</v>
      </c>
      <c r="B458" t="s">
        <v>486</v>
      </c>
      <c r="C458">
        <v>-9.98</v>
      </c>
      <c r="D458">
        <v>23.72</v>
      </c>
      <c r="E458">
        <v>1515.23</v>
      </c>
      <c r="F458" t="s">
        <v>16</v>
      </c>
      <c r="H458">
        <v>0</v>
      </c>
      <c r="I458">
        <v>-13.84</v>
      </c>
      <c r="J458">
        <v>-9.91</v>
      </c>
      <c r="L458">
        <v>-1.33</v>
      </c>
      <c r="M458">
        <v>98.8</v>
      </c>
      <c r="N458">
        <v>0.06</v>
      </c>
      <c r="O458">
        <v>0.69</v>
      </c>
    </row>
    <row r="459" spans="1:15">
      <c r="A459" t="str">
        <f>"001270"</f>
        <v>001270</v>
      </c>
      <c r="B459" t="s">
        <v>487</v>
      </c>
      <c r="C459">
        <v>5.09</v>
      </c>
      <c r="D459">
        <v>134.28</v>
      </c>
      <c r="E459" t="s">
        <v>16</v>
      </c>
      <c r="F459" t="s">
        <v>16</v>
      </c>
      <c r="H459">
        <v>0.18</v>
      </c>
      <c r="I459">
        <v>-1.83</v>
      </c>
      <c r="J459">
        <v>-2.45</v>
      </c>
      <c r="L459">
        <v>-1.89</v>
      </c>
      <c r="M459">
        <v>921.47</v>
      </c>
      <c r="N459">
        <v>0.07</v>
      </c>
      <c r="O459">
        <v>0.86</v>
      </c>
    </row>
    <row r="460" spans="1:15">
      <c r="A460" t="str">
        <f>"001277"</f>
        <v>001277</v>
      </c>
      <c r="B460" t="s">
        <v>488</v>
      </c>
      <c r="C460">
        <v>-1.21</v>
      </c>
      <c r="D460">
        <v>29.3</v>
      </c>
      <c r="E460" t="s">
        <v>16</v>
      </c>
      <c r="F460" t="s">
        <v>16</v>
      </c>
      <c r="H460">
        <v>0.07</v>
      </c>
      <c r="I460">
        <v>-5.36</v>
      </c>
      <c r="J460">
        <v>-1.55</v>
      </c>
      <c r="L460">
        <v>-0.88</v>
      </c>
      <c r="M460">
        <v>3.82</v>
      </c>
      <c r="N460">
        <v>0.01</v>
      </c>
      <c r="O460">
        <v>0.17</v>
      </c>
    </row>
    <row r="461" spans="1:15">
      <c r="A461" t="str">
        <f>"001278"</f>
        <v>001278</v>
      </c>
      <c r="B461" t="s">
        <v>489</v>
      </c>
      <c r="C461">
        <v>1.87</v>
      </c>
      <c r="D461">
        <v>16.91</v>
      </c>
      <c r="E461" t="s">
        <v>16</v>
      </c>
      <c r="F461" t="s">
        <v>16</v>
      </c>
      <c r="H461">
        <v>-0.28</v>
      </c>
      <c r="I461">
        <v>-6.73</v>
      </c>
      <c r="J461">
        <v>-2.03</v>
      </c>
      <c r="L461">
        <v>-0.96</v>
      </c>
      <c r="M461">
        <v>18.74</v>
      </c>
      <c r="N461">
        <v>0.02</v>
      </c>
      <c r="O461">
        <v>3.17</v>
      </c>
    </row>
    <row r="462" spans="1:15">
      <c r="A462" t="str">
        <f>"001279"</f>
        <v>001279</v>
      </c>
      <c r="B462" t="s">
        <v>490</v>
      </c>
      <c r="C462">
        <v>-3.99</v>
      </c>
      <c r="D462">
        <v>26.5</v>
      </c>
      <c r="E462" t="s">
        <v>16</v>
      </c>
      <c r="F462" t="s">
        <v>16</v>
      </c>
      <c r="H462">
        <v>0.08</v>
      </c>
      <c r="I462">
        <v>-3.14</v>
      </c>
      <c r="J462">
        <v>-3.25</v>
      </c>
      <c r="L462">
        <v>-0.76</v>
      </c>
      <c r="M462">
        <v>58.89</v>
      </c>
      <c r="N462">
        <v>0.05</v>
      </c>
      <c r="O462">
        <v>0.81</v>
      </c>
    </row>
    <row r="463" spans="1:15">
      <c r="A463" t="str">
        <f>"001280"</f>
        <v>001280</v>
      </c>
      <c r="B463" t="s">
        <v>491</v>
      </c>
      <c r="C463">
        <v>0.75</v>
      </c>
      <c r="D463">
        <v>73.65</v>
      </c>
      <c r="E463" t="s">
        <v>16</v>
      </c>
      <c r="F463" t="s">
        <v>16</v>
      </c>
      <c r="H463">
        <v>1.1</v>
      </c>
      <c r="I463">
        <v>2.61</v>
      </c>
      <c r="J463">
        <v>-1.43</v>
      </c>
      <c r="L463">
        <v>-0.82</v>
      </c>
      <c r="M463">
        <v>182.7</v>
      </c>
      <c r="N463">
        <v>0.01</v>
      </c>
      <c r="O463">
        <v>0.31</v>
      </c>
    </row>
    <row r="464" spans="1:15">
      <c r="A464" t="str">
        <f>"001282"</f>
        <v>001282</v>
      </c>
      <c r="B464" t="s">
        <v>492</v>
      </c>
      <c r="C464">
        <v>4.58</v>
      </c>
      <c r="D464">
        <v>22.15</v>
      </c>
      <c r="E464" t="s">
        <v>16</v>
      </c>
      <c r="F464" t="s">
        <v>16</v>
      </c>
      <c r="H464">
        <v>0.05</v>
      </c>
      <c r="I464">
        <v>24.51</v>
      </c>
      <c r="J464">
        <v>-1.77</v>
      </c>
      <c r="K464" t="s">
        <v>54</v>
      </c>
      <c r="L464">
        <v>1.42</v>
      </c>
      <c r="M464">
        <v>410.27</v>
      </c>
      <c r="N464">
        <v>0.3</v>
      </c>
      <c r="O464">
        <v>7.49</v>
      </c>
    </row>
    <row r="465" spans="1:15">
      <c r="A465" t="str">
        <f>"001283"</f>
        <v>001283</v>
      </c>
      <c r="B465" t="s">
        <v>493</v>
      </c>
      <c r="C465">
        <v>-0.44</v>
      </c>
      <c r="D465">
        <v>52.61</v>
      </c>
      <c r="E465" t="s">
        <v>16</v>
      </c>
      <c r="F465" t="s">
        <v>16</v>
      </c>
      <c r="H465">
        <v>0.02</v>
      </c>
      <c r="I465">
        <v>-4.1</v>
      </c>
      <c r="J465">
        <v>-1.87</v>
      </c>
      <c r="K465" t="s">
        <v>26</v>
      </c>
      <c r="L465">
        <v>0.98</v>
      </c>
      <c r="M465">
        <v>154.74</v>
      </c>
      <c r="N465">
        <v>0.03</v>
      </c>
      <c r="O465">
        <v>0.16</v>
      </c>
    </row>
    <row r="466" spans="1:15">
      <c r="A466" t="str">
        <f>"001285"</f>
        <v>001285</v>
      </c>
      <c r="B466" t="s">
        <v>494</v>
      </c>
      <c r="C466">
        <v>0.38</v>
      </c>
      <c r="D466">
        <v>44.5</v>
      </c>
      <c r="E466" t="s">
        <v>16</v>
      </c>
      <c r="F466" t="s">
        <v>16</v>
      </c>
      <c r="H466">
        <v>0.02</v>
      </c>
      <c r="I466">
        <v>-2.54</v>
      </c>
      <c r="J466">
        <v>-1.31</v>
      </c>
      <c r="L466">
        <v>0</v>
      </c>
      <c r="M466">
        <v>5.32</v>
      </c>
      <c r="N466">
        <v>0</v>
      </c>
      <c r="O466">
        <v>2.4</v>
      </c>
    </row>
    <row r="467" spans="1:15">
      <c r="A467" t="str">
        <f>"001286"</f>
        <v>001286</v>
      </c>
      <c r="B467" t="s">
        <v>495</v>
      </c>
      <c r="C467">
        <v>-8.41</v>
      </c>
      <c r="D467">
        <v>10.89</v>
      </c>
      <c r="E467" t="s">
        <v>16</v>
      </c>
      <c r="F467" t="s">
        <v>16</v>
      </c>
      <c r="H467">
        <v>0</v>
      </c>
      <c r="I467">
        <v>-13.84</v>
      </c>
      <c r="J467">
        <v>-8.49</v>
      </c>
      <c r="L467">
        <v>-0.25</v>
      </c>
      <c r="M467">
        <v>51.47</v>
      </c>
      <c r="N467">
        <v>0.01</v>
      </c>
      <c r="O467">
        <v>0.3</v>
      </c>
    </row>
    <row r="468" spans="1:15">
      <c r="A468" t="str">
        <f>"001287"</f>
        <v>001287</v>
      </c>
      <c r="B468" t="s">
        <v>496</v>
      </c>
      <c r="C468">
        <v>7.34</v>
      </c>
      <c r="D468">
        <v>29.41</v>
      </c>
      <c r="E468" t="s">
        <v>16</v>
      </c>
      <c r="F468" t="s">
        <v>16</v>
      </c>
      <c r="H468">
        <v>-0.46</v>
      </c>
      <c r="I468">
        <v>6.67</v>
      </c>
      <c r="J468">
        <v>-2.42</v>
      </c>
      <c r="L468">
        <v>1.75</v>
      </c>
      <c r="M468">
        <v>934.54</v>
      </c>
      <c r="N468">
        <v>0.1</v>
      </c>
      <c r="O468">
        <v>1.6</v>
      </c>
    </row>
    <row r="469" spans="1:15">
      <c r="A469" t="str">
        <f>"001288"</f>
        <v>001288</v>
      </c>
      <c r="B469" t="s">
        <v>497</v>
      </c>
      <c r="C469">
        <v>3.52</v>
      </c>
      <c r="D469">
        <v>27.32</v>
      </c>
      <c r="E469" t="s">
        <v>16</v>
      </c>
      <c r="F469" t="s">
        <v>16</v>
      </c>
      <c r="H469">
        <v>-0.06</v>
      </c>
      <c r="I469">
        <v>12.99</v>
      </c>
      <c r="J469">
        <v>-0.94</v>
      </c>
      <c r="L469">
        <v>0.3</v>
      </c>
      <c r="M469">
        <v>39.71</v>
      </c>
      <c r="N469">
        <v>0.01</v>
      </c>
      <c r="O469">
        <v>0.25</v>
      </c>
    </row>
    <row r="470" spans="1:15">
      <c r="A470" t="str">
        <f>"001289"</f>
        <v>001289</v>
      </c>
      <c r="B470" t="s">
        <v>498</v>
      </c>
      <c r="C470">
        <v>-4.49</v>
      </c>
      <c r="D470">
        <v>16.59</v>
      </c>
      <c r="E470" t="s">
        <v>16</v>
      </c>
      <c r="F470" t="s">
        <v>16</v>
      </c>
      <c r="H470">
        <v>0</v>
      </c>
      <c r="I470">
        <v>-14.09</v>
      </c>
      <c r="J470">
        <v>-3.99</v>
      </c>
      <c r="L470">
        <v>-1.09</v>
      </c>
      <c r="M470">
        <v>40.2</v>
      </c>
      <c r="N470">
        <v>0.02</v>
      </c>
      <c r="O470">
        <v>0.85</v>
      </c>
    </row>
    <row r="471" spans="1:15">
      <c r="A471" t="str">
        <f>"001296"</f>
        <v>001296</v>
      </c>
      <c r="B471" t="s">
        <v>499</v>
      </c>
      <c r="C471">
        <v>10.01</v>
      </c>
      <c r="D471">
        <v>20.56</v>
      </c>
      <c r="E471">
        <v>1861.91</v>
      </c>
      <c r="F471">
        <v>1</v>
      </c>
      <c r="H471">
        <v>0</v>
      </c>
      <c r="I471">
        <v>4.52</v>
      </c>
      <c r="J471">
        <v>0</v>
      </c>
      <c r="K471" t="s">
        <v>140</v>
      </c>
      <c r="L471">
        <v>-0.21</v>
      </c>
      <c r="M471">
        <v>9.88</v>
      </c>
      <c r="N471">
        <v>0.01</v>
      </c>
      <c r="O471">
        <v>0.63</v>
      </c>
    </row>
    <row r="472" spans="1:15">
      <c r="A472" t="str">
        <f>"001298"</f>
        <v>001298</v>
      </c>
      <c r="B472" t="s">
        <v>500</v>
      </c>
      <c r="C472">
        <v>1.8</v>
      </c>
      <c r="D472">
        <v>20.97</v>
      </c>
      <c r="E472" t="s">
        <v>16</v>
      </c>
      <c r="F472" t="s">
        <v>16</v>
      </c>
      <c r="H472">
        <v>0.1</v>
      </c>
      <c r="I472">
        <v>-5.16</v>
      </c>
      <c r="J472">
        <v>-0.52</v>
      </c>
      <c r="L472">
        <v>-1.07</v>
      </c>
      <c r="M472">
        <v>46.87</v>
      </c>
      <c r="N472">
        <v>0.01</v>
      </c>
      <c r="O472">
        <v>1.17</v>
      </c>
    </row>
    <row r="473" spans="1:15">
      <c r="A473" t="str">
        <f>"001299"</f>
        <v>001299</v>
      </c>
      <c r="B473" t="s">
        <v>501</v>
      </c>
      <c r="C473">
        <v>-2.96</v>
      </c>
      <c r="D473">
        <v>10.5</v>
      </c>
      <c r="E473" t="s">
        <v>16</v>
      </c>
      <c r="F473" t="s">
        <v>16</v>
      </c>
      <c r="H473">
        <v>-0.37</v>
      </c>
      <c r="I473">
        <v>-20.39</v>
      </c>
      <c r="J473">
        <v>-2.51</v>
      </c>
      <c r="L473">
        <v>-0.74</v>
      </c>
      <c r="M473">
        <v>9.88</v>
      </c>
      <c r="N473">
        <v>0.01</v>
      </c>
      <c r="O473">
        <v>0.21</v>
      </c>
    </row>
    <row r="474" spans="1:15">
      <c r="A474" t="str">
        <f>"001300"</f>
        <v>001300</v>
      </c>
      <c r="B474" t="s">
        <v>502</v>
      </c>
      <c r="C474">
        <v>-1.22</v>
      </c>
      <c r="D474">
        <v>12.91</v>
      </c>
      <c r="E474" t="s">
        <v>16</v>
      </c>
      <c r="F474" t="s">
        <v>16</v>
      </c>
      <c r="H474">
        <v>-0.3</v>
      </c>
      <c r="I474">
        <v>-19.56</v>
      </c>
      <c r="J474">
        <v>-3.37</v>
      </c>
      <c r="L474">
        <v>-0.54</v>
      </c>
      <c r="M474">
        <v>37.96</v>
      </c>
      <c r="N474">
        <v>0.04</v>
      </c>
      <c r="O474">
        <v>2.15</v>
      </c>
    </row>
    <row r="475" spans="1:15">
      <c r="A475" t="str">
        <f>"001301"</f>
        <v>001301</v>
      </c>
      <c r="B475" t="s">
        <v>503</v>
      </c>
      <c r="C475">
        <v>-4.42</v>
      </c>
      <c r="D475">
        <v>88.7</v>
      </c>
      <c r="E475" t="s">
        <v>16</v>
      </c>
      <c r="F475" t="s">
        <v>16</v>
      </c>
      <c r="H475">
        <v>-0.2</v>
      </c>
      <c r="I475">
        <v>-2.69</v>
      </c>
      <c r="J475">
        <v>-6.45</v>
      </c>
      <c r="L475">
        <v>0.1</v>
      </c>
      <c r="M475">
        <v>267.52</v>
      </c>
      <c r="N475">
        <v>0.02</v>
      </c>
      <c r="O475">
        <v>2.67</v>
      </c>
    </row>
    <row r="476" spans="1:15">
      <c r="A476" t="str">
        <f>"001306"</f>
        <v>001306</v>
      </c>
      <c r="B476" t="s">
        <v>504</v>
      </c>
      <c r="C476">
        <v>4.12</v>
      </c>
      <c r="D476">
        <v>62.9</v>
      </c>
      <c r="E476" t="s">
        <v>16</v>
      </c>
      <c r="F476" t="s">
        <v>16</v>
      </c>
      <c r="H476">
        <v>-0.13</v>
      </c>
      <c r="I476">
        <v>6.16</v>
      </c>
      <c r="J476">
        <v>-1.53</v>
      </c>
      <c r="L476">
        <v>-0.68</v>
      </c>
      <c r="M476">
        <v>0</v>
      </c>
      <c r="N476">
        <v>0</v>
      </c>
      <c r="O476">
        <v>0</v>
      </c>
    </row>
    <row r="477" spans="1:15">
      <c r="A477" t="str">
        <f>"001308"</f>
        <v>001308</v>
      </c>
      <c r="B477" t="s">
        <v>505</v>
      </c>
      <c r="C477">
        <v>1.8</v>
      </c>
      <c r="D477">
        <v>20.97</v>
      </c>
      <c r="E477" t="s">
        <v>16</v>
      </c>
      <c r="F477" t="s">
        <v>16</v>
      </c>
      <c r="H477">
        <v>0.14</v>
      </c>
      <c r="I477">
        <v>-1.92</v>
      </c>
      <c r="J477">
        <v>-0.85</v>
      </c>
      <c r="L477">
        <v>-0.97</v>
      </c>
      <c r="M477">
        <v>30.8</v>
      </c>
      <c r="N477">
        <v>0.02</v>
      </c>
      <c r="O477">
        <v>0.78</v>
      </c>
    </row>
    <row r="478" spans="1:15">
      <c r="A478" t="str">
        <f>"001309"</f>
        <v>001309</v>
      </c>
      <c r="B478" t="s">
        <v>506</v>
      </c>
      <c r="C478">
        <v>0.34</v>
      </c>
      <c r="D478">
        <v>712</v>
      </c>
      <c r="E478" t="s">
        <v>16</v>
      </c>
      <c r="F478" t="s">
        <v>16</v>
      </c>
      <c r="H478">
        <v>-0.25</v>
      </c>
      <c r="I478">
        <v>4.58</v>
      </c>
      <c r="J478">
        <v>-3.26</v>
      </c>
      <c r="L478">
        <v>-1.07</v>
      </c>
      <c r="M478">
        <v>8283.6</v>
      </c>
      <c r="N478">
        <v>0.08</v>
      </c>
      <c r="O478">
        <v>1.26</v>
      </c>
    </row>
    <row r="479" spans="1:15">
      <c r="A479" t="str">
        <f>"001311"</f>
        <v>001311</v>
      </c>
      <c r="B479" t="s">
        <v>507</v>
      </c>
      <c r="C479">
        <v>-1.99</v>
      </c>
      <c r="D479">
        <v>17.75</v>
      </c>
      <c r="E479" t="s">
        <v>16</v>
      </c>
      <c r="F479" t="s">
        <v>16</v>
      </c>
      <c r="H479">
        <v>-0.38</v>
      </c>
      <c r="I479">
        <v>-15.23</v>
      </c>
      <c r="J479">
        <v>-2.26</v>
      </c>
      <c r="L479">
        <v>-0.44</v>
      </c>
      <c r="M479">
        <v>3.43</v>
      </c>
      <c r="N479">
        <v>0</v>
      </c>
      <c r="O479">
        <v>0.11</v>
      </c>
    </row>
    <row r="480" spans="1:15">
      <c r="A480" t="str">
        <f>"001312"</f>
        <v>001312</v>
      </c>
      <c r="B480" t="s">
        <v>508</v>
      </c>
      <c r="C480">
        <v>-2.55</v>
      </c>
      <c r="D480">
        <v>19.84</v>
      </c>
      <c r="E480" t="s">
        <v>16</v>
      </c>
      <c r="F480" t="s">
        <v>16</v>
      </c>
      <c r="H480">
        <v>-0.19</v>
      </c>
      <c r="I480">
        <v>-3.36</v>
      </c>
      <c r="J480">
        <v>-2.36</v>
      </c>
      <c r="L480">
        <v>-0.34</v>
      </c>
      <c r="M480">
        <v>22.72</v>
      </c>
      <c r="N480">
        <v>0.02</v>
      </c>
      <c r="O480">
        <v>0.65</v>
      </c>
    </row>
    <row r="481" spans="1:15">
      <c r="A481" t="str">
        <f>"001313"</f>
        <v>001313</v>
      </c>
      <c r="B481" t="s">
        <v>509</v>
      </c>
      <c r="C481">
        <v>1.96</v>
      </c>
      <c r="D481">
        <v>7.3</v>
      </c>
      <c r="E481" t="s">
        <v>16</v>
      </c>
      <c r="F481" t="s">
        <v>16</v>
      </c>
      <c r="H481">
        <v>-0.13</v>
      </c>
      <c r="I481">
        <v>-1.35</v>
      </c>
      <c r="J481">
        <v>-0.82</v>
      </c>
      <c r="L481">
        <v>-0.42</v>
      </c>
      <c r="M481">
        <v>21.46</v>
      </c>
      <c r="N481">
        <v>0.01</v>
      </c>
      <c r="O481">
        <v>0.14</v>
      </c>
    </row>
    <row r="482" spans="1:15">
      <c r="A482" t="str">
        <f>"001314"</f>
        <v>001314</v>
      </c>
      <c r="B482" t="s">
        <v>510</v>
      </c>
      <c r="C482">
        <v>1.86</v>
      </c>
      <c r="D482">
        <v>58.59</v>
      </c>
      <c r="E482" t="s">
        <v>16</v>
      </c>
      <c r="F482" t="s">
        <v>16</v>
      </c>
      <c r="H482">
        <v>0.17</v>
      </c>
      <c r="I482">
        <v>5.66</v>
      </c>
      <c r="J482">
        <v>-1.74</v>
      </c>
      <c r="L482">
        <v>0.16</v>
      </c>
      <c r="M482">
        <v>129.62</v>
      </c>
      <c r="N482">
        <v>0.04</v>
      </c>
      <c r="O482">
        <v>1.12</v>
      </c>
    </row>
    <row r="483" spans="1:15">
      <c r="A483" t="str">
        <f>"001316"</f>
        <v>001316</v>
      </c>
      <c r="B483" t="s">
        <v>511</v>
      </c>
      <c r="C483">
        <v>0.86</v>
      </c>
      <c r="D483">
        <v>37.45</v>
      </c>
      <c r="E483" t="s">
        <v>16</v>
      </c>
      <c r="F483" t="s">
        <v>16</v>
      </c>
      <c r="H483">
        <v>0.13</v>
      </c>
      <c r="I483">
        <v>6.85</v>
      </c>
      <c r="J483">
        <v>-0.53</v>
      </c>
      <c r="L483">
        <v>-1</v>
      </c>
      <c r="M483">
        <v>15.07</v>
      </c>
      <c r="N483">
        <v>0.01</v>
      </c>
      <c r="O483">
        <v>0.59</v>
      </c>
    </row>
    <row r="484" spans="1:15">
      <c r="A484" t="str">
        <f>"001317"</f>
        <v>001317</v>
      </c>
      <c r="B484" t="s">
        <v>512</v>
      </c>
      <c r="C484">
        <v>1.34</v>
      </c>
      <c r="D484">
        <v>46.09</v>
      </c>
      <c r="E484" t="s">
        <v>16</v>
      </c>
      <c r="F484" t="s">
        <v>16</v>
      </c>
      <c r="H484">
        <v>-0.01</v>
      </c>
      <c r="I484">
        <v>-10.1</v>
      </c>
      <c r="J484">
        <v>-2.43</v>
      </c>
      <c r="L484">
        <v>-1.03</v>
      </c>
      <c r="M484">
        <v>46.36</v>
      </c>
      <c r="N484">
        <v>0.03</v>
      </c>
      <c r="O484">
        <v>0.64</v>
      </c>
    </row>
    <row r="485" spans="1:15">
      <c r="A485" t="str">
        <f>"001318"</f>
        <v>001318</v>
      </c>
      <c r="B485" t="s">
        <v>513</v>
      </c>
      <c r="C485">
        <v>-0.47</v>
      </c>
      <c r="D485">
        <v>10.55</v>
      </c>
      <c r="E485" t="s">
        <v>16</v>
      </c>
      <c r="F485" t="s">
        <v>16</v>
      </c>
      <c r="H485">
        <v>0.09</v>
      </c>
      <c r="I485">
        <v>-5.97</v>
      </c>
      <c r="J485">
        <v>-1.03</v>
      </c>
      <c r="L485">
        <v>0</v>
      </c>
      <c r="M485">
        <v>12.19</v>
      </c>
      <c r="N485">
        <v>0.01</v>
      </c>
      <c r="O485">
        <v>1.02</v>
      </c>
    </row>
    <row r="486" spans="1:15">
      <c r="A486" t="str">
        <f>"001319"</f>
        <v>001319</v>
      </c>
      <c r="B486" t="s">
        <v>514</v>
      </c>
      <c r="C486">
        <v>-0.22</v>
      </c>
      <c r="D486">
        <v>22.62</v>
      </c>
      <c r="E486" t="s">
        <v>16</v>
      </c>
      <c r="F486" t="s">
        <v>16</v>
      </c>
      <c r="H486">
        <v>0</v>
      </c>
      <c r="I486">
        <v>-1.78</v>
      </c>
      <c r="J486">
        <v>-0.48</v>
      </c>
      <c r="L486">
        <v>-0.26</v>
      </c>
      <c r="M486">
        <v>15.15</v>
      </c>
      <c r="N486">
        <v>0.02</v>
      </c>
      <c r="O486">
        <v>3.19</v>
      </c>
    </row>
    <row r="487" spans="1:15">
      <c r="A487" t="str">
        <f>"001322"</f>
        <v>001322</v>
      </c>
      <c r="B487" t="s">
        <v>515</v>
      </c>
      <c r="C487">
        <v>-0.68</v>
      </c>
      <c r="D487">
        <v>5.84</v>
      </c>
      <c r="E487" t="s">
        <v>16</v>
      </c>
      <c r="F487" t="s">
        <v>16</v>
      </c>
      <c r="H487">
        <v>-0.16</v>
      </c>
      <c r="I487">
        <v>-7.89</v>
      </c>
      <c r="J487">
        <v>-2.34</v>
      </c>
      <c r="L487">
        <v>1.7</v>
      </c>
      <c r="M487">
        <v>8.73</v>
      </c>
      <c r="N487">
        <v>0.01</v>
      </c>
      <c r="O487">
        <v>0.8</v>
      </c>
    </row>
    <row r="488" spans="1:15">
      <c r="A488" t="str">
        <f>"001323"</f>
        <v>001323</v>
      </c>
      <c r="B488" t="s">
        <v>516</v>
      </c>
      <c r="C488">
        <v>-1.61</v>
      </c>
      <c r="D488">
        <v>17.67</v>
      </c>
      <c r="E488" t="s">
        <v>16</v>
      </c>
      <c r="F488" t="s">
        <v>16</v>
      </c>
      <c r="H488">
        <v>0.06</v>
      </c>
      <c r="I488">
        <v>-9.75</v>
      </c>
      <c r="J488">
        <v>-1.61</v>
      </c>
      <c r="L488">
        <v>-0.06</v>
      </c>
      <c r="M488">
        <v>2.69</v>
      </c>
      <c r="N488">
        <v>0</v>
      </c>
      <c r="O488">
        <v>0.6</v>
      </c>
    </row>
    <row r="489" spans="1:15">
      <c r="A489" t="str">
        <f>"001324"</f>
        <v>001324</v>
      </c>
      <c r="B489" t="s">
        <v>517</v>
      </c>
      <c r="C489">
        <v>-1.36</v>
      </c>
      <c r="D489">
        <v>18.08</v>
      </c>
      <c r="E489" t="s">
        <v>16</v>
      </c>
      <c r="F489" t="s">
        <v>16</v>
      </c>
      <c r="H489">
        <v>0.11</v>
      </c>
      <c r="I489">
        <v>-1.04</v>
      </c>
      <c r="J489">
        <v>-0.99</v>
      </c>
      <c r="L489">
        <v>-1.25</v>
      </c>
      <c r="M489">
        <v>10.68</v>
      </c>
      <c r="N489">
        <v>0.01</v>
      </c>
      <c r="O489">
        <v>0.14</v>
      </c>
    </row>
    <row r="490" spans="1:15">
      <c r="A490" t="str">
        <f>"001325"</f>
        <v>001325</v>
      </c>
      <c r="B490" t="s">
        <v>518</v>
      </c>
      <c r="C490">
        <v>-2.24</v>
      </c>
      <c r="D490">
        <v>39.19</v>
      </c>
      <c r="E490" t="s">
        <v>16</v>
      </c>
      <c r="F490" t="s">
        <v>16</v>
      </c>
      <c r="H490">
        <v>-0.02</v>
      </c>
      <c r="I490">
        <v>-0.71</v>
      </c>
      <c r="J490">
        <v>-2.78</v>
      </c>
      <c r="L490">
        <v>0.35</v>
      </c>
      <c r="M490">
        <v>18.91</v>
      </c>
      <c r="N490">
        <v>0.02</v>
      </c>
      <c r="O490">
        <v>0.85</v>
      </c>
    </row>
    <row r="491" spans="1:15">
      <c r="A491" t="str">
        <f>"001326"</f>
        <v>001326</v>
      </c>
      <c r="B491" t="s">
        <v>519</v>
      </c>
      <c r="C491">
        <v>-0.2</v>
      </c>
      <c r="D491">
        <v>73.88</v>
      </c>
      <c r="E491" t="s">
        <v>16</v>
      </c>
      <c r="F491" t="s">
        <v>16</v>
      </c>
      <c r="H491">
        <v>-0.41</v>
      </c>
      <c r="I491">
        <v>9.48</v>
      </c>
      <c r="J491">
        <v>-2.15</v>
      </c>
      <c r="K491" t="s">
        <v>54</v>
      </c>
      <c r="L491">
        <v>1.61</v>
      </c>
      <c r="M491">
        <v>461.85</v>
      </c>
      <c r="N491">
        <v>0.29</v>
      </c>
      <c r="O491">
        <v>9.9</v>
      </c>
    </row>
    <row r="492" spans="1:15">
      <c r="A492" t="str">
        <f>"001328"</f>
        <v>001328</v>
      </c>
      <c r="B492" t="s">
        <v>520</v>
      </c>
      <c r="C492">
        <v>-3.39</v>
      </c>
      <c r="D492">
        <v>27.33</v>
      </c>
      <c r="E492" t="s">
        <v>16</v>
      </c>
      <c r="F492" t="s">
        <v>16</v>
      </c>
      <c r="H492">
        <v>0</v>
      </c>
      <c r="I492">
        <v>-4.47</v>
      </c>
      <c r="J492">
        <v>-4.61</v>
      </c>
      <c r="L492">
        <v>1.27</v>
      </c>
      <c r="M492">
        <v>22.06</v>
      </c>
      <c r="N492">
        <v>0.02</v>
      </c>
      <c r="O492">
        <v>2.75</v>
      </c>
    </row>
    <row r="493" spans="1:15">
      <c r="A493" t="str">
        <f>"001330"</f>
        <v>001330</v>
      </c>
      <c r="B493" t="s">
        <v>521</v>
      </c>
      <c r="C493">
        <v>-1.01</v>
      </c>
      <c r="D493">
        <v>6.84</v>
      </c>
      <c r="E493" t="s">
        <v>16</v>
      </c>
      <c r="F493" t="s">
        <v>16</v>
      </c>
      <c r="H493">
        <v>-0.28</v>
      </c>
      <c r="I493">
        <v>-16.69</v>
      </c>
      <c r="J493">
        <v>-1.3</v>
      </c>
      <c r="L493">
        <v>-0.58</v>
      </c>
      <c r="M493">
        <v>165.09</v>
      </c>
      <c r="N493">
        <v>0.02</v>
      </c>
      <c r="O493">
        <v>0.48</v>
      </c>
    </row>
    <row r="494" spans="1:15">
      <c r="A494" t="str">
        <f>"001331"</f>
        <v>001331</v>
      </c>
      <c r="B494" t="s">
        <v>522</v>
      </c>
      <c r="C494" t="s">
        <v>16</v>
      </c>
      <c r="D494">
        <v>69.78</v>
      </c>
      <c r="E494" t="s">
        <v>16</v>
      </c>
      <c r="F494" t="s">
        <v>16</v>
      </c>
      <c r="H494" t="s">
        <v>16</v>
      </c>
      <c r="I494">
        <v>0</v>
      </c>
      <c r="J494" t="s">
        <v>16</v>
      </c>
      <c r="L494" t="s">
        <v>16</v>
      </c>
      <c r="M494">
        <v>0</v>
      </c>
      <c r="N494" t="s">
        <v>16</v>
      </c>
      <c r="O494" t="s">
        <v>16</v>
      </c>
    </row>
    <row r="495" spans="1:15">
      <c r="A495" t="str">
        <f>"001332"</f>
        <v>001332</v>
      </c>
      <c r="B495" t="s">
        <v>523</v>
      </c>
      <c r="C495">
        <v>0.5</v>
      </c>
      <c r="D495">
        <v>46.52</v>
      </c>
      <c r="E495" t="s">
        <v>16</v>
      </c>
      <c r="F495" t="s">
        <v>16</v>
      </c>
      <c r="H495">
        <v>0.02</v>
      </c>
      <c r="I495">
        <v>-4.04</v>
      </c>
      <c r="J495">
        <v>-2.27</v>
      </c>
      <c r="L495">
        <v>-1.17</v>
      </c>
      <c r="M495">
        <v>23.97</v>
      </c>
      <c r="N495">
        <v>0.01</v>
      </c>
      <c r="O495">
        <v>1.03</v>
      </c>
    </row>
    <row r="496" spans="1:15">
      <c r="A496" t="str">
        <f>"001333"</f>
        <v>001333</v>
      </c>
      <c r="B496" t="s">
        <v>524</v>
      </c>
      <c r="C496">
        <v>-1.75</v>
      </c>
      <c r="D496">
        <v>19.7</v>
      </c>
      <c r="E496" t="s">
        <v>16</v>
      </c>
      <c r="F496" t="s">
        <v>16</v>
      </c>
      <c r="H496">
        <v>0.15</v>
      </c>
      <c r="I496">
        <v>-7.77</v>
      </c>
      <c r="J496">
        <v>-1.99</v>
      </c>
      <c r="L496">
        <v>0.05</v>
      </c>
      <c r="M496">
        <v>8.63</v>
      </c>
      <c r="N496">
        <v>0.01</v>
      </c>
      <c r="O496">
        <v>0.86</v>
      </c>
    </row>
    <row r="497" spans="1:15">
      <c r="A497" t="str">
        <f>"001335"</f>
        <v>001335</v>
      </c>
      <c r="B497" t="s">
        <v>525</v>
      </c>
      <c r="C497">
        <v>-3.62</v>
      </c>
      <c r="D497">
        <v>46.63</v>
      </c>
      <c r="E497" t="s">
        <v>16</v>
      </c>
      <c r="F497" t="s">
        <v>16</v>
      </c>
      <c r="H497">
        <v>-0.05</v>
      </c>
      <c r="I497">
        <v>-3.26</v>
      </c>
      <c r="J497">
        <v>-3.62</v>
      </c>
      <c r="L497">
        <v>0</v>
      </c>
      <c r="M497">
        <v>78.38</v>
      </c>
      <c r="N497">
        <v>0.06</v>
      </c>
      <c r="O497">
        <v>1.76</v>
      </c>
    </row>
    <row r="498" spans="1:15">
      <c r="A498" t="str">
        <f>"001336"</f>
        <v>001336</v>
      </c>
      <c r="B498" t="s">
        <v>526</v>
      </c>
      <c r="C498">
        <v>-0.92</v>
      </c>
      <c r="D498">
        <v>23.69</v>
      </c>
      <c r="E498" t="s">
        <v>16</v>
      </c>
      <c r="F498" t="s">
        <v>16</v>
      </c>
      <c r="H498">
        <v>-0.16</v>
      </c>
      <c r="I498">
        <v>-6.77</v>
      </c>
      <c r="J498">
        <v>-1.29</v>
      </c>
      <c r="L498">
        <v>-0.54</v>
      </c>
      <c r="M498">
        <v>55.88</v>
      </c>
      <c r="N498">
        <v>0.07</v>
      </c>
      <c r="O498">
        <v>1.41</v>
      </c>
    </row>
    <row r="499" spans="1:15">
      <c r="A499" t="str">
        <f>"001337"</f>
        <v>001337</v>
      </c>
      <c r="B499" t="s">
        <v>527</v>
      </c>
      <c r="C499">
        <v>-2.85</v>
      </c>
      <c r="D499">
        <v>42.2</v>
      </c>
      <c r="E499" t="s">
        <v>16</v>
      </c>
      <c r="F499" t="s">
        <v>16</v>
      </c>
      <c r="H499">
        <v>-0.2</v>
      </c>
      <c r="I499">
        <v>-13.7</v>
      </c>
      <c r="J499">
        <v>-2.94</v>
      </c>
      <c r="L499">
        <v>-1.31</v>
      </c>
      <c r="M499">
        <v>528.16</v>
      </c>
      <c r="N499">
        <v>0.07</v>
      </c>
      <c r="O499">
        <v>3.52</v>
      </c>
    </row>
    <row r="500" spans="1:15">
      <c r="A500" t="str">
        <f>"001338"</f>
        <v>001338</v>
      </c>
      <c r="B500" t="s">
        <v>528</v>
      </c>
      <c r="C500">
        <v>0.11</v>
      </c>
      <c r="D500">
        <v>9.33</v>
      </c>
      <c r="E500" t="s">
        <v>16</v>
      </c>
      <c r="F500" t="s">
        <v>16</v>
      </c>
      <c r="H500">
        <v>0.32</v>
      </c>
      <c r="I500">
        <v>-11.06</v>
      </c>
      <c r="J500">
        <v>-0.64</v>
      </c>
      <c r="L500">
        <v>-0.32</v>
      </c>
      <c r="M500">
        <v>8.83</v>
      </c>
      <c r="N500">
        <v>0</v>
      </c>
      <c r="O500">
        <v>0.42</v>
      </c>
    </row>
    <row r="501" spans="1:15">
      <c r="A501" t="str">
        <f>"001339"</f>
        <v>001339</v>
      </c>
      <c r="B501" t="s">
        <v>529</v>
      </c>
      <c r="C501">
        <v>10</v>
      </c>
      <c r="D501">
        <v>126.93</v>
      </c>
      <c r="E501">
        <v>15406.76</v>
      </c>
      <c r="F501">
        <v>2</v>
      </c>
      <c r="H501">
        <v>0</v>
      </c>
      <c r="I501">
        <v>26.27</v>
      </c>
      <c r="J501">
        <v>0</v>
      </c>
      <c r="K501" t="s">
        <v>530</v>
      </c>
      <c r="L501">
        <v>2.62</v>
      </c>
      <c r="M501">
        <v>2409.64</v>
      </c>
      <c r="N501">
        <v>0.25</v>
      </c>
      <c r="O501">
        <v>3.81</v>
      </c>
    </row>
    <row r="502" spans="1:15">
      <c r="A502" t="str">
        <f>"001356"</f>
        <v>001356</v>
      </c>
      <c r="B502" t="s">
        <v>531</v>
      </c>
      <c r="C502">
        <v>-1.73</v>
      </c>
      <c r="D502">
        <v>9.07</v>
      </c>
      <c r="E502" t="s">
        <v>16</v>
      </c>
      <c r="F502" t="s">
        <v>16</v>
      </c>
      <c r="H502">
        <v>0</v>
      </c>
      <c r="I502">
        <v>-4.53</v>
      </c>
      <c r="J502">
        <v>-2.26</v>
      </c>
      <c r="L502">
        <v>0.54</v>
      </c>
      <c r="M502">
        <v>0</v>
      </c>
      <c r="N502">
        <v>0</v>
      </c>
      <c r="O502">
        <v>0</v>
      </c>
    </row>
    <row r="503" spans="1:15">
      <c r="A503" t="str">
        <f>"001358"</f>
        <v>001358</v>
      </c>
      <c r="B503" t="s">
        <v>532</v>
      </c>
      <c r="C503">
        <v>-2.6</v>
      </c>
      <c r="D503">
        <v>24.75</v>
      </c>
      <c r="E503" t="s">
        <v>16</v>
      </c>
      <c r="F503" t="s">
        <v>16</v>
      </c>
      <c r="H503">
        <v>0.16</v>
      </c>
      <c r="I503">
        <v>0.16</v>
      </c>
      <c r="J503">
        <v>-2.75</v>
      </c>
      <c r="L503">
        <v>0.16</v>
      </c>
      <c r="M503">
        <v>7.64</v>
      </c>
      <c r="N503">
        <v>0.01</v>
      </c>
      <c r="O503">
        <v>0.68</v>
      </c>
    </row>
    <row r="504" spans="1:15">
      <c r="A504" t="str">
        <f>"001359"</f>
        <v>001359</v>
      </c>
      <c r="B504" t="s">
        <v>533</v>
      </c>
      <c r="C504">
        <v>2.36</v>
      </c>
      <c r="D504">
        <v>132.2</v>
      </c>
      <c r="E504" t="s">
        <v>16</v>
      </c>
      <c r="F504" t="s">
        <v>16</v>
      </c>
      <c r="H504">
        <v>-0.34</v>
      </c>
      <c r="I504">
        <v>43.28</v>
      </c>
      <c r="J504">
        <v>-1.16</v>
      </c>
      <c r="K504" t="s">
        <v>116</v>
      </c>
      <c r="L504">
        <v>-0.84</v>
      </c>
      <c r="M504">
        <v>735.17</v>
      </c>
      <c r="N504">
        <v>0.12</v>
      </c>
      <c r="O504">
        <v>0.74</v>
      </c>
    </row>
    <row r="505" spans="1:15">
      <c r="A505" t="str">
        <f>"001360"</f>
        <v>001360</v>
      </c>
      <c r="B505" t="s">
        <v>534</v>
      </c>
      <c r="C505">
        <v>3.63</v>
      </c>
      <c r="D505">
        <v>21.96</v>
      </c>
      <c r="E505" t="s">
        <v>16</v>
      </c>
      <c r="F505" t="s">
        <v>16</v>
      </c>
      <c r="H505">
        <v>-0.04</v>
      </c>
      <c r="I505">
        <v>13.31</v>
      </c>
      <c r="J505">
        <v>-1.04</v>
      </c>
      <c r="L505">
        <v>1.65</v>
      </c>
      <c r="M505">
        <v>169.3</v>
      </c>
      <c r="N505">
        <v>0.1</v>
      </c>
      <c r="O505">
        <v>2.18</v>
      </c>
    </row>
    <row r="506" spans="1:15">
      <c r="A506" t="str">
        <f>"001365"</f>
        <v>001365</v>
      </c>
      <c r="B506" t="s">
        <v>535</v>
      </c>
      <c r="C506">
        <v>10</v>
      </c>
      <c r="D506">
        <v>44.22</v>
      </c>
      <c r="E506">
        <v>3202.85</v>
      </c>
      <c r="F506">
        <v>1</v>
      </c>
      <c r="H506">
        <v>0</v>
      </c>
      <c r="I506">
        <v>1.19</v>
      </c>
      <c r="J506">
        <v>0</v>
      </c>
      <c r="K506" t="s">
        <v>140</v>
      </c>
      <c r="L506">
        <v>-0.12</v>
      </c>
      <c r="M506">
        <v>83.91</v>
      </c>
      <c r="N506">
        <v>0.04</v>
      </c>
      <c r="O506">
        <v>1.15</v>
      </c>
    </row>
    <row r="507" spans="1:15">
      <c r="A507" t="str">
        <f>"001366"</f>
        <v>001366</v>
      </c>
      <c r="B507" t="s">
        <v>536</v>
      </c>
      <c r="C507">
        <v>-0.58</v>
      </c>
      <c r="D507">
        <v>12.07</v>
      </c>
      <c r="E507" t="s">
        <v>16</v>
      </c>
      <c r="F507" t="s">
        <v>16</v>
      </c>
      <c r="H507">
        <v>0.42</v>
      </c>
      <c r="I507">
        <v>-11.64</v>
      </c>
      <c r="J507">
        <v>-1.31</v>
      </c>
      <c r="L507">
        <v>-0.99</v>
      </c>
      <c r="M507">
        <v>18.15</v>
      </c>
      <c r="N507">
        <v>0.03</v>
      </c>
      <c r="O507">
        <v>0.63</v>
      </c>
    </row>
    <row r="508" spans="1:15">
      <c r="A508" t="str">
        <f>"001367"</f>
        <v>001367</v>
      </c>
      <c r="B508" t="s">
        <v>537</v>
      </c>
      <c r="C508">
        <v>1.3</v>
      </c>
      <c r="D508">
        <v>20.31</v>
      </c>
      <c r="E508" t="s">
        <v>16</v>
      </c>
      <c r="F508" t="s">
        <v>16</v>
      </c>
      <c r="H508">
        <v>-0.04</v>
      </c>
      <c r="I508">
        <v>3.73</v>
      </c>
      <c r="J508">
        <v>-0.73</v>
      </c>
      <c r="L508">
        <v>0.7</v>
      </c>
      <c r="M508">
        <v>12.52</v>
      </c>
      <c r="N508">
        <v>0.02</v>
      </c>
      <c r="O508">
        <v>1.15</v>
      </c>
    </row>
    <row r="509" spans="1:15">
      <c r="A509" t="str">
        <f>"001368"</f>
        <v>001368</v>
      </c>
      <c r="B509" t="s">
        <v>538</v>
      </c>
      <c r="C509">
        <v>-0.23</v>
      </c>
      <c r="D509">
        <v>22.08</v>
      </c>
      <c r="E509" t="s">
        <v>16</v>
      </c>
      <c r="F509" t="s">
        <v>16</v>
      </c>
      <c r="H509">
        <v>0.41</v>
      </c>
      <c r="I509">
        <v>-7.81</v>
      </c>
      <c r="J509">
        <v>-0.45</v>
      </c>
      <c r="L509">
        <v>0</v>
      </c>
      <c r="M509">
        <v>2.88</v>
      </c>
      <c r="N509">
        <v>0</v>
      </c>
      <c r="O509">
        <v>0.59</v>
      </c>
    </row>
    <row r="510" spans="1:15">
      <c r="A510" t="str">
        <f>"001369"</f>
        <v>001369</v>
      </c>
      <c r="B510" t="s">
        <v>539</v>
      </c>
      <c r="C510">
        <v>-3.68</v>
      </c>
      <c r="D510">
        <v>15.16</v>
      </c>
      <c r="E510" t="s">
        <v>16</v>
      </c>
      <c r="F510" t="s">
        <v>16</v>
      </c>
      <c r="H510">
        <v>-0.06</v>
      </c>
      <c r="I510">
        <v>11.39</v>
      </c>
      <c r="J510">
        <v>-3.99</v>
      </c>
      <c r="L510">
        <v>-0.76</v>
      </c>
      <c r="M510">
        <v>305.21</v>
      </c>
      <c r="N510">
        <v>0.1</v>
      </c>
      <c r="O510">
        <v>1.11</v>
      </c>
    </row>
    <row r="511" spans="1:15">
      <c r="A511" t="str">
        <f>"001373"</f>
        <v>001373</v>
      </c>
      <c r="B511" t="s">
        <v>540</v>
      </c>
      <c r="C511">
        <v>-1.11</v>
      </c>
      <c r="D511">
        <v>35.73</v>
      </c>
      <c r="E511" t="s">
        <v>16</v>
      </c>
      <c r="F511" t="s">
        <v>16</v>
      </c>
      <c r="H511">
        <v>-0.05</v>
      </c>
      <c r="I511">
        <v>-1.79</v>
      </c>
      <c r="J511">
        <v>-1.27</v>
      </c>
      <c r="L511">
        <v>-0.69</v>
      </c>
      <c r="M511">
        <v>69.25</v>
      </c>
      <c r="N511">
        <v>0.06</v>
      </c>
      <c r="O511">
        <v>1.84</v>
      </c>
    </row>
    <row r="512" spans="1:15">
      <c r="A512" t="str">
        <f>"001376"</f>
        <v>001376</v>
      </c>
      <c r="B512" t="s">
        <v>541</v>
      </c>
      <c r="C512">
        <v>-2.93</v>
      </c>
      <c r="D512">
        <v>11.58</v>
      </c>
      <c r="E512" t="s">
        <v>16</v>
      </c>
      <c r="F512" t="s">
        <v>16</v>
      </c>
      <c r="H512">
        <v>0</v>
      </c>
      <c r="I512">
        <v>-19.47</v>
      </c>
      <c r="J512">
        <v>-5.78</v>
      </c>
      <c r="L512">
        <v>-0.5</v>
      </c>
      <c r="M512">
        <v>30.15</v>
      </c>
      <c r="N512">
        <v>0.01</v>
      </c>
      <c r="O512">
        <v>1.07</v>
      </c>
    </row>
    <row r="513" spans="1:15">
      <c r="A513" t="str">
        <f>"001378"</f>
        <v>001378</v>
      </c>
      <c r="B513" t="s">
        <v>542</v>
      </c>
      <c r="C513">
        <v>-2.91</v>
      </c>
      <c r="D513">
        <v>19.32</v>
      </c>
      <c r="E513" t="s">
        <v>16</v>
      </c>
      <c r="F513" t="s">
        <v>16</v>
      </c>
      <c r="H513">
        <v>-0.15</v>
      </c>
      <c r="I513">
        <v>-4.73</v>
      </c>
      <c r="J513">
        <v>-4.87</v>
      </c>
      <c r="L513">
        <v>0.15</v>
      </c>
      <c r="M513">
        <v>45.44</v>
      </c>
      <c r="N513">
        <v>0.03</v>
      </c>
      <c r="O513">
        <v>0.28</v>
      </c>
    </row>
    <row r="514" spans="1:15">
      <c r="A514" t="str">
        <f>"001379"</f>
        <v>001379</v>
      </c>
      <c r="B514" t="s">
        <v>543</v>
      </c>
      <c r="C514">
        <v>0.36</v>
      </c>
      <c r="D514">
        <v>16.94</v>
      </c>
      <c r="E514" t="s">
        <v>16</v>
      </c>
      <c r="F514" t="s">
        <v>16</v>
      </c>
      <c r="H514">
        <v>0.12</v>
      </c>
      <c r="I514">
        <v>-6.72</v>
      </c>
      <c r="J514">
        <v>-1.05</v>
      </c>
      <c r="L514">
        <v>-0.95</v>
      </c>
      <c r="M514">
        <v>15.22</v>
      </c>
      <c r="N514">
        <v>0.01</v>
      </c>
      <c r="O514">
        <v>1.17</v>
      </c>
    </row>
    <row r="515" spans="1:15">
      <c r="A515" t="str">
        <f>"001380"</f>
        <v>001380</v>
      </c>
      <c r="B515" t="s">
        <v>544</v>
      </c>
      <c r="C515">
        <v>1.41</v>
      </c>
      <c r="D515">
        <v>16.57</v>
      </c>
      <c r="E515" t="s">
        <v>16</v>
      </c>
      <c r="F515" t="s">
        <v>16</v>
      </c>
      <c r="H515">
        <v>-0.05</v>
      </c>
      <c r="I515">
        <v>-2.53</v>
      </c>
      <c r="J515">
        <v>-2.36</v>
      </c>
      <c r="L515">
        <v>0.55</v>
      </c>
      <c r="M515">
        <v>20.7</v>
      </c>
      <c r="N515">
        <v>0.01</v>
      </c>
      <c r="O515">
        <v>0.74</v>
      </c>
    </row>
    <row r="516" spans="1:15">
      <c r="A516" t="str">
        <f>"001382"</f>
        <v>001382</v>
      </c>
      <c r="B516" t="s">
        <v>545</v>
      </c>
      <c r="C516">
        <v>0.25</v>
      </c>
      <c r="D516">
        <v>20.08</v>
      </c>
      <c r="E516" t="s">
        <v>16</v>
      </c>
      <c r="F516" t="s">
        <v>16</v>
      </c>
      <c r="H516">
        <v>0</v>
      </c>
      <c r="I516">
        <v>-3.92</v>
      </c>
      <c r="J516">
        <v>-0.45</v>
      </c>
      <c r="L516">
        <v>0.15</v>
      </c>
      <c r="M516">
        <v>6.62</v>
      </c>
      <c r="N516">
        <v>0.01</v>
      </c>
      <c r="O516">
        <v>0.29</v>
      </c>
    </row>
    <row r="517" spans="1:15">
      <c r="A517" t="str">
        <f>"001386"</f>
        <v>001386</v>
      </c>
      <c r="B517" t="s">
        <v>546</v>
      </c>
      <c r="C517">
        <v>-2.37</v>
      </c>
      <c r="D517">
        <v>15.63</v>
      </c>
      <c r="E517" t="s">
        <v>16</v>
      </c>
      <c r="F517" t="s">
        <v>16</v>
      </c>
      <c r="H517">
        <v>0.13</v>
      </c>
      <c r="I517">
        <v>1.69</v>
      </c>
      <c r="J517">
        <v>-2.5</v>
      </c>
      <c r="L517">
        <v>0.06</v>
      </c>
      <c r="M517">
        <v>2.56</v>
      </c>
      <c r="N517">
        <v>0</v>
      </c>
      <c r="O517">
        <v>0.1</v>
      </c>
    </row>
    <row r="518" spans="1:15">
      <c r="A518" t="str">
        <f>"001387"</f>
        <v>001387</v>
      </c>
      <c r="B518" t="s">
        <v>547</v>
      </c>
      <c r="C518">
        <v>-3.6</v>
      </c>
      <c r="D518">
        <v>12.6</v>
      </c>
      <c r="E518" t="s">
        <v>16</v>
      </c>
      <c r="F518" t="s">
        <v>16</v>
      </c>
      <c r="H518">
        <v>-0.15</v>
      </c>
      <c r="I518">
        <v>4.56</v>
      </c>
      <c r="J518">
        <v>-5.05</v>
      </c>
      <c r="K518" t="s">
        <v>26</v>
      </c>
      <c r="L518">
        <v>-0.92</v>
      </c>
      <c r="M518">
        <v>125.87</v>
      </c>
      <c r="N518">
        <v>0.11</v>
      </c>
      <c r="O518">
        <v>0.31</v>
      </c>
    </row>
    <row r="519" spans="1:15">
      <c r="A519" t="str">
        <f>"001388"</f>
        <v>001388</v>
      </c>
      <c r="B519" t="s">
        <v>548</v>
      </c>
      <c r="C519">
        <v>1.17</v>
      </c>
      <c r="D519">
        <v>29.42</v>
      </c>
      <c r="E519" t="s">
        <v>16</v>
      </c>
      <c r="F519" t="s">
        <v>16</v>
      </c>
      <c r="H519">
        <v>0.03</v>
      </c>
      <c r="I519">
        <v>-6.34</v>
      </c>
      <c r="J519">
        <v>-0.81</v>
      </c>
      <c r="L519">
        <v>0.79</v>
      </c>
      <c r="M519">
        <v>32.24</v>
      </c>
      <c r="N519">
        <v>0.04</v>
      </c>
      <c r="O519">
        <v>1.47</v>
      </c>
    </row>
    <row r="520" spans="1:15">
      <c r="A520" t="str">
        <f>"001389"</f>
        <v>001389</v>
      </c>
      <c r="B520" t="s">
        <v>549</v>
      </c>
      <c r="C520">
        <v>-2.11</v>
      </c>
      <c r="D520">
        <v>201.46</v>
      </c>
      <c r="E520" t="s">
        <v>16</v>
      </c>
      <c r="F520" t="s">
        <v>16</v>
      </c>
      <c r="H520">
        <v>-0.11</v>
      </c>
      <c r="I520">
        <v>10.32</v>
      </c>
      <c r="J520">
        <v>-2.2</v>
      </c>
      <c r="L520">
        <v>0</v>
      </c>
      <c r="M520">
        <v>1118.93</v>
      </c>
      <c r="N520">
        <v>0.04</v>
      </c>
      <c r="O520">
        <v>1.48</v>
      </c>
    </row>
    <row r="521" spans="1:15">
      <c r="A521" t="str">
        <f>"001390"</f>
        <v>001390</v>
      </c>
      <c r="B521" t="s">
        <v>550</v>
      </c>
      <c r="C521">
        <v>0.9</v>
      </c>
      <c r="D521">
        <v>18.98</v>
      </c>
      <c r="E521" t="s">
        <v>16</v>
      </c>
      <c r="F521" t="s">
        <v>16</v>
      </c>
      <c r="H521">
        <v>0.05</v>
      </c>
      <c r="I521">
        <v>10.67</v>
      </c>
      <c r="J521">
        <v>-0.78</v>
      </c>
      <c r="L521">
        <v>-0.58</v>
      </c>
      <c r="M521">
        <v>56.66</v>
      </c>
      <c r="N521">
        <v>0.04</v>
      </c>
      <c r="O521">
        <v>7.77</v>
      </c>
    </row>
    <row r="522" spans="1:15">
      <c r="A522" t="str">
        <f>"001391"</f>
        <v>001391</v>
      </c>
      <c r="B522" t="s">
        <v>551</v>
      </c>
      <c r="C522">
        <v>-3.09</v>
      </c>
      <c r="D522">
        <v>4.39</v>
      </c>
      <c r="E522" t="s">
        <v>16</v>
      </c>
      <c r="F522" t="s">
        <v>16</v>
      </c>
      <c r="H522">
        <v>0</v>
      </c>
      <c r="I522">
        <v>-13.07</v>
      </c>
      <c r="J522">
        <v>-2.66</v>
      </c>
      <c r="L522">
        <v>-0.66</v>
      </c>
      <c r="M522">
        <v>44.78</v>
      </c>
      <c r="N522">
        <v>0.01</v>
      </c>
      <c r="O522">
        <v>2.7</v>
      </c>
    </row>
    <row r="523" spans="1:15">
      <c r="A523" t="str">
        <f>"001393"</f>
        <v>001393</v>
      </c>
      <c r="B523" t="s">
        <v>552</v>
      </c>
      <c r="C523">
        <v>2.63</v>
      </c>
      <c r="D523">
        <v>59.77</v>
      </c>
      <c r="E523" t="s">
        <v>16</v>
      </c>
      <c r="F523" t="s">
        <v>16</v>
      </c>
      <c r="H523">
        <v>0.08</v>
      </c>
      <c r="I523">
        <v>-12.12</v>
      </c>
      <c r="J523">
        <v>-0.76</v>
      </c>
      <c r="L523">
        <v>-0.72</v>
      </c>
      <c r="M523">
        <v>137.03</v>
      </c>
      <c r="N523">
        <v>0.05</v>
      </c>
      <c r="O523">
        <v>0.56</v>
      </c>
    </row>
    <row r="524" spans="1:15">
      <c r="A524" t="str">
        <f>"001395"</f>
        <v>001395</v>
      </c>
      <c r="B524" t="s">
        <v>553</v>
      </c>
      <c r="C524">
        <v>-1.25</v>
      </c>
      <c r="D524">
        <v>25.18</v>
      </c>
      <c r="E524" t="s">
        <v>16</v>
      </c>
      <c r="F524" t="s">
        <v>16</v>
      </c>
      <c r="H524">
        <v>0.4</v>
      </c>
      <c r="I524">
        <v>-5.76</v>
      </c>
      <c r="J524">
        <v>-1.25</v>
      </c>
      <c r="L524">
        <v>-1.02</v>
      </c>
      <c r="M524">
        <v>40.13</v>
      </c>
      <c r="N524">
        <v>0.04</v>
      </c>
      <c r="O524">
        <v>4.3</v>
      </c>
    </row>
    <row r="525" spans="1:15">
      <c r="A525" t="str">
        <f>"001396"</f>
        <v>001396</v>
      </c>
      <c r="B525" t="s">
        <v>554</v>
      </c>
      <c r="C525">
        <v>-0.97</v>
      </c>
      <c r="D525">
        <v>39.9</v>
      </c>
      <c r="E525" t="s">
        <v>16</v>
      </c>
      <c r="F525" t="s">
        <v>16</v>
      </c>
      <c r="H525">
        <v>0.76</v>
      </c>
      <c r="I525">
        <v>-3.72</v>
      </c>
      <c r="J525">
        <v>-0.82</v>
      </c>
      <c r="L525">
        <v>-0.15</v>
      </c>
      <c r="M525">
        <v>26.15</v>
      </c>
      <c r="N525">
        <v>0.03</v>
      </c>
      <c r="O525">
        <v>0.74</v>
      </c>
    </row>
    <row r="526" spans="1:15">
      <c r="A526" t="str">
        <f>"001400"</f>
        <v>001400</v>
      </c>
      <c r="B526" t="s">
        <v>555</v>
      </c>
      <c r="C526">
        <v>2.73</v>
      </c>
      <c r="D526">
        <v>117.17</v>
      </c>
      <c r="E526" t="s">
        <v>16</v>
      </c>
      <c r="F526" t="s">
        <v>16</v>
      </c>
      <c r="H526">
        <v>-0.06</v>
      </c>
      <c r="I526">
        <v>10.9</v>
      </c>
      <c r="J526">
        <v>-0.97</v>
      </c>
      <c r="L526">
        <v>-1.27</v>
      </c>
      <c r="M526">
        <v>480.84</v>
      </c>
      <c r="N526">
        <v>0.18</v>
      </c>
      <c r="O526">
        <v>2.89</v>
      </c>
    </row>
    <row r="527" spans="1:15">
      <c r="A527" t="str">
        <f>"001696"</f>
        <v>001696</v>
      </c>
      <c r="B527" t="s">
        <v>556</v>
      </c>
      <c r="C527">
        <v>0.37</v>
      </c>
      <c r="D527">
        <v>24.31</v>
      </c>
      <c r="E527" t="s">
        <v>16</v>
      </c>
      <c r="F527" t="s">
        <v>16</v>
      </c>
      <c r="H527">
        <v>0.04</v>
      </c>
      <c r="I527">
        <v>72.9</v>
      </c>
      <c r="J527">
        <v>-3.38</v>
      </c>
      <c r="L527">
        <v>0</v>
      </c>
      <c r="M527">
        <v>2162.36</v>
      </c>
      <c r="N527">
        <v>0.13</v>
      </c>
      <c r="O527">
        <v>0.66</v>
      </c>
    </row>
    <row r="528" spans="1:15">
      <c r="A528" t="str">
        <f>"001872"</f>
        <v>001872</v>
      </c>
      <c r="B528" t="s">
        <v>557</v>
      </c>
      <c r="C528">
        <v>-2.66</v>
      </c>
      <c r="D528">
        <v>19.43</v>
      </c>
      <c r="E528" t="s">
        <v>16</v>
      </c>
      <c r="F528" t="s">
        <v>16</v>
      </c>
      <c r="H528">
        <v>-0.35</v>
      </c>
      <c r="I528">
        <v>-10.38</v>
      </c>
      <c r="J528">
        <v>-2.61</v>
      </c>
      <c r="L528">
        <v>-0.4</v>
      </c>
      <c r="M528">
        <v>3.98</v>
      </c>
      <c r="N528">
        <v>0</v>
      </c>
      <c r="O528">
        <v>0.1</v>
      </c>
    </row>
    <row r="529" spans="1:15">
      <c r="A529" t="str">
        <f>"001896"</f>
        <v>001896</v>
      </c>
      <c r="B529" t="s">
        <v>558</v>
      </c>
      <c r="C529">
        <v>-8.78</v>
      </c>
      <c r="D529">
        <v>19.85</v>
      </c>
      <c r="E529" t="s">
        <v>16</v>
      </c>
      <c r="F529" t="s">
        <v>16</v>
      </c>
      <c r="H529">
        <v>-0.04</v>
      </c>
      <c r="I529">
        <v>-10.14</v>
      </c>
      <c r="J529">
        <v>-8.86</v>
      </c>
      <c r="L529">
        <v>-1.65</v>
      </c>
      <c r="M529">
        <v>1851.03</v>
      </c>
      <c r="N529">
        <v>0.15</v>
      </c>
      <c r="O529">
        <v>0.38</v>
      </c>
    </row>
    <row r="530" spans="1:15">
      <c r="A530" t="str">
        <f>"001914"</f>
        <v>001914</v>
      </c>
      <c r="B530" t="s">
        <v>559</v>
      </c>
      <c r="C530">
        <v>-2.21</v>
      </c>
      <c r="D530">
        <v>8.83</v>
      </c>
      <c r="E530" t="s">
        <v>16</v>
      </c>
      <c r="F530" t="s">
        <v>16</v>
      </c>
      <c r="H530">
        <v>0</v>
      </c>
      <c r="I530">
        <v>-7.35</v>
      </c>
      <c r="J530">
        <v>-2.11</v>
      </c>
      <c r="L530">
        <v>-0.11</v>
      </c>
      <c r="M530">
        <v>18.4</v>
      </c>
      <c r="N530">
        <v>0.01</v>
      </c>
      <c r="O530">
        <v>0.72</v>
      </c>
    </row>
    <row r="531" spans="1:15">
      <c r="A531" t="str">
        <f>"001965"</f>
        <v>001965</v>
      </c>
      <c r="B531" t="s">
        <v>560</v>
      </c>
      <c r="C531">
        <v>0.2</v>
      </c>
      <c r="D531">
        <v>9.82</v>
      </c>
      <c r="E531" t="s">
        <v>16</v>
      </c>
      <c r="F531" t="s">
        <v>16</v>
      </c>
      <c r="H531">
        <v>-0.7</v>
      </c>
      <c r="I531">
        <v>3.59</v>
      </c>
      <c r="J531">
        <v>-1.11</v>
      </c>
      <c r="L531">
        <v>0.2</v>
      </c>
      <c r="M531">
        <v>7.27</v>
      </c>
      <c r="N531">
        <v>0</v>
      </c>
      <c r="O531">
        <v>0.39</v>
      </c>
    </row>
    <row r="532" spans="1:15">
      <c r="A532" t="str">
        <f>"001979"</f>
        <v>001979</v>
      </c>
      <c r="B532" t="s">
        <v>561</v>
      </c>
      <c r="C532">
        <v>-3.72</v>
      </c>
      <c r="D532">
        <v>7.25</v>
      </c>
      <c r="E532" t="s">
        <v>16</v>
      </c>
      <c r="F532" t="s">
        <v>16</v>
      </c>
      <c r="H532">
        <v>-0.4</v>
      </c>
      <c r="I532">
        <v>-15.99</v>
      </c>
      <c r="J532">
        <v>-3.72</v>
      </c>
      <c r="L532">
        <v>-0.66</v>
      </c>
      <c r="M532">
        <v>124.77</v>
      </c>
      <c r="N532">
        <v>0.01</v>
      </c>
      <c r="O532">
        <v>0.71</v>
      </c>
    </row>
    <row r="533" spans="1:15">
      <c r="A533" t="str">
        <f>"002001"</f>
        <v>002001</v>
      </c>
      <c r="B533" t="s">
        <v>562</v>
      </c>
      <c r="C533">
        <v>-1.75</v>
      </c>
      <c r="D533">
        <v>28</v>
      </c>
      <c r="E533" t="s">
        <v>16</v>
      </c>
      <c r="F533" t="s">
        <v>16</v>
      </c>
      <c r="H533">
        <v>-0.17</v>
      </c>
      <c r="I533">
        <v>-8.74</v>
      </c>
      <c r="J533">
        <v>-3.78</v>
      </c>
      <c r="L533">
        <v>-1.02</v>
      </c>
      <c r="M533">
        <v>277.59</v>
      </c>
      <c r="N533">
        <v>0.01</v>
      </c>
      <c r="O533">
        <v>0.27</v>
      </c>
    </row>
    <row r="534" spans="1:15">
      <c r="A534" t="str">
        <f>"002003"</f>
        <v>002003</v>
      </c>
      <c r="B534" t="s">
        <v>563</v>
      </c>
      <c r="C534">
        <v>0.23</v>
      </c>
      <c r="D534">
        <v>8.65</v>
      </c>
      <c r="E534" t="s">
        <v>16</v>
      </c>
      <c r="F534" t="s">
        <v>16</v>
      </c>
      <c r="H534">
        <v>-0.22</v>
      </c>
      <c r="I534">
        <v>-6.18</v>
      </c>
      <c r="J534">
        <v>-0.57</v>
      </c>
      <c r="L534">
        <v>0.12</v>
      </c>
      <c r="M534">
        <v>9.59</v>
      </c>
      <c r="N534">
        <v>0</v>
      </c>
      <c r="O534">
        <v>0.99</v>
      </c>
    </row>
    <row r="535" spans="1:15">
      <c r="A535" t="str">
        <f>"002004"</f>
        <v>002004</v>
      </c>
      <c r="B535" t="s">
        <v>564</v>
      </c>
      <c r="C535">
        <v>-1.9</v>
      </c>
      <c r="D535">
        <v>4.12</v>
      </c>
      <c r="E535" t="s">
        <v>16</v>
      </c>
      <c r="F535" t="s">
        <v>16</v>
      </c>
      <c r="H535">
        <v>-0.23</v>
      </c>
      <c r="I535">
        <v>-2.14</v>
      </c>
      <c r="J535">
        <v>-2.37</v>
      </c>
      <c r="L535">
        <v>0.24</v>
      </c>
      <c r="M535">
        <v>15.49</v>
      </c>
      <c r="N535">
        <v>0</v>
      </c>
      <c r="O535">
        <v>0.19</v>
      </c>
    </row>
    <row r="536" spans="1:15">
      <c r="A536" t="str">
        <f>"002005"</f>
        <v>002005</v>
      </c>
      <c r="B536" t="s">
        <v>565</v>
      </c>
      <c r="C536">
        <v>-2.94</v>
      </c>
      <c r="D536">
        <v>2.64</v>
      </c>
      <c r="E536" t="s">
        <v>16</v>
      </c>
      <c r="F536" t="s">
        <v>16</v>
      </c>
      <c r="H536">
        <v>-0.37</v>
      </c>
      <c r="I536">
        <v>-7.37</v>
      </c>
      <c r="J536">
        <v>-3.65</v>
      </c>
      <c r="L536">
        <v>0.37</v>
      </c>
      <c r="M536">
        <v>47.53</v>
      </c>
      <c r="N536">
        <v>0.01</v>
      </c>
      <c r="O536" t="s">
        <v>16</v>
      </c>
    </row>
    <row r="537" spans="1:15">
      <c r="A537" t="str">
        <f>"002006"</f>
        <v>002006</v>
      </c>
      <c r="B537" t="s">
        <v>566</v>
      </c>
      <c r="C537">
        <v>0.61</v>
      </c>
      <c r="D537">
        <v>14.93</v>
      </c>
      <c r="E537" t="s">
        <v>16</v>
      </c>
      <c r="F537" t="s">
        <v>16</v>
      </c>
      <c r="H537">
        <v>0.07</v>
      </c>
      <c r="I537">
        <v>-6.57</v>
      </c>
      <c r="J537">
        <v>-1.26</v>
      </c>
      <c r="L537">
        <v>-0.4</v>
      </c>
      <c r="M537">
        <v>30.74</v>
      </c>
      <c r="N537">
        <v>0.01</v>
      </c>
      <c r="O537">
        <v>1.53</v>
      </c>
    </row>
    <row r="538" spans="1:15">
      <c r="A538" t="str">
        <f>"002007"</f>
        <v>002007</v>
      </c>
      <c r="B538" t="s">
        <v>567</v>
      </c>
      <c r="C538">
        <v>0.08</v>
      </c>
      <c r="D538">
        <v>12.84</v>
      </c>
      <c r="E538" t="s">
        <v>16</v>
      </c>
      <c r="F538" t="s">
        <v>16</v>
      </c>
      <c r="H538">
        <v>-0.22</v>
      </c>
      <c r="I538">
        <v>-0.31</v>
      </c>
      <c r="J538">
        <v>-1.53</v>
      </c>
      <c r="L538">
        <v>-0.08</v>
      </c>
      <c r="M538">
        <v>46.11</v>
      </c>
      <c r="N538">
        <v>0</v>
      </c>
      <c r="O538">
        <v>1.37</v>
      </c>
    </row>
    <row r="539" spans="1:15">
      <c r="A539" t="str">
        <f>"002008"</f>
        <v>002008</v>
      </c>
      <c r="B539" t="s">
        <v>568</v>
      </c>
      <c r="C539">
        <v>-0.69</v>
      </c>
      <c r="D539">
        <v>134.9</v>
      </c>
      <c r="E539" t="s">
        <v>16</v>
      </c>
      <c r="F539" t="s">
        <v>16</v>
      </c>
      <c r="H539">
        <v>0.51</v>
      </c>
      <c r="I539">
        <v>0.19</v>
      </c>
      <c r="J539">
        <v>-2.15</v>
      </c>
      <c r="K539" t="s">
        <v>26</v>
      </c>
      <c r="L539">
        <v>-0.22</v>
      </c>
      <c r="M539">
        <v>13868.45</v>
      </c>
      <c r="N539">
        <v>0.13</v>
      </c>
      <c r="O539">
        <v>1.06</v>
      </c>
    </row>
    <row r="540" spans="1:15">
      <c r="A540" t="str">
        <f>"002009"</f>
        <v>002009</v>
      </c>
      <c r="B540" t="s">
        <v>569</v>
      </c>
      <c r="C540">
        <v>0.92</v>
      </c>
      <c r="D540">
        <v>20.8</v>
      </c>
      <c r="E540" t="s">
        <v>16</v>
      </c>
      <c r="F540" t="s">
        <v>16</v>
      </c>
      <c r="H540">
        <v>0.05</v>
      </c>
      <c r="I540">
        <v>-3.03</v>
      </c>
      <c r="J540">
        <v>-1.19</v>
      </c>
      <c r="L540">
        <v>0.05</v>
      </c>
      <c r="M540">
        <v>109.7</v>
      </c>
      <c r="N540">
        <v>0.02</v>
      </c>
      <c r="O540">
        <v>1.11</v>
      </c>
    </row>
    <row r="541" spans="1:15">
      <c r="A541" t="str">
        <f>"002010"</f>
        <v>002010</v>
      </c>
      <c r="B541" t="s">
        <v>570</v>
      </c>
      <c r="C541">
        <v>-0.61</v>
      </c>
      <c r="D541">
        <v>4.89</v>
      </c>
      <c r="E541" t="s">
        <v>16</v>
      </c>
      <c r="F541" t="s">
        <v>16</v>
      </c>
      <c r="H541">
        <v>0</v>
      </c>
      <c r="I541">
        <v>-3.74</v>
      </c>
      <c r="J541">
        <v>-0.41</v>
      </c>
      <c r="L541">
        <v>-1.22</v>
      </c>
      <c r="M541">
        <v>104.78</v>
      </c>
      <c r="N541">
        <v>0.02</v>
      </c>
      <c r="O541">
        <v>5.23</v>
      </c>
    </row>
    <row r="542" spans="1:15">
      <c r="A542" t="str">
        <f>"002011"</f>
        <v>002011</v>
      </c>
      <c r="B542" t="s">
        <v>571</v>
      </c>
      <c r="C542">
        <v>-2.59</v>
      </c>
      <c r="D542">
        <v>10.51</v>
      </c>
      <c r="E542" t="s">
        <v>16</v>
      </c>
      <c r="F542" t="s">
        <v>16</v>
      </c>
      <c r="H542">
        <v>-0.09</v>
      </c>
      <c r="I542">
        <v>-9.08</v>
      </c>
      <c r="J542">
        <v>-2.5</v>
      </c>
      <c r="L542">
        <v>-0.19</v>
      </c>
      <c r="M542">
        <v>19.71</v>
      </c>
      <c r="N542">
        <v>0</v>
      </c>
      <c r="O542">
        <v>0.4</v>
      </c>
    </row>
    <row r="543" spans="1:15">
      <c r="A543" t="str">
        <f>"002012"</f>
        <v>002012</v>
      </c>
      <c r="B543" t="s">
        <v>572</v>
      </c>
      <c r="C543">
        <v>0.56</v>
      </c>
      <c r="D543">
        <v>7.16</v>
      </c>
      <c r="E543" t="s">
        <v>16</v>
      </c>
      <c r="F543" t="s">
        <v>16</v>
      </c>
      <c r="H543">
        <v>-0.27</v>
      </c>
      <c r="I543">
        <v>-5.42</v>
      </c>
      <c r="J543">
        <v>-2.59</v>
      </c>
      <c r="L543">
        <v>0</v>
      </c>
      <c r="M543">
        <v>33.89</v>
      </c>
      <c r="N543">
        <v>0.01</v>
      </c>
      <c r="O543">
        <v>0.49</v>
      </c>
    </row>
    <row r="544" spans="1:15">
      <c r="A544" t="str">
        <f>"002014"</f>
        <v>002014</v>
      </c>
      <c r="B544" t="s">
        <v>573</v>
      </c>
      <c r="C544">
        <v>-2.55</v>
      </c>
      <c r="D544">
        <v>10.32</v>
      </c>
      <c r="E544" t="s">
        <v>16</v>
      </c>
      <c r="F544" t="s">
        <v>16</v>
      </c>
      <c r="H544">
        <v>-0.28</v>
      </c>
      <c r="I544">
        <v>1.47</v>
      </c>
      <c r="J544">
        <v>-2.37</v>
      </c>
      <c r="L544">
        <v>-0.57</v>
      </c>
      <c r="M544">
        <v>4.21</v>
      </c>
      <c r="N544">
        <v>0</v>
      </c>
      <c r="O544">
        <v>0.19</v>
      </c>
    </row>
    <row r="545" spans="1:15">
      <c r="A545" t="str">
        <f>"002015"</f>
        <v>002015</v>
      </c>
      <c r="B545" t="s">
        <v>574</v>
      </c>
      <c r="C545">
        <v>-1.17</v>
      </c>
      <c r="D545">
        <v>18.63</v>
      </c>
      <c r="E545" t="s">
        <v>16</v>
      </c>
      <c r="F545" t="s">
        <v>16</v>
      </c>
      <c r="H545">
        <v>0</v>
      </c>
      <c r="I545">
        <v>-22.44</v>
      </c>
      <c r="J545">
        <v>-1.95</v>
      </c>
      <c r="L545">
        <v>-1.06</v>
      </c>
      <c r="M545">
        <v>971.48</v>
      </c>
      <c r="N545">
        <v>0.06</v>
      </c>
      <c r="O545">
        <v>1.25</v>
      </c>
    </row>
    <row r="546" spans="1:15">
      <c r="A546" t="str">
        <f>"002016"</f>
        <v>002016</v>
      </c>
      <c r="B546" t="s">
        <v>575</v>
      </c>
      <c r="C546">
        <v>0</v>
      </c>
      <c r="D546">
        <v>4.38</v>
      </c>
      <c r="E546" t="s">
        <v>16</v>
      </c>
      <c r="F546" t="s">
        <v>16</v>
      </c>
      <c r="H546">
        <v>-0.22</v>
      </c>
      <c r="I546">
        <v>-5.6</v>
      </c>
      <c r="J546">
        <v>-1.57</v>
      </c>
      <c r="L546">
        <v>0.23</v>
      </c>
      <c r="M546">
        <v>26.03</v>
      </c>
      <c r="N546">
        <v>0.02</v>
      </c>
      <c r="O546">
        <v>0.63</v>
      </c>
    </row>
    <row r="547" spans="1:15">
      <c r="A547" t="str">
        <f>"002017"</f>
        <v>002017</v>
      </c>
      <c r="B547" t="s">
        <v>576</v>
      </c>
      <c r="C547">
        <v>-1.05</v>
      </c>
      <c r="D547">
        <v>15.96</v>
      </c>
      <c r="E547" t="s">
        <v>16</v>
      </c>
      <c r="F547" t="s">
        <v>16</v>
      </c>
      <c r="H547">
        <v>-0.05</v>
      </c>
      <c r="I547">
        <v>-0.56</v>
      </c>
      <c r="J547">
        <v>-1.6</v>
      </c>
      <c r="L547">
        <v>-0.68</v>
      </c>
      <c r="M547">
        <v>51.74</v>
      </c>
      <c r="N547">
        <v>0.01</v>
      </c>
      <c r="O547">
        <v>0.63</v>
      </c>
    </row>
    <row r="548" spans="1:15">
      <c r="A548" t="str">
        <f>"002019"</f>
        <v>002019</v>
      </c>
      <c r="B548" t="s">
        <v>577</v>
      </c>
      <c r="C548">
        <v>-1.02</v>
      </c>
      <c r="D548">
        <v>9.71</v>
      </c>
      <c r="E548" t="s">
        <v>16</v>
      </c>
      <c r="F548" t="s">
        <v>16</v>
      </c>
      <c r="H548">
        <v>0.1</v>
      </c>
      <c r="I548">
        <v>-3.19</v>
      </c>
      <c r="J548">
        <v>-2.22</v>
      </c>
      <c r="L548">
        <v>-0.31</v>
      </c>
      <c r="M548">
        <v>4.6</v>
      </c>
      <c r="N548">
        <v>0</v>
      </c>
      <c r="O548">
        <v>1.27</v>
      </c>
    </row>
    <row r="549" spans="1:15">
      <c r="A549" t="str">
        <f>"002020"</f>
        <v>002020</v>
      </c>
      <c r="B549" t="s">
        <v>578</v>
      </c>
      <c r="C549">
        <v>0.08</v>
      </c>
      <c r="D549">
        <v>12.06</v>
      </c>
      <c r="E549" t="s">
        <v>16</v>
      </c>
      <c r="F549" t="s">
        <v>16</v>
      </c>
      <c r="H549">
        <v>0.17</v>
      </c>
      <c r="I549">
        <v>-1.79</v>
      </c>
      <c r="J549">
        <v>-2.11</v>
      </c>
      <c r="L549">
        <v>0.33</v>
      </c>
      <c r="M549">
        <v>4.23</v>
      </c>
      <c r="N549">
        <v>0</v>
      </c>
      <c r="O549">
        <v>0.35</v>
      </c>
    </row>
    <row r="550" spans="1:15">
      <c r="A550" t="str">
        <f>"002021"</f>
        <v>002021</v>
      </c>
      <c r="B550" t="s">
        <v>579</v>
      </c>
      <c r="C550">
        <v>-0.8</v>
      </c>
      <c r="D550">
        <v>2.47</v>
      </c>
      <c r="E550" t="s">
        <v>16</v>
      </c>
      <c r="F550" t="s">
        <v>16</v>
      </c>
      <c r="H550">
        <v>0</v>
      </c>
      <c r="I550">
        <v>-7.14</v>
      </c>
      <c r="J550">
        <v>-2.37</v>
      </c>
      <c r="K550" t="s">
        <v>57</v>
      </c>
      <c r="L550">
        <v>0.4</v>
      </c>
      <c r="M550">
        <v>63.73</v>
      </c>
      <c r="N550">
        <v>0.03</v>
      </c>
      <c r="O550">
        <v>0.39</v>
      </c>
    </row>
    <row r="551" spans="1:15">
      <c r="A551" t="str">
        <f>"002022"</f>
        <v>002022</v>
      </c>
      <c r="B551" t="s">
        <v>580</v>
      </c>
      <c r="C551">
        <v>0.41</v>
      </c>
      <c r="D551">
        <v>4.93</v>
      </c>
      <c r="E551" t="s">
        <v>16</v>
      </c>
      <c r="F551" t="s">
        <v>16</v>
      </c>
      <c r="H551">
        <v>-0.19</v>
      </c>
      <c r="I551">
        <v>-5.37</v>
      </c>
      <c r="J551">
        <v>-1.6</v>
      </c>
      <c r="L551">
        <v>-0.61</v>
      </c>
      <c r="M551">
        <v>26.11</v>
      </c>
      <c r="N551">
        <v>0.01</v>
      </c>
      <c r="O551">
        <v>0.83</v>
      </c>
    </row>
    <row r="552" spans="1:15">
      <c r="A552" t="str">
        <f>"002023"</f>
        <v>002023</v>
      </c>
      <c r="B552" t="s">
        <v>581</v>
      </c>
      <c r="C552">
        <v>1.61</v>
      </c>
      <c r="D552">
        <v>12.6</v>
      </c>
      <c r="E552" t="s">
        <v>16</v>
      </c>
      <c r="F552" t="s">
        <v>16</v>
      </c>
      <c r="H552">
        <v>-0.07</v>
      </c>
      <c r="I552">
        <v>10.72</v>
      </c>
      <c r="J552">
        <v>-1.25</v>
      </c>
      <c r="L552">
        <v>0.48</v>
      </c>
      <c r="M552">
        <v>303.9</v>
      </c>
      <c r="N552">
        <v>0.04</v>
      </c>
      <c r="O552">
        <v>0.48</v>
      </c>
    </row>
    <row r="553" spans="1:15">
      <c r="A553" t="str">
        <f>"002024"</f>
        <v>002024</v>
      </c>
      <c r="B553" t="s">
        <v>582</v>
      </c>
      <c r="C553">
        <v>-0.82</v>
      </c>
      <c r="D553">
        <v>1.21</v>
      </c>
      <c r="E553" t="s">
        <v>16</v>
      </c>
      <c r="F553" t="s">
        <v>16</v>
      </c>
      <c r="H553">
        <v>0</v>
      </c>
      <c r="I553">
        <v>-3.97</v>
      </c>
      <c r="J553">
        <v>-1.63</v>
      </c>
      <c r="L553">
        <v>0</v>
      </c>
      <c r="M553">
        <v>16.53</v>
      </c>
      <c r="N553">
        <v>0</v>
      </c>
      <c r="O553">
        <v>0.12</v>
      </c>
    </row>
    <row r="554" spans="1:15">
      <c r="A554" t="str">
        <f>"002025"</f>
        <v>002025</v>
      </c>
      <c r="B554" t="s">
        <v>583</v>
      </c>
      <c r="C554">
        <v>0.21</v>
      </c>
      <c r="D554">
        <v>63.53</v>
      </c>
      <c r="E554" t="s">
        <v>16</v>
      </c>
      <c r="F554" t="s">
        <v>16</v>
      </c>
      <c r="H554">
        <v>0.08</v>
      </c>
      <c r="I554">
        <v>-6.45</v>
      </c>
      <c r="J554">
        <v>-2.93</v>
      </c>
      <c r="L554">
        <v>-0.95</v>
      </c>
      <c r="M554">
        <v>325.93</v>
      </c>
      <c r="N554">
        <v>0.02</v>
      </c>
      <c r="O554">
        <v>0.58</v>
      </c>
    </row>
    <row r="555" spans="1:15">
      <c r="A555" t="str">
        <f>"002026"</f>
        <v>002026</v>
      </c>
      <c r="B555" t="s">
        <v>584</v>
      </c>
      <c r="C555">
        <v>0</v>
      </c>
      <c r="D555">
        <v>11.99</v>
      </c>
      <c r="E555" t="s">
        <v>16</v>
      </c>
      <c r="F555" t="s">
        <v>16</v>
      </c>
      <c r="H555">
        <v>-0.16</v>
      </c>
      <c r="I555">
        <v>-2.28</v>
      </c>
      <c r="J555">
        <v>-1.15</v>
      </c>
      <c r="L555">
        <v>-0.33</v>
      </c>
      <c r="M555">
        <v>19.36</v>
      </c>
      <c r="N555">
        <v>0.01</v>
      </c>
      <c r="O555">
        <v>1.38</v>
      </c>
    </row>
    <row r="556" spans="1:15">
      <c r="A556" t="str">
        <f>"002027"</f>
        <v>002027</v>
      </c>
      <c r="B556" t="s">
        <v>585</v>
      </c>
      <c r="C556">
        <v>-1.95</v>
      </c>
      <c r="D556">
        <v>5.02</v>
      </c>
      <c r="E556" t="s">
        <v>16</v>
      </c>
      <c r="F556" t="s">
        <v>16</v>
      </c>
      <c r="H556">
        <v>-0.19</v>
      </c>
      <c r="I556">
        <v>-7.72</v>
      </c>
      <c r="J556">
        <v>-2.14</v>
      </c>
      <c r="L556">
        <v>-0.2</v>
      </c>
      <c r="M556">
        <v>197.5</v>
      </c>
      <c r="N556">
        <v>0</v>
      </c>
      <c r="O556">
        <v>0.79</v>
      </c>
    </row>
    <row r="557" spans="1:15">
      <c r="A557" t="str">
        <f>"002028"</f>
        <v>002028</v>
      </c>
      <c r="B557" t="s">
        <v>586</v>
      </c>
      <c r="C557">
        <v>1.75</v>
      </c>
      <c r="D557">
        <v>190.2</v>
      </c>
      <c r="E557" t="s">
        <v>16</v>
      </c>
      <c r="F557" t="s">
        <v>16</v>
      </c>
      <c r="H557">
        <v>-0.17</v>
      </c>
      <c r="I557">
        <v>-1.35</v>
      </c>
      <c r="J557">
        <v>-3.88</v>
      </c>
      <c r="L557">
        <v>1.11</v>
      </c>
      <c r="M557">
        <v>2526.93</v>
      </c>
      <c r="N557">
        <v>0.02</v>
      </c>
      <c r="O557">
        <v>0.5</v>
      </c>
    </row>
    <row r="558" spans="1:15">
      <c r="A558" t="str">
        <f>"002029"</f>
        <v>002029</v>
      </c>
      <c r="B558" t="s">
        <v>587</v>
      </c>
      <c r="C558">
        <v>4.92</v>
      </c>
      <c r="D558">
        <v>8.75</v>
      </c>
      <c r="E558" t="s">
        <v>16</v>
      </c>
      <c r="F558" t="s">
        <v>16</v>
      </c>
      <c r="H558">
        <v>0</v>
      </c>
      <c r="I558">
        <v>6.32</v>
      </c>
      <c r="J558">
        <v>-3.63</v>
      </c>
      <c r="L558">
        <v>0</v>
      </c>
      <c r="M558">
        <v>55.21</v>
      </c>
      <c r="N558">
        <v>0.02</v>
      </c>
      <c r="O558">
        <v>0.71</v>
      </c>
    </row>
    <row r="559" spans="1:15">
      <c r="A559" t="str">
        <f>"002030"</f>
        <v>002030</v>
      </c>
      <c r="B559" t="s">
        <v>588</v>
      </c>
      <c r="C559">
        <v>2.02</v>
      </c>
      <c r="D559">
        <v>5.55</v>
      </c>
      <c r="E559" t="s">
        <v>16</v>
      </c>
      <c r="F559" t="s">
        <v>16</v>
      </c>
      <c r="H559">
        <v>0.18</v>
      </c>
      <c r="I559">
        <v>-9.76</v>
      </c>
      <c r="J559">
        <v>-2.63</v>
      </c>
      <c r="L559">
        <v>-0.55</v>
      </c>
      <c r="M559">
        <v>64.87</v>
      </c>
      <c r="N559">
        <v>0.01</v>
      </c>
      <c r="O559">
        <v>0.86</v>
      </c>
    </row>
    <row r="560" spans="1:15">
      <c r="A560" t="str">
        <f>"002031"</f>
        <v>002031</v>
      </c>
      <c r="B560" t="s">
        <v>589</v>
      </c>
      <c r="C560">
        <v>0.18</v>
      </c>
      <c r="D560">
        <v>5.72</v>
      </c>
      <c r="E560" t="s">
        <v>16</v>
      </c>
      <c r="F560" t="s">
        <v>16</v>
      </c>
      <c r="H560">
        <v>0</v>
      </c>
      <c r="I560">
        <v>-11.32</v>
      </c>
      <c r="J560">
        <v>-1.38</v>
      </c>
      <c r="L560">
        <v>-0.88</v>
      </c>
      <c r="M560">
        <v>96.39</v>
      </c>
      <c r="N560">
        <v>0.01</v>
      </c>
      <c r="O560">
        <v>0.54</v>
      </c>
    </row>
    <row r="561" spans="1:15">
      <c r="A561" t="str">
        <f>"002032"</f>
        <v>002032</v>
      </c>
      <c r="B561" t="s">
        <v>590</v>
      </c>
      <c r="C561">
        <v>-1.56</v>
      </c>
      <c r="D561">
        <v>41.03</v>
      </c>
      <c r="E561" t="s">
        <v>16</v>
      </c>
      <c r="F561" t="s">
        <v>16</v>
      </c>
      <c r="H561">
        <v>-0.16</v>
      </c>
      <c r="I561">
        <v>-9.74</v>
      </c>
      <c r="J561">
        <v>-2.19</v>
      </c>
      <c r="L561">
        <v>0.29</v>
      </c>
      <c r="M561">
        <v>10.03</v>
      </c>
      <c r="N561">
        <v>0</v>
      </c>
      <c r="O561">
        <v>0.42</v>
      </c>
    </row>
    <row r="562" spans="1:15">
      <c r="A562" t="str">
        <f>"002033"</f>
        <v>002033</v>
      </c>
      <c r="B562" t="s">
        <v>591</v>
      </c>
      <c r="C562">
        <v>0.12</v>
      </c>
      <c r="D562">
        <v>8.44</v>
      </c>
      <c r="E562" t="s">
        <v>16</v>
      </c>
      <c r="F562" t="s">
        <v>16</v>
      </c>
      <c r="H562">
        <v>0.12</v>
      </c>
      <c r="I562">
        <v>-2.76</v>
      </c>
      <c r="J562">
        <v>-0.59</v>
      </c>
      <c r="L562">
        <v>-0.36</v>
      </c>
      <c r="M562">
        <v>35.7</v>
      </c>
      <c r="N562">
        <v>0.01</v>
      </c>
      <c r="O562">
        <v>2.3</v>
      </c>
    </row>
    <row r="563" spans="1:15">
      <c r="A563" t="str">
        <f>"002034"</f>
        <v>002034</v>
      </c>
      <c r="B563" t="s">
        <v>592</v>
      </c>
      <c r="C563">
        <v>-1.78</v>
      </c>
      <c r="D563">
        <v>17.14</v>
      </c>
      <c r="E563" t="s">
        <v>16</v>
      </c>
      <c r="F563" t="s">
        <v>16</v>
      </c>
      <c r="H563">
        <v>0</v>
      </c>
      <c r="I563">
        <v>-12.37</v>
      </c>
      <c r="J563">
        <v>-2.34</v>
      </c>
      <c r="L563">
        <v>0.57</v>
      </c>
      <c r="M563">
        <v>47.91</v>
      </c>
      <c r="N563">
        <v>0.01</v>
      </c>
      <c r="O563">
        <v>2.22</v>
      </c>
    </row>
    <row r="564" spans="1:15">
      <c r="A564" t="str">
        <f>"002035"</f>
        <v>002035</v>
      </c>
      <c r="B564" t="s">
        <v>593</v>
      </c>
      <c r="C564">
        <v>-0.21</v>
      </c>
      <c r="D564">
        <v>4.75</v>
      </c>
      <c r="E564" t="s">
        <v>16</v>
      </c>
      <c r="F564" t="s">
        <v>16</v>
      </c>
      <c r="H564">
        <v>0</v>
      </c>
      <c r="I564">
        <v>-2.86</v>
      </c>
      <c r="J564">
        <v>-1.04</v>
      </c>
      <c r="L564">
        <v>0.21</v>
      </c>
      <c r="M564">
        <v>32.72</v>
      </c>
      <c r="N564">
        <v>0.01</v>
      </c>
      <c r="O564">
        <v>2.37</v>
      </c>
    </row>
    <row r="565" spans="1:15">
      <c r="A565" t="str">
        <f>"002036"</f>
        <v>002036</v>
      </c>
      <c r="B565" t="s">
        <v>594</v>
      </c>
      <c r="C565">
        <v>-1.03</v>
      </c>
      <c r="D565">
        <v>8.61</v>
      </c>
      <c r="E565" t="s">
        <v>16</v>
      </c>
      <c r="F565" t="s">
        <v>16</v>
      </c>
      <c r="H565">
        <v>-0.11</v>
      </c>
      <c r="I565">
        <v>-2.71</v>
      </c>
      <c r="J565">
        <v>-0.58</v>
      </c>
      <c r="L565">
        <v>-1.03</v>
      </c>
      <c r="M565">
        <v>283.96</v>
      </c>
      <c r="N565">
        <v>0.03</v>
      </c>
      <c r="O565">
        <v>0.87</v>
      </c>
    </row>
    <row r="566" spans="1:15">
      <c r="A566" t="str">
        <f>"002037"</f>
        <v>002037</v>
      </c>
      <c r="B566" t="s">
        <v>595</v>
      </c>
      <c r="C566">
        <v>0.46</v>
      </c>
      <c r="D566">
        <v>6.62</v>
      </c>
      <c r="E566" t="s">
        <v>16</v>
      </c>
      <c r="F566" t="s">
        <v>16</v>
      </c>
      <c r="H566">
        <v>0.15</v>
      </c>
      <c r="I566">
        <v>-6.23</v>
      </c>
      <c r="J566">
        <v>-1.49</v>
      </c>
      <c r="L566">
        <v>-1.06</v>
      </c>
      <c r="M566">
        <v>12.45</v>
      </c>
      <c r="N566">
        <v>0.01</v>
      </c>
      <c r="O566">
        <v>5.79</v>
      </c>
    </row>
    <row r="567" spans="1:15">
      <c r="A567" t="str">
        <f>"002038"</f>
        <v>002038</v>
      </c>
      <c r="B567" t="s">
        <v>596</v>
      </c>
      <c r="C567">
        <v>0.99</v>
      </c>
      <c r="D567">
        <v>5.08</v>
      </c>
      <c r="E567" t="s">
        <v>16</v>
      </c>
      <c r="F567" t="s">
        <v>16</v>
      </c>
      <c r="H567">
        <v>-0.19</v>
      </c>
      <c r="I567">
        <v>-9.29</v>
      </c>
      <c r="J567">
        <v>-1.74</v>
      </c>
      <c r="L567">
        <v>-0.6</v>
      </c>
      <c r="M567">
        <v>39.6</v>
      </c>
      <c r="N567">
        <v>0.01</v>
      </c>
      <c r="O567">
        <v>2.54</v>
      </c>
    </row>
    <row r="568" spans="1:15">
      <c r="A568" t="str">
        <f>"002039"</f>
        <v>002039</v>
      </c>
      <c r="B568" t="s">
        <v>597</v>
      </c>
      <c r="C568">
        <v>-3.04</v>
      </c>
      <c r="D568">
        <v>19.79</v>
      </c>
      <c r="E568" t="s">
        <v>16</v>
      </c>
      <c r="F568" t="s">
        <v>16</v>
      </c>
      <c r="H568">
        <v>-0.04</v>
      </c>
      <c r="I568">
        <v>-8.51</v>
      </c>
      <c r="J568">
        <v>-2.8</v>
      </c>
      <c r="L568">
        <v>-0.24</v>
      </c>
      <c r="M568">
        <v>112.39</v>
      </c>
      <c r="N568">
        <v>0.02</v>
      </c>
      <c r="O568">
        <v>1.55</v>
      </c>
    </row>
    <row r="569" spans="1:15">
      <c r="A569" t="str">
        <f>"002040"</f>
        <v>002040</v>
      </c>
      <c r="B569" t="s">
        <v>598</v>
      </c>
      <c r="C569">
        <v>-2.68</v>
      </c>
      <c r="D569">
        <v>8.35</v>
      </c>
      <c r="E569" t="s">
        <v>16</v>
      </c>
      <c r="F569" t="s">
        <v>16</v>
      </c>
      <c r="H569">
        <v>-0.23</v>
      </c>
      <c r="I569">
        <v>-5.11</v>
      </c>
      <c r="J569">
        <v>-4.02</v>
      </c>
      <c r="K569" t="s">
        <v>57</v>
      </c>
      <c r="L569">
        <v>0.93</v>
      </c>
      <c r="M569">
        <v>196.93</v>
      </c>
      <c r="N569">
        <v>0.14</v>
      </c>
      <c r="O569">
        <v>1.06</v>
      </c>
    </row>
    <row r="570" spans="1:15">
      <c r="A570" t="str">
        <f>"002041"</f>
        <v>002041</v>
      </c>
      <c r="B570" t="s">
        <v>599</v>
      </c>
      <c r="C570">
        <v>1.18</v>
      </c>
      <c r="D570">
        <v>8.57</v>
      </c>
      <c r="E570" t="s">
        <v>16</v>
      </c>
      <c r="F570" t="s">
        <v>16</v>
      </c>
      <c r="H570">
        <v>-0.11</v>
      </c>
      <c r="I570">
        <v>0.94</v>
      </c>
      <c r="J570">
        <v>-1.27</v>
      </c>
      <c r="L570">
        <v>0.35</v>
      </c>
      <c r="M570">
        <v>25.5</v>
      </c>
      <c r="N570">
        <v>0.01</v>
      </c>
      <c r="O570">
        <v>2.86</v>
      </c>
    </row>
    <row r="571" spans="1:15">
      <c r="A571" t="str">
        <f>"002042"</f>
        <v>002042</v>
      </c>
      <c r="B571" t="s">
        <v>600</v>
      </c>
      <c r="C571">
        <v>1.35</v>
      </c>
      <c r="D571">
        <v>3.75</v>
      </c>
      <c r="E571" t="s">
        <v>16</v>
      </c>
      <c r="F571" t="s">
        <v>16</v>
      </c>
      <c r="H571">
        <v>0.27</v>
      </c>
      <c r="I571">
        <v>-2.34</v>
      </c>
      <c r="J571">
        <v>-1.32</v>
      </c>
      <c r="L571">
        <v>-0.27</v>
      </c>
      <c r="M571">
        <v>33.62</v>
      </c>
      <c r="N571">
        <v>0.01</v>
      </c>
      <c r="O571">
        <v>1.11</v>
      </c>
    </row>
    <row r="572" spans="1:15">
      <c r="A572" t="str">
        <f>"002043"</f>
        <v>002043</v>
      </c>
      <c r="B572" t="s">
        <v>601</v>
      </c>
      <c r="C572">
        <v>-1.39</v>
      </c>
      <c r="D572">
        <v>12.07</v>
      </c>
      <c r="E572" t="s">
        <v>16</v>
      </c>
      <c r="F572" t="s">
        <v>16</v>
      </c>
      <c r="H572">
        <v>-0.24</v>
      </c>
      <c r="I572">
        <v>-2.27</v>
      </c>
      <c r="J572">
        <v>-1.87</v>
      </c>
      <c r="L572">
        <v>-1.06</v>
      </c>
      <c r="M572">
        <v>7.75</v>
      </c>
      <c r="N572">
        <v>0</v>
      </c>
      <c r="O572">
        <v>0.42</v>
      </c>
    </row>
    <row r="573" spans="1:15">
      <c r="A573" t="str">
        <f>"002044"</f>
        <v>002044</v>
      </c>
      <c r="B573" t="s">
        <v>602</v>
      </c>
      <c r="C573">
        <v>7.07</v>
      </c>
      <c r="D573">
        <v>5.6</v>
      </c>
      <c r="E573" t="s">
        <v>16</v>
      </c>
      <c r="F573" t="s">
        <v>16</v>
      </c>
      <c r="H573">
        <v>-0.35</v>
      </c>
      <c r="I573">
        <v>2.19</v>
      </c>
      <c r="J573">
        <v>-2.61</v>
      </c>
      <c r="L573">
        <v>0</v>
      </c>
      <c r="M573">
        <v>300.57</v>
      </c>
      <c r="N573">
        <v>0.02</v>
      </c>
      <c r="O573">
        <v>2.31</v>
      </c>
    </row>
    <row r="574" spans="1:15">
      <c r="A574" t="str">
        <f>"002045"</f>
        <v>002045</v>
      </c>
      <c r="B574" t="s">
        <v>603</v>
      </c>
      <c r="C574">
        <v>-0.35</v>
      </c>
      <c r="D574">
        <v>8.61</v>
      </c>
      <c r="E574" t="s">
        <v>16</v>
      </c>
      <c r="F574" t="s">
        <v>16</v>
      </c>
      <c r="H574">
        <v>-0.11</v>
      </c>
      <c r="I574">
        <v>-4.65</v>
      </c>
      <c r="J574">
        <v>-2.05</v>
      </c>
      <c r="L574">
        <v>-0.58</v>
      </c>
      <c r="M574">
        <v>36.51</v>
      </c>
      <c r="N574">
        <v>0.01</v>
      </c>
      <c r="O574">
        <v>1.23</v>
      </c>
    </row>
    <row r="575" spans="1:15">
      <c r="A575" t="str">
        <f>"002046"</f>
        <v>002046</v>
      </c>
      <c r="B575" t="s">
        <v>604</v>
      </c>
      <c r="C575">
        <v>2.71</v>
      </c>
      <c r="D575">
        <v>63.69</v>
      </c>
      <c r="E575" t="s">
        <v>16</v>
      </c>
      <c r="F575" t="s">
        <v>16</v>
      </c>
      <c r="H575">
        <v>0.03</v>
      </c>
      <c r="I575">
        <v>13.77</v>
      </c>
      <c r="J575">
        <v>-3.79</v>
      </c>
      <c r="L575">
        <v>-0.02</v>
      </c>
      <c r="M575">
        <v>349.68</v>
      </c>
      <c r="N575">
        <v>0.02</v>
      </c>
      <c r="O575">
        <v>1.26</v>
      </c>
    </row>
    <row r="576" spans="1:15">
      <c r="A576" t="str">
        <f>"002047"</f>
        <v>002047</v>
      </c>
      <c r="B576" t="s">
        <v>605</v>
      </c>
      <c r="C576">
        <v>-4.23</v>
      </c>
      <c r="D576">
        <v>4.53</v>
      </c>
      <c r="E576" t="s">
        <v>16</v>
      </c>
      <c r="F576" t="s">
        <v>16</v>
      </c>
      <c r="H576">
        <v>0</v>
      </c>
      <c r="I576">
        <v>-3.41</v>
      </c>
      <c r="J576">
        <v>-3.82</v>
      </c>
      <c r="K576" t="s">
        <v>26</v>
      </c>
      <c r="L576">
        <v>-0.63</v>
      </c>
      <c r="M576">
        <v>885.39</v>
      </c>
      <c r="N576">
        <v>0.19</v>
      </c>
      <c r="O576">
        <v>0.44</v>
      </c>
    </row>
    <row r="577" spans="1:15">
      <c r="A577" t="str">
        <f>"002048"</f>
        <v>002048</v>
      </c>
      <c r="B577" t="s">
        <v>606</v>
      </c>
      <c r="C577">
        <v>-2.66</v>
      </c>
      <c r="D577">
        <v>27.06</v>
      </c>
      <c r="E577" t="s">
        <v>16</v>
      </c>
      <c r="F577" t="s">
        <v>16</v>
      </c>
      <c r="H577">
        <v>0.15</v>
      </c>
      <c r="I577">
        <v>6.96</v>
      </c>
      <c r="J577">
        <v>-5.98</v>
      </c>
      <c r="L577">
        <v>-0.97</v>
      </c>
      <c r="M577">
        <v>95.8</v>
      </c>
      <c r="N577">
        <v>0.01</v>
      </c>
      <c r="O577">
        <v>0.81</v>
      </c>
    </row>
    <row r="578" spans="1:15">
      <c r="A578" t="str">
        <f>"002049"</f>
        <v>002049</v>
      </c>
      <c r="B578" t="s">
        <v>607</v>
      </c>
      <c r="C578">
        <v>0.49</v>
      </c>
      <c r="D578">
        <v>80.39</v>
      </c>
      <c r="E578" t="s">
        <v>16</v>
      </c>
      <c r="F578" t="s">
        <v>16</v>
      </c>
      <c r="H578">
        <v>-0.03</v>
      </c>
      <c r="I578">
        <v>4.04</v>
      </c>
      <c r="J578">
        <v>-1.82</v>
      </c>
      <c r="L578">
        <v>-0.12</v>
      </c>
      <c r="M578">
        <v>1738.62</v>
      </c>
      <c r="N578">
        <v>0.03</v>
      </c>
      <c r="O578">
        <v>0.9</v>
      </c>
    </row>
    <row r="579" spans="1:15">
      <c r="A579" t="str">
        <f>"002050"</f>
        <v>002050</v>
      </c>
      <c r="B579" t="s">
        <v>608</v>
      </c>
      <c r="C579">
        <v>2.56</v>
      </c>
      <c r="D579">
        <v>45.74</v>
      </c>
      <c r="E579" t="s">
        <v>16</v>
      </c>
      <c r="F579" t="s">
        <v>16</v>
      </c>
      <c r="H579">
        <v>-0.01</v>
      </c>
      <c r="I579">
        <v>-2.7</v>
      </c>
      <c r="J579">
        <v>-1.06</v>
      </c>
      <c r="L579">
        <v>-0.67</v>
      </c>
      <c r="M579">
        <v>580.33</v>
      </c>
      <c r="N579">
        <v>0.01</v>
      </c>
      <c r="O579">
        <v>0.48</v>
      </c>
    </row>
    <row r="580" spans="1:15">
      <c r="A580" t="str">
        <f>"002051"</f>
        <v>002051</v>
      </c>
      <c r="B580" t="s">
        <v>609</v>
      </c>
      <c r="C580">
        <v>-2</v>
      </c>
      <c r="D580">
        <v>12.25</v>
      </c>
      <c r="E580" t="s">
        <v>16</v>
      </c>
      <c r="F580" t="s">
        <v>16</v>
      </c>
      <c r="H580">
        <v>-0.32</v>
      </c>
      <c r="I580">
        <v>1.91</v>
      </c>
      <c r="J580">
        <v>-3.31</v>
      </c>
      <c r="K580" t="s">
        <v>610</v>
      </c>
      <c r="L580">
        <v>-0.48</v>
      </c>
      <c r="M580">
        <v>3667.19</v>
      </c>
      <c r="N580">
        <v>0.67</v>
      </c>
      <c r="O580">
        <v>0.79</v>
      </c>
    </row>
    <row r="581" spans="1:15">
      <c r="A581" t="str">
        <f>"002052"</f>
        <v>002052</v>
      </c>
      <c r="B581" t="s">
        <v>611</v>
      </c>
      <c r="C581">
        <v>-5.38</v>
      </c>
      <c r="D581">
        <v>8.45</v>
      </c>
      <c r="E581" t="s">
        <v>16</v>
      </c>
      <c r="F581" t="s">
        <v>16</v>
      </c>
      <c r="H581">
        <v>0.12</v>
      </c>
      <c r="I581">
        <v>-8.75</v>
      </c>
      <c r="J581">
        <v>-5.38</v>
      </c>
      <c r="L581">
        <v>0</v>
      </c>
      <c r="M581">
        <v>7.86</v>
      </c>
      <c r="N581">
        <v>0</v>
      </c>
      <c r="O581">
        <v>2.75</v>
      </c>
    </row>
    <row r="582" spans="1:15">
      <c r="A582" t="str">
        <f>"002053"</f>
        <v>002053</v>
      </c>
      <c r="B582" t="s">
        <v>612</v>
      </c>
      <c r="C582">
        <v>-3.16</v>
      </c>
      <c r="D582">
        <v>9.8</v>
      </c>
      <c r="E582" t="s">
        <v>16</v>
      </c>
      <c r="F582" t="s">
        <v>16</v>
      </c>
      <c r="H582">
        <v>-0.09</v>
      </c>
      <c r="I582">
        <v>-19.41</v>
      </c>
      <c r="J582">
        <v>-2.49</v>
      </c>
      <c r="L582">
        <v>-1.09</v>
      </c>
      <c r="M582">
        <v>34.33</v>
      </c>
      <c r="N582">
        <v>0.01</v>
      </c>
      <c r="O582">
        <v>3.21</v>
      </c>
    </row>
    <row r="583" spans="1:15">
      <c r="A583" t="str">
        <f>"002054"</f>
        <v>002054</v>
      </c>
      <c r="B583" t="s">
        <v>613</v>
      </c>
      <c r="C583">
        <v>-0.81</v>
      </c>
      <c r="D583">
        <v>7.32</v>
      </c>
      <c r="E583" t="s">
        <v>16</v>
      </c>
      <c r="F583" t="s">
        <v>16</v>
      </c>
      <c r="H583">
        <v>0.14</v>
      </c>
      <c r="I583">
        <v>-3.68</v>
      </c>
      <c r="J583">
        <v>-2.27</v>
      </c>
      <c r="L583">
        <v>0</v>
      </c>
      <c r="M583">
        <v>8.93</v>
      </c>
      <c r="N583">
        <v>0</v>
      </c>
      <c r="O583">
        <v>1.2</v>
      </c>
    </row>
    <row r="584" spans="1:15">
      <c r="A584" t="str">
        <f>"002055"</f>
        <v>002055</v>
      </c>
      <c r="B584" t="s">
        <v>614</v>
      </c>
      <c r="C584">
        <v>2.46</v>
      </c>
      <c r="D584">
        <v>6.66</v>
      </c>
      <c r="E584" t="s">
        <v>16</v>
      </c>
      <c r="F584" t="s">
        <v>16</v>
      </c>
      <c r="H584">
        <v>-0.14</v>
      </c>
      <c r="I584">
        <v>-0.89</v>
      </c>
      <c r="J584">
        <v>-2.49</v>
      </c>
      <c r="K584" t="s">
        <v>220</v>
      </c>
      <c r="L584">
        <v>-0.31</v>
      </c>
      <c r="M584">
        <v>189.54</v>
      </c>
      <c r="N584">
        <v>0.05</v>
      </c>
      <c r="O584">
        <v>0.16</v>
      </c>
    </row>
    <row r="585" spans="1:15">
      <c r="A585" t="str">
        <f>"002056"</f>
        <v>002056</v>
      </c>
      <c r="B585" t="s">
        <v>615</v>
      </c>
      <c r="C585">
        <v>5.44</v>
      </c>
      <c r="D585">
        <v>27.13</v>
      </c>
      <c r="E585" t="s">
        <v>16</v>
      </c>
      <c r="F585" t="s">
        <v>16</v>
      </c>
      <c r="H585">
        <v>0</v>
      </c>
      <c r="I585">
        <v>-5.86</v>
      </c>
      <c r="J585">
        <v>-2.69</v>
      </c>
      <c r="L585">
        <v>-0.47</v>
      </c>
      <c r="M585">
        <v>1474.11</v>
      </c>
      <c r="N585">
        <v>0.07</v>
      </c>
      <c r="O585">
        <v>1.31</v>
      </c>
    </row>
    <row r="586" spans="1:15">
      <c r="A586" t="str">
        <f>"002057"</f>
        <v>002057</v>
      </c>
      <c r="B586" t="s">
        <v>616</v>
      </c>
      <c r="C586">
        <v>2.53</v>
      </c>
      <c r="D586">
        <v>12.18</v>
      </c>
      <c r="E586" t="s">
        <v>16</v>
      </c>
      <c r="F586" t="s">
        <v>16</v>
      </c>
      <c r="H586">
        <v>-0.15</v>
      </c>
      <c r="I586">
        <v>24.03</v>
      </c>
      <c r="J586">
        <v>-1.69</v>
      </c>
      <c r="L586">
        <v>-0.17</v>
      </c>
      <c r="M586">
        <v>269.7</v>
      </c>
      <c r="N586">
        <v>0.05</v>
      </c>
      <c r="O586">
        <v>0.48</v>
      </c>
    </row>
    <row r="587" spans="1:15">
      <c r="A587" t="str">
        <f>"002058"</f>
        <v>002058</v>
      </c>
      <c r="B587" t="s">
        <v>617</v>
      </c>
      <c r="C587">
        <v>-5.23</v>
      </c>
      <c r="D587">
        <v>22.31</v>
      </c>
      <c r="E587" t="s">
        <v>16</v>
      </c>
      <c r="F587" t="s">
        <v>16</v>
      </c>
      <c r="H587">
        <v>0.04</v>
      </c>
      <c r="I587">
        <v>-7.81</v>
      </c>
      <c r="J587">
        <v>-5.43</v>
      </c>
      <c r="K587" t="s">
        <v>26</v>
      </c>
      <c r="L587">
        <v>-0.08</v>
      </c>
      <c r="M587">
        <v>95.96</v>
      </c>
      <c r="N587">
        <v>0.05</v>
      </c>
      <c r="O587">
        <v>0.76</v>
      </c>
    </row>
    <row r="588" spans="1:15">
      <c r="A588" t="str">
        <f>"002059"</f>
        <v>002059</v>
      </c>
      <c r="B588" t="s">
        <v>618</v>
      </c>
      <c r="C588">
        <v>-3.2</v>
      </c>
      <c r="D588">
        <v>4.24</v>
      </c>
      <c r="E588" t="s">
        <v>16</v>
      </c>
      <c r="F588" t="s">
        <v>16</v>
      </c>
      <c r="H588">
        <v>-0.23</v>
      </c>
      <c r="I588">
        <v>-3.64</v>
      </c>
      <c r="J588">
        <v>-3.2</v>
      </c>
      <c r="L588">
        <v>-0.68</v>
      </c>
      <c r="M588">
        <v>14.53</v>
      </c>
      <c r="N588">
        <v>0.01</v>
      </c>
      <c r="O588">
        <v>1.09</v>
      </c>
    </row>
    <row r="589" spans="1:15">
      <c r="A589" t="str">
        <f>"002060"</f>
        <v>002060</v>
      </c>
      <c r="B589" t="s">
        <v>619</v>
      </c>
      <c r="C589">
        <v>-1.23</v>
      </c>
      <c r="D589">
        <v>3.22</v>
      </c>
      <c r="E589" t="s">
        <v>16</v>
      </c>
      <c r="F589" t="s">
        <v>16</v>
      </c>
      <c r="H589">
        <v>0.31</v>
      </c>
      <c r="I589">
        <v>-10.31</v>
      </c>
      <c r="J589">
        <v>-0.92</v>
      </c>
      <c r="L589">
        <v>-0.31</v>
      </c>
      <c r="M589">
        <v>30.91</v>
      </c>
      <c r="N589">
        <v>0.01</v>
      </c>
      <c r="O589">
        <v>10.57</v>
      </c>
    </row>
    <row r="590" spans="1:15">
      <c r="A590" t="str">
        <f>"002061"</f>
        <v>002061</v>
      </c>
      <c r="B590" t="s">
        <v>620</v>
      </c>
      <c r="C590">
        <v>-1.98</v>
      </c>
      <c r="D590">
        <v>3.46</v>
      </c>
      <c r="E590" t="s">
        <v>16</v>
      </c>
      <c r="F590" t="s">
        <v>16</v>
      </c>
      <c r="H590">
        <v>-0.56</v>
      </c>
      <c r="I590">
        <v>-1.42</v>
      </c>
      <c r="J590">
        <v>-1.98</v>
      </c>
      <c r="L590">
        <v>0</v>
      </c>
      <c r="M590">
        <v>3.57</v>
      </c>
      <c r="N590">
        <v>0</v>
      </c>
      <c r="O590">
        <v>0.14</v>
      </c>
    </row>
    <row r="591" spans="1:15">
      <c r="A591" t="str">
        <f>"002062"</f>
        <v>002062</v>
      </c>
      <c r="B591" t="s">
        <v>621</v>
      </c>
      <c r="C591">
        <v>0.38</v>
      </c>
      <c r="D591">
        <v>8.01</v>
      </c>
      <c r="E591" t="s">
        <v>16</v>
      </c>
      <c r="F591" t="s">
        <v>16</v>
      </c>
      <c r="H591">
        <v>0.13</v>
      </c>
      <c r="I591">
        <v>0.13</v>
      </c>
      <c r="J591">
        <v>-4.07</v>
      </c>
      <c r="L591">
        <v>0.13</v>
      </c>
      <c r="M591">
        <v>43.47</v>
      </c>
      <c r="N591">
        <v>0.01</v>
      </c>
      <c r="O591">
        <v>1.49</v>
      </c>
    </row>
    <row r="592" spans="1:15">
      <c r="A592" t="str">
        <f>"002063"</f>
        <v>002063</v>
      </c>
      <c r="B592" t="s">
        <v>622</v>
      </c>
      <c r="C592">
        <v>-0.57</v>
      </c>
      <c r="D592">
        <v>5.26</v>
      </c>
      <c r="E592" t="s">
        <v>16</v>
      </c>
      <c r="F592" t="s">
        <v>16</v>
      </c>
      <c r="H592">
        <v>-0.18</v>
      </c>
      <c r="I592">
        <v>-7.39</v>
      </c>
      <c r="J592">
        <v>-1.31</v>
      </c>
      <c r="L592">
        <v>-0.38</v>
      </c>
      <c r="M592">
        <v>17.46</v>
      </c>
      <c r="N592">
        <v>0</v>
      </c>
      <c r="O592">
        <v>0.67</v>
      </c>
    </row>
    <row r="593" spans="1:15">
      <c r="A593" t="str">
        <f>"002064"</f>
        <v>002064</v>
      </c>
      <c r="B593" t="s">
        <v>623</v>
      </c>
      <c r="C593">
        <v>-9.87</v>
      </c>
      <c r="D593">
        <v>9.5</v>
      </c>
      <c r="E593" t="s">
        <v>16</v>
      </c>
      <c r="F593" t="s">
        <v>16</v>
      </c>
      <c r="H593">
        <v>0</v>
      </c>
      <c r="I593">
        <v>-4.62</v>
      </c>
      <c r="J593">
        <v>-9.35</v>
      </c>
      <c r="L593">
        <v>-0.57</v>
      </c>
      <c r="M593">
        <v>88.56</v>
      </c>
      <c r="N593">
        <v>0.01</v>
      </c>
      <c r="O593">
        <v>1.15</v>
      </c>
    </row>
    <row r="594" spans="1:15">
      <c r="A594" t="str">
        <f>"002065"</f>
        <v>002065</v>
      </c>
      <c r="B594" t="s">
        <v>624</v>
      </c>
      <c r="C594">
        <v>-0.81</v>
      </c>
      <c r="D594">
        <v>7.31</v>
      </c>
      <c r="E594" t="s">
        <v>16</v>
      </c>
      <c r="F594" t="s">
        <v>16</v>
      </c>
      <c r="H594">
        <v>-0.13</v>
      </c>
      <c r="I594">
        <v>0.41</v>
      </c>
      <c r="J594">
        <v>-1.35</v>
      </c>
      <c r="L594">
        <v>-0.95</v>
      </c>
      <c r="M594">
        <v>126</v>
      </c>
      <c r="N594">
        <v>0.01</v>
      </c>
      <c r="O594">
        <v>2.52</v>
      </c>
    </row>
    <row r="595" spans="1:15">
      <c r="A595" t="str">
        <f>"002066"</f>
        <v>002066</v>
      </c>
      <c r="B595" t="s">
        <v>625</v>
      </c>
      <c r="C595">
        <v>-5.37</v>
      </c>
      <c r="D595">
        <v>21.84</v>
      </c>
      <c r="E595" t="s">
        <v>16</v>
      </c>
      <c r="F595" t="s">
        <v>16</v>
      </c>
      <c r="H595">
        <v>-0.54</v>
      </c>
      <c r="I595">
        <v>-7.93</v>
      </c>
      <c r="J595">
        <v>-7.93</v>
      </c>
      <c r="L595">
        <v>0.61</v>
      </c>
      <c r="M595">
        <v>938.55</v>
      </c>
      <c r="N595">
        <v>0.29</v>
      </c>
      <c r="O595">
        <v>9.4</v>
      </c>
    </row>
    <row r="596" spans="1:15">
      <c r="A596" t="str">
        <f>"002067"</f>
        <v>002067</v>
      </c>
      <c r="B596" t="s">
        <v>626</v>
      </c>
      <c r="C596">
        <v>-1.46</v>
      </c>
      <c r="D596">
        <v>4.04</v>
      </c>
      <c r="E596" t="s">
        <v>16</v>
      </c>
      <c r="F596" t="s">
        <v>16</v>
      </c>
      <c r="H596">
        <v>-0.24</v>
      </c>
      <c r="I596">
        <v>-13.86</v>
      </c>
      <c r="J596">
        <v>-2.18</v>
      </c>
      <c r="L596">
        <v>0</v>
      </c>
      <c r="M596">
        <v>29.56</v>
      </c>
      <c r="N596">
        <v>0.01</v>
      </c>
      <c r="O596">
        <v>0.91</v>
      </c>
    </row>
    <row r="597" spans="1:15">
      <c r="A597" t="str">
        <f>"002068"</f>
        <v>002068</v>
      </c>
      <c r="B597" t="s">
        <v>627</v>
      </c>
      <c r="C597">
        <v>10</v>
      </c>
      <c r="D597">
        <v>10.45</v>
      </c>
      <c r="E597">
        <v>11468.67</v>
      </c>
      <c r="F597">
        <v>1</v>
      </c>
      <c r="H597">
        <v>0</v>
      </c>
      <c r="I597">
        <v>-1.79</v>
      </c>
      <c r="J597">
        <v>0</v>
      </c>
      <c r="K597" t="s">
        <v>140</v>
      </c>
      <c r="L597">
        <v>-1.16</v>
      </c>
      <c r="M597">
        <v>153.34</v>
      </c>
      <c r="N597">
        <v>0.04</v>
      </c>
      <c r="O597">
        <v>0.9</v>
      </c>
    </row>
    <row r="598" spans="1:15">
      <c r="A598" t="str">
        <f>"002069"</f>
        <v>002069</v>
      </c>
      <c r="B598" t="s">
        <v>628</v>
      </c>
      <c r="C598">
        <v>-0.32</v>
      </c>
      <c r="D598">
        <v>3.1</v>
      </c>
      <c r="E598" t="s">
        <v>16</v>
      </c>
      <c r="F598" t="s">
        <v>16</v>
      </c>
      <c r="H598">
        <v>0.32</v>
      </c>
      <c r="I598">
        <v>-8.28</v>
      </c>
      <c r="J598">
        <v>-0.96</v>
      </c>
      <c r="L598">
        <v>0</v>
      </c>
      <c r="M598">
        <v>13.56</v>
      </c>
      <c r="N598">
        <v>0.01</v>
      </c>
      <c r="O598">
        <v>2.95</v>
      </c>
    </row>
    <row r="599" spans="1:15">
      <c r="A599" t="str">
        <f>"002072"</f>
        <v>002072</v>
      </c>
      <c r="B599" t="s">
        <v>629</v>
      </c>
      <c r="C599">
        <v>1.63</v>
      </c>
      <c r="D599">
        <v>9.33</v>
      </c>
      <c r="E599" t="s">
        <v>16</v>
      </c>
      <c r="F599" t="s">
        <v>16</v>
      </c>
      <c r="H599">
        <v>0.11</v>
      </c>
      <c r="I599">
        <v>3.78</v>
      </c>
      <c r="J599">
        <v>-1.27</v>
      </c>
      <c r="L599">
        <v>-1.96</v>
      </c>
      <c r="M599">
        <v>579.33</v>
      </c>
      <c r="N599">
        <v>0.34</v>
      </c>
      <c r="O599">
        <v>11.94</v>
      </c>
    </row>
    <row r="600" spans="1:15">
      <c r="A600" t="str">
        <f>"002073"</f>
        <v>002073</v>
      </c>
      <c r="B600" t="s">
        <v>630</v>
      </c>
      <c r="C600">
        <v>-0.74</v>
      </c>
      <c r="D600">
        <v>5.34</v>
      </c>
      <c r="E600" t="s">
        <v>16</v>
      </c>
      <c r="F600" t="s">
        <v>16</v>
      </c>
      <c r="H600">
        <v>0</v>
      </c>
      <c r="I600">
        <v>-4.47</v>
      </c>
      <c r="J600">
        <v>-1.29</v>
      </c>
      <c r="L600">
        <v>-0.19</v>
      </c>
      <c r="M600">
        <v>15.84</v>
      </c>
      <c r="N600">
        <v>0</v>
      </c>
      <c r="O600">
        <v>1.25</v>
      </c>
    </row>
    <row r="601" spans="1:15">
      <c r="A601" t="str">
        <f>"002074"</f>
        <v>002074</v>
      </c>
      <c r="B601" t="s">
        <v>631</v>
      </c>
      <c r="C601">
        <v>-1.36</v>
      </c>
      <c r="D601">
        <v>29.71</v>
      </c>
      <c r="E601" t="s">
        <v>16</v>
      </c>
      <c r="F601" t="s">
        <v>16</v>
      </c>
      <c r="H601">
        <v>0.07</v>
      </c>
      <c r="I601">
        <v>-3.1</v>
      </c>
      <c r="J601">
        <v>-1.62</v>
      </c>
      <c r="L601">
        <v>-0.8</v>
      </c>
      <c r="M601">
        <v>248.6</v>
      </c>
      <c r="N601">
        <v>0.01</v>
      </c>
      <c r="O601">
        <v>0.3</v>
      </c>
    </row>
    <row r="602" spans="1:15">
      <c r="A602" t="str">
        <f>"002075"</f>
        <v>002075</v>
      </c>
      <c r="B602" t="s">
        <v>632</v>
      </c>
      <c r="C602">
        <v>1.6</v>
      </c>
      <c r="D602">
        <v>3.8</v>
      </c>
      <c r="E602" t="s">
        <v>16</v>
      </c>
      <c r="F602" t="s">
        <v>16</v>
      </c>
      <c r="H602">
        <v>0</v>
      </c>
      <c r="I602">
        <v>3.54</v>
      </c>
      <c r="J602">
        <v>-4.52</v>
      </c>
      <c r="L602">
        <v>0.8</v>
      </c>
      <c r="M602">
        <v>78.3</v>
      </c>
      <c r="N602">
        <v>0.01</v>
      </c>
      <c r="O602">
        <v>0.72</v>
      </c>
    </row>
    <row r="603" spans="1:15">
      <c r="A603" t="str">
        <f>"002076"</f>
        <v>002076</v>
      </c>
      <c r="B603" t="s">
        <v>633</v>
      </c>
      <c r="C603" t="s">
        <v>16</v>
      </c>
      <c r="D603">
        <v>2.65</v>
      </c>
      <c r="E603" t="s">
        <v>16</v>
      </c>
      <c r="F603" t="s">
        <v>16</v>
      </c>
      <c r="H603" t="s">
        <v>16</v>
      </c>
      <c r="I603">
        <v>5.16</v>
      </c>
      <c r="J603" t="s">
        <v>16</v>
      </c>
      <c r="L603" t="s">
        <v>16</v>
      </c>
      <c r="M603">
        <v>0</v>
      </c>
      <c r="N603" t="s">
        <v>16</v>
      </c>
      <c r="O603" t="s">
        <v>16</v>
      </c>
    </row>
    <row r="604" spans="1:15">
      <c r="A604" t="str">
        <f>"002077"</f>
        <v>002077</v>
      </c>
      <c r="B604" t="s">
        <v>634</v>
      </c>
      <c r="C604">
        <v>1.24</v>
      </c>
      <c r="D604">
        <v>17.96</v>
      </c>
      <c r="E604" t="s">
        <v>16</v>
      </c>
      <c r="F604" t="s">
        <v>16</v>
      </c>
      <c r="H604">
        <v>0</v>
      </c>
      <c r="I604">
        <v>3.28</v>
      </c>
      <c r="J604">
        <v>-0.66</v>
      </c>
      <c r="L604">
        <v>0.34</v>
      </c>
      <c r="M604">
        <v>539.16</v>
      </c>
      <c r="N604">
        <v>0.1</v>
      </c>
      <c r="O604">
        <v>3.46</v>
      </c>
    </row>
    <row r="605" spans="1:15">
      <c r="A605" t="str">
        <f>"002078"</f>
        <v>002078</v>
      </c>
      <c r="B605" t="s">
        <v>635</v>
      </c>
      <c r="C605">
        <v>-3.02</v>
      </c>
      <c r="D605">
        <v>12.53</v>
      </c>
      <c r="E605" t="s">
        <v>16</v>
      </c>
      <c r="F605" t="s">
        <v>16</v>
      </c>
      <c r="H605">
        <v>0</v>
      </c>
      <c r="I605">
        <v>-4.93</v>
      </c>
      <c r="J605">
        <v>-2.72</v>
      </c>
      <c r="L605">
        <v>-0.46</v>
      </c>
      <c r="M605">
        <v>141.2</v>
      </c>
      <c r="N605">
        <v>0.01</v>
      </c>
      <c r="O605">
        <v>4.27</v>
      </c>
    </row>
    <row r="606" spans="1:15">
      <c r="A606" t="str">
        <f>"002079"</f>
        <v>002079</v>
      </c>
      <c r="B606" t="s">
        <v>636</v>
      </c>
      <c r="C606">
        <v>1.63</v>
      </c>
      <c r="D606">
        <v>13.74</v>
      </c>
      <c r="E606" t="s">
        <v>16</v>
      </c>
      <c r="F606" t="s">
        <v>16</v>
      </c>
      <c r="H606">
        <v>0.07</v>
      </c>
      <c r="I606">
        <v>11.62</v>
      </c>
      <c r="J606">
        <v>-1.51</v>
      </c>
      <c r="L606">
        <v>-0.67</v>
      </c>
      <c r="M606">
        <v>627.85</v>
      </c>
      <c r="N606">
        <v>0.07</v>
      </c>
      <c r="O606">
        <v>0.88</v>
      </c>
    </row>
    <row r="607" spans="1:15">
      <c r="A607" t="str">
        <f>"002080"</f>
        <v>002080</v>
      </c>
      <c r="B607" t="s">
        <v>637</v>
      </c>
      <c r="C607">
        <v>-2.26</v>
      </c>
      <c r="D607">
        <v>80.55</v>
      </c>
      <c r="E607" t="s">
        <v>16</v>
      </c>
      <c r="F607" t="s">
        <v>16</v>
      </c>
      <c r="H607">
        <v>-0.08</v>
      </c>
      <c r="I607">
        <v>26.25</v>
      </c>
      <c r="J607">
        <v>-2.72</v>
      </c>
      <c r="K607" t="s">
        <v>51</v>
      </c>
      <c r="L607">
        <v>-0.19</v>
      </c>
      <c r="M607">
        <v>14680.14</v>
      </c>
      <c r="N607">
        <v>0.27</v>
      </c>
      <c r="O607">
        <v>2.1</v>
      </c>
    </row>
    <row r="608" spans="1:15">
      <c r="A608" t="str">
        <f>"002081"</f>
        <v>002081</v>
      </c>
      <c r="B608" t="s">
        <v>638</v>
      </c>
      <c r="C608">
        <v>0.63</v>
      </c>
      <c r="D608">
        <v>4.8</v>
      </c>
      <c r="E608" t="s">
        <v>16</v>
      </c>
      <c r="F608" t="s">
        <v>16</v>
      </c>
      <c r="H608">
        <v>0</v>
      </c>
      <c r="I608">
        <v>-20.66</v>
      </c>
      <c r="J608">
        <v>-0.83</v>
      </c>
      <c r="L608">
        <v>-0.21</v>
      </c>
      <c r="M608">
        <v>470.05</v>
      </c>
      <c r="N608">
        <v>0.07</v>
      </c>
      <c r="O608">
        <v>0.98</v>
      </c>
    </row>
    <row r="609" spans="1:15">
      <c r="A609" t="str">
        <f>"002082"</f>
        <v>002082</v>
      </c>
      <c r="B609" t="s">
        <v>639</v>
      </c>
      <c r="C609">
        <v>-0.22</v>
      </c>
      <c r="D609">
        <v>13.65</v>
      </c>
      <c r="E609" t="s">
        <v>16</v>
      </c>
      <c r="F609" t="s">
        <v>16</v>
      </c>
      <c r="H609">
        <v>0</v>
      </c>
      <c r="I609">
        <v>-2.22</v>
      </c>
      <c r="J609">
        <v>-3.53</v>
      </c>
      <c r="K609" t="s">
        <v>296</v>
      </c>
      <c r="L609">
        <v>0.66</v>
      </c>
      <c r="M609">
        <v>958.12</v>
      </c>
      <c r="N609">
        <v>0.23</v>
      </c>
      <c r="O609">
        <v>2.03</v>
      </c>
    </row>
    <row r="610" spans="1:15">
      <c r="A610" t="str">
        <f>"002083"</f>
        <v>002083</v>
      </c>
      <c r="B610" t="s">
        <v>640</v>
      </c>
      <c r="C610">
        <v>0.67</v>
      </c>
      <c r="D610">
        <v>10.59</v>
      </c>
      <c r="E610" t="s">
        <v>16</v>
      </c>
      <c r="F610" t="s">
        <v>16</v>
      </c>
      <c r="H610">
        <v>-0.08</v>
      </c>
      <c r="I610">
        <v>15.49</v>
      </c>
      <c r="J610">
        <v>-3.11</v>
      </c>
      <c r="L610">
        <v>2.66</v>
      </c>
      <c r="M610">
        <v>2612.52</v>
      </c>
      <c r="N610">
        <v>0.42</v>
      </c>
      <c r="O610">
        <v>10.68</v>
      </c>
    </row>
    <row r="611" spans="1:15">
      <c r="A611" t="str">
        <f>"002084"</f>
        <v>002084</v>
      </c>
      <c r="B611" t="s">
        <v>641</v>
      </c>
      <c r="C611">
        <v>2.67</v>
      </c>
      <c r="D611">
        <v>3.46</v>
      </c>
      <c r="E611" t="s">
        <v>16</v>
      </c>
      <c r="F611" t="s">
        <v>16</v>
      </c>
      <c r="H611">
        <v>0</v>
      </c>
      <c r="I611">
        <v>7.79</v>
      </c>
      <c r="J611">
        <v>-0.57</v>
      </c>
      <c r="L611">
        <v>-0.89</v>
      </c>
      <c r="M611">
        <v>21.78</v>
      </c>
      <c r="N611">
        <v>0.02</v>
      </c>
      <c r="O611">
        <v>0.55</v>
      </c>
    </row>
    <row r="612" spans="1:15">
      <c r="A612" t="str">
        <f>"002085"</f>
        <v>002085</v>
      </c>
      <c r="B612" t="s">
        <v>642</v>
      </c>
      <c r="C612">
        <v>-2.69</v>
      </c>
      <c r="D612">
        <v>12.67</v>
      </c>
      <c r="E612" t="s">
        <v>16</v>
      </c>
      <c r="F612" t="s">
        <v>16</v>
      </c>
      <c r="H612">
        <v>-0.07</v>
      </c>
      <c r="I612">
        <v>10.85</v>
      </c>
      <c r="J612">
        <v>-2.54</v>
      </c>
      <c r="L612">
        <v>-0.15</v>
      </c>
      <c r="M612">
        <v>286.52</v>
      </c>
      <c r="N612">
        <v>0.02</v>
      </c>
      <c r="O612">
        <v>0.9</v>
      </c>
    </row>
    <row r="613" spans="1:15">
      <c r="A613" t="str">
        <f>"002086"</f>
        <v>002086</v>
      </c>
      <c r="B613" t="s">
        <v>643</v>
      </c>
      <c r="C613">
        <v>-2.75</v>
      </c>
      <c r="D613">
        <v>1.77</v>
      </c>
      <c r="E613" t="s">
        <v>16</v>
      </c>
      <c r="F613" t="s">
        <v>16</v>
      </c>
      <c r="H613">
        <v>-0.55</v>
      </c>
      <c r="I613">
        <v>-8.76</v>
      </c>
      <c r="J613">
        <v>-1.67</v>
      </c>
      <c r="L613">
        <v>-1.65</v>
      </c>
      <c r="M613">
        <v>157.32</v>
      </c>
      <c r="N613">
        <v>0.06</v>
      </c>
      <c r="O613">
        <v>0.64</v>
      </c>
    </row>
    <row r="614" spans="1:15">
      <c r="A614" t="str">
        <f>"002088"</f>
        <v>002088</v>
      </c>
      <c r="B614" t="s">
        <v>644</v>
      </c>
      <c r="C614">
        <v>0.11</v>
      </c>
      <c r="D614">
        <v>8.8</v>
      </c>
      <c r="E614" t="s">
        <v>16</v>
      </c>
      <c r="F614" t="s">
        <v>16</v>
      </c>
      <c r="H614">
        <v>-0.1</v>
      </c>
      <c r="I614">
        <v>1.38</v>
      </c>
      <c r="J614">
        <v>-4.24</v>
      </c>
      <c r="L614">
        <v>3.07</v>
      </c>
      <c r="M614">
        <v>146.68</v>
      </c>
      <c r="N614">
        <v>0.09</v>
      </c>
      <c r="O614">
        <v>3.59</v>
      </c>
    </row>
    <row r="615" spans="1:15">
      <c r="A615" t="str">
        <f>"002090"</f>
        <v>002090</v>
      </c>
      <c r="B615" t="s">
        <v>645</v>
      </c>
      <c r="C615">
        <v>-0.54</v>
      </c>
      <c r="D615">
        <v>9.24</v>
      </c>
      <c r="E615" t="s">
        <v>16</v>
      </c>
      <c r="F615" t="s">
        <v>16</v>
      </c>
      <c r="H615">
        <v>-0.1</v>
      </c>
      <c r="I615">
        <v>-9.5</v>
      </c>
      <c r="J615">
        <v>-0.86</v>
      </c>
      <c r="L615">
        <v>-0.75</v>
      </c>
      <c r="M615">
        <v>34.94</v>
      </c>
      <c r="N615">
        <v>0.01</v>
      </c>
      <c r="O615">
        <v>2.31</v>
      </c>
    </row>
    <row r="616" spans="1:15">
      <c r="A616" t="str">
        <f>"002091"</f>
        <v>002091</v>
      </c>
      <c r="B616" t="s">
        <v>646</v>
      </c>
      <c r="C616">
        <v>-2.69</v>
      </c>
      <c r="D616">
        <v>7.61</v>
      </c>
      <c r="E616" t="s">
        <v>16</v>
      </c>
      <c r="F616" t="s">
        <v>16</v>
      </c>
      <c r="H616">
        <v>0.26</v>
      </c>
      <c r="I616">
        <v>-4.64</v>
      </c>
      <c r="J616">
        <v>-2.69</v>
      </c>
      <c r="L616">
        <v>0</v>
      </c>
      <c r="M616">
        <v>24.71</v>
      </c>
      <c r="N616">
        <v>0</v>
      </c>
      <c r="O616">
        <v>0.9</v>
      </c>
    </row>
    <row r="617" spans="1:15">
      <c r="A617" t="str">
        <f>"002092"</f>
        <v>002092</v>
      </c>
      <c r="B617" t="s">
        <v>647</v>
      </c>
      <c r="C617">
        <v>-3.09</v>
      </c>
      <c r="D617">
        <v>4.08</v>
      </c>
      <c r="E617" t="s">
        <v>16</v>
      </c>
      <c r="F617" t="s">
        <v>16</v>
      </c>
      <c r="H617">
        <v>0</v>
      </c>
      <c r="I617">
        <v>-8.52</v>
      </c>
      <c r="J617">
        <v>-3.09</v>
      </c>
      <c r="L617">
        <v>0</v>
      </c>
      <c r="M617">
        <v>61.51</v>
      </c>
      <c r="N617">
        <v>0.01</v>
      </c>
      <c r="O617">
        <v>1.69</v>
      </c>
    </row>
    <row r="618" spans="1:15">
      <c r="A618" t="str">
        <f>"002093"</f>
        <v>002093</v>
      </c>
      <c r="B618" t="s">
        <v>648</v>
      </c>
      <c r="C618">
        <v>-0.43</v>
      </c>
      <c r="D618">
        <v>6.92</v>
      </c>
      <c r="E618" t="s">
        <v>16</v>
      </c>
      <c r="F618" t="s">
        <v>16</v>
      </c>
      <c r="H618">
        <v>0.14</v>
      </c>
      <c r="I618">
        <v>-2.4</v>
      </c>
      <c r="J618">
        <v>-1.42</v>
      </c>
      <c r="L618">
        <v>0</v>
      </c>
      <c r="M618">
        <v>13.07</v>
      </c>
      <c r="N618">
        <v>0</v>
      </c>
      <c r="O618">
        <v>0.69</v>
      </c>
    </row>
    <row r="619" spans="1:15">
      <c r="A619" t="str">
        <f>"002094"</f>
        <v>002094</v>
      </c>
      <c r="B619" t="s">
        <v>649</v>
      </c>
      <c r="C619">
        <v>-2.92</v>
      </c>
      <c r="D619">
        <v>4.66</v>
      </c>
      <c r="E619" t="s">
        <v>16</v>
      </c>
      <c r="F619" t="s">
        <v>16</v>
      </c>
      <c r="H619">
        <v>-0.2</v>
      </c>
      <c r="I619">
        <v>-7.72</v>
      </c>
      <c r="J619">
        <v>-2.71</v>
      </c>
      <c r="L619">
        <v>-0.83</v>
      </c>
      <c r="M619">
        <v>18.56</v>
      </c>
      <c r="N619">
        <v>0.01</v>
      </c>
      <c r="O619">
        <v>0.62</v>
      </c>
    </row>
    <row r="620" spans="1:15">
      <c r="A620" t="str">
        <f>"002095"</f>
        <v>002095</v>
      </c>
      <c r="B620" t="s">
        <v>650</v>
      </c>
      <c r="C620">
        <v>-0.6</v>
      </c>
      <c r="D620">
        <v>13.33</v>
      </c>
      <c r="E620" t="s">
        <v>16</v>
      </c>
      <c r="F620" t="s">
        <v>16</v>
      </c>
      <c r="H620">
        <v>0.15</v>
      </c>
      <c r="I620">
        <v>-2.77</v>
      </c>
      <c r="J620">
        <v>-1.33</v>
      </c>
      <c r="L620">
        <v>0</v>
      </c>
      <c r="M620">
        <v>0.67</v>
      </c>
      <c r="N620">
        <v>0</v>
      </c>
      <c r="O620">
        <v>0.05</v>
      </c>
    </row>
    <row r="621" spans="1:15">
      <c r="A621" t="str">
        <f>"002096"</f>
        <v>002096</v>
      </c>
      <c r="B621" t="s">
        <v>651</v>
      </c>
      <c r="C621">
        <v>-3.02</v>
      </c>
      <c r="D621">
        <v>9.31</v>
      </c>
      <c r="E621" t="s">
        <v>16</v>
      </c>
      <c r="F621" t="s">
        <v>16</v>
      </c>
      <c r="H621">
        <v>-0.31</v>
      </c>
      <c r="I621">
        <v>-20.9</v>
      </c>
      <c r="J621">
        <v>-2.41</v>
      </c>
      <c r="L621">
        <v>-0.63</v>
      </c>
      <c r="M621">
        <v>24.14</v>
      </c>
      <c r="N621">
        <v>0.01</v>
      </c>
      <c r="O621">
        <v>0.26</v>
      </c>
    </row>
    <row r="622" spans="1:15">
      <c r="A622" t="str">
        <f>"002097"</f>
        <v>002097</v>
      </c>
      <c r="B622" t="s">
        <v>652</v>
      </c>
      <c r="C622">
        <v>0</v>
      </c>
      <c r="D622">
        <v>8.13</v>
      </c>
      <c r="E622" t="s">
        <v>16</v>
      </c>
      <c r="F622" t="s">
        <v>16</v>
      </c>
      <c r="H622">
        <v>-0.11</v>
      </c>
      <c r="I622">
        <v>-3.44</v>
      </c>
      <c r="J622">
        <v>-0.97</v>
      </c>
      <c r="L622">
        <v>-0.37</v>
      </c>
      <c r="M622">
        <v>25.11</v>
      </c>
      <c r="N622">
        <v>0</v>
      </c>
      <c r="O622">
        <v>0.7</v>
      </c>
    </row>
    <row r="623" spans="1:15">
      <c r="A623" t="str">
        <f>"002098"</f>
        <v>002098</v>
      </c>
      <c r="B623" t="s">
        <v>653</v>
      </c>
      <c r="C623">
        <v>-0.29</v>
      </c>
      <c r="D623">
        <v>6.81</v>
      </c>
      <c r="E623" t="s">
        <v>16</v>
      </c>
      <c r="F623" t="s">
        <v>16</v>
      </c>
      <c r="H623">
        <v>-0.43</v>
      </c>
      <c r="I623">
        <v>-4.35</v>
      </c>
      <c r="J623">
        <v>-1.45</v>
      </c>
      <c r="L623">
        <v>-0.59</v>
      </c>
      <c r="M623">
        <v>10.93</v>
      </c>
      <c r="N623">
        <v>0.01</v>
      </c>
      <c r="O623">
        <v>1.21</v>
      </c>
    </row>
    <row r="624" spans="1:15">
      <c r="A624" t="str">
        <f>"002099"</f>
        <v>002099</v>
      </c>
      <c r="B624" t="s">
        <v>654</v>
      </c>
      <c r="C624">
        <v>-3.11</v>
      </c>
      <c r="D624">
        <v>4.98</v>
      </c>
      <c r="E624" t="s">
        <v>16</v>
      </c>
      <c r="F624" t="s">
        <v>16</v>
      </c>
      <c r="H624">
        <v>-0.59</v>
      </c>
      <c r="I624">
        <v>-12.94</v>
      </c>
      <c r="J624">
        <v>-3.49</v>
      </c>
      <c r="L624">
        <v>0.39</v>
      </c>
      <c r="M624">
        <v>21.78</v>
      </c>
      <c r="N624">
        <v>0</v>
      </c>
      <c r="O624">
        <v>1.33</v>
      </c>
    </row>
    <row r="625" spans="1:15">
      <c r="A625" t="str">
        <f>"002100"</f>
        <v>002100</v>
      </c>
      <c r="B625" t="s">
        <v>655</v>
      </c>
      <c r="C625">
        <v>-2.27</v>
      </c>
      <c r="D625">
        <v>6.02</v>
      </c>
      <c r="E625" t="s">
        <v>16</v>
      </c>
      <c r="F625" t="s">
        <v>16</v>
      </c>
      <c r="H625">
        <v>0</v>
      </c>
      <c r="I625">
        <v>-5.35</v>
      </c>
      <c r="J625">
        <v>-2.9</v>
      </c>
      <c r="L625">
        <v>0.65</v>
      </c>
      <c r="M625">
        <v>150.47</v>
      </c>
      <c r="N625">
        <v>0.02</v>
      </c>
      <c r="O625">
        <v>13.63</v>
      </c>
    </row>
    <row r="626" spans="1:15">
      <c r="A626" t="str">
        <f>"002101"</f>
        <v>002101</v>
      </c>
      <c r="B626" t="s">
        <v>656</v>
      </c>
      <c r="C626">
        <v>-0.6</v>
      </c>
      <c r="D626">
        <v>8.32</v>
      </c>
      <c r="E626" t="s">
        <v>16</v>
      </c>
      <c r="F626" t="s">
        <v>16</v>
      </c>
      <c r="H626">
        <v>-0.11</v>
      </c>
      <c r="I626">
        <v>-5.67</v>
      </c>
      <c r="J626">
        <v>-0.83</v>
      </c>
      <c r="L626">
        <v>-0.84</v>
      </c>
      <c r="M626">
        <v>42.5</v>
      </c>
      <c r="N626">
        <v>0.02</v>
      </c>
      <c r="O626">
        <v>1.77</v>
      </c>
    </row>
    <row r="627" spans="1:15">
      <c r="A627" t="str">
        <f>"002102"</f>
        <v>002102</v>
      </c>
      <c r="B627" t="s">
        <v>657</v>
      </c>
      <c r="C627">
        <v>-1.37</v>
      </c>
      <c r="D627">
        <v>2.16</v>
      </c>
      <c r="E627" t="s">
        <v>16</v>
      </c>
      <c r="F627" t="s">
        <v>16</v>
      </c>
      <c r="H627">
        <v>0</v>
      </c>
      <c r="I627">
        <v>-4.42</v>
      </c>
      <c r="J627">
        <v>-1.37</v>
      </c>
      <c r="L627">
        <v>-0.46</v>
      </c>
      <c r="M627">
        <v>0.61</v>
      </c>
      <c r="N627">
        <v>0</v>
      </c>
      <c r="O627">
        <v>0.01</v>
      </c>
    </row>
    <row r="628" spans="1:15">
      <c r="A628" t="str">
        <f>"002103"</f>
        <v>002103</v>
      </c>
      <c r="B628" t="s">
        <v>658</v>
      </c>
      <c r="C628">
        <v>-0.96</v>
      </c>
      <c r="D628">
        <v>6.18</v>
      </c>
      <c r="E628" t="s">
        <v>16</v>
      </c>
      <c r="F628" t="s">
        <v>16</v>
      </c>
      <c r="H628">
        <v>0</v>
      </c>
      <c r="I628">
        <v>-6.65</v>
      </c>
      <c r="J628">
        <v>-1.44</v>
      </c>
      <c r="L628">
        <v>-0.48</v>
      </c>
      <c r="M628">
        <v>7.95</v>
      </c>
      <c r="N628">
        <v>0</v>
      </c>
      <c r="O628">
        <v>1.17</v>
      </c>
    </row>
    <row r="629" spans="1:15">
      <c r="A629" t="str">
        <f>"002104"</f>
        <v>002104</v>
      </c>
      <c r="B629" t="s">
        <v>659</v>
      </c>
      <c r="C629">
        <v>-2.03</v>
      </c>
      <c r="D629">
        <v>11.11</v>
      </c>
      <c r="E629" t="s">
        <v>16</v>
      </c>
      <c r="F629" t="s">
        <v>16</v>
      </c>
      <c r="H629">
        <v>-0.44</v>
      </c>
      <c r="I629">
        <v>-5.61</v>
      </c>
      <c r="J629">
        <v>-2.29</v>
      </c>
      <c r="L629">
        <v>-0.09</v>
      </c>
      <c r="M629">
        <v>377.63</v>
      </c>
      <c r="N629">
        <v>0.06</v>
      </c>
      <c r="O629">
        <v>2.03</v>
      </c>
    </row>
    <row r="630" spans="1:15">
      <c r="A630" t="str">
        <f>"002105"</f>
        <v>002105</v>
      </c>
      <c r="B630" t="s">
        <v>660</v>
      </c>
      <c r="C630">
        <v>-0.76</v>
      </c>
      <c r="D630">
        <v>5.2</v>
      </c>
      <c r="E630" t="s">
        <v>16</v>
      </c>
      <c r="F630" t="s">
        <v>16</v>
      </c>
      <c r="H630">
        <v>-0.75</v>
      </c>
      <c r="I630">
        <v>-8.61</v>
      </c>
      <c r="J630">
        <v>-1.33</v>
      </c>
      <c r="L630">
        <v>0</v>
      </c>
      <c r="M630">
        <v>41.71</v>
      </c>
      <c r="N630">
        <v>0.04</v>
      </c>
      <c r="O630">
        <v>0.87</v>
      </c>
    </row>
    <row r="631" spans="1:15">
      <c r="A631" t="str">
        <f>"002106"</f>
        <v>002106</v>
      </c>
      <c r="B631" t="s">
        <v>661</v>
      </c>
      <c r="C631">
        <v>-4.8</v>
      </c>
      <c r="D631">
        <v>14.07</v>
      </c>
      <c r="E631" t="s">
        <v>16</v>
      </c>
      <c r="F631" t="s">
        <v>16</v>
      </c>
      <c r="H631">
        <v>0</v>
      </c>
      <c r="I631">
        <v>10.53</v>
      </c>
      <c r="J631">
        <v>-6.14</v>
      </c>
      <c r="K631" t="s">
        <v>220</v>
      </c>
      <c r="L631">
        <v>0.41</v>
      </c>
      <c r="M631">
        <v>2807.73</v>
      </c>
      <c r="N631">
        <v>0.37</v>
      </c>
      <c r="O631">
        <v>5.42</v>
      </c>
    </row>
    <row r="632" spans="1:15">
      <c r="A632" t="str">
        <f>"002107"</f>
        <v>002107</v>
      </c>
      <c r="B632" t="s">
        <v>662</v>
      </c>
      <c r="C632">
        <v>-0.51</v>
      </c>
      <c r="D632">
        <v>5.88</v>
      </c>
      <c r="E632" t="s">
        <v>16</v>
      </c>
      <c r="F632" t="s">
        <v>16</v>
      </c>
      <c r="H632">
        <v>-0.16</v>
      </c>
      <c r="I632">
        <v>-5.31</v>
      </c>
      <c r="J632">
        <v>-1.34</v>
      </c>
      <c r="L632">
        <v>-0.17</v>
      </c>
      <c r="M632">
        <v>8.44</v>
      </c>
      <c r="N632">
        <v>0.01</v>
      </c>
      <c r="O632">
        <v>0.23</v>
      </c>
    </row>
    <row r="633" spans="1:15">
      <c r="A633" t="str">
        <f>"002108"</f>
        <v>002108</v>
      </c>
      <c r="B633" t="s">
        <v>663</v>
      </c>
      <c r="C633">
        <v>-2.11</v>
      </c>
      <c r="D633">
        <v>4.63</v>
      </c>
      <c r="E633" t="s">
        <v>16</v>
      </c>
      <c r="F633" t="s">
        <v>16</v>
      </c>
      <c r="H633">
        <v>-0.42</v>
      </c>
      <c r="I633">
        <v>-1.28</v>
      </c>
      <c r="J633">
        <v>-2.11</v>
      </c>
      <c r="L633">
        <v>-0.63</v>
      </c>
      <c r="M633">
        <v>40.7</v>
      </c>
      <c r="N633">
        <v>0.01</v>
      </c>
      <c r="O633">
        <v>0.48</v>
      </c>
    </row>
    <row r="634" spans="1:15">
      <c r="A634" t="str">
        <f>"002109"</f>
        <v>002109</v>
      </c>
      <c r="B634" t="s">
        <v>664</v>
      </c>
      <c r="C634">
        <v>-3.45</v>
      </c>
      <c r="D634">
        <v>2.52</v>
      </c>
      <c r="E634" t="s">
        <v>16</v>
      </c>
      <c r="F634" t="s">
        <v>16</v>
      </c>
      <c r="H634">
        <v>0</v>
      </c>
      <c r="I634">
        <v>-11.27</v>
      </c>
      <c r="J634">
        <v>-3.45</v>
      </c>
      <c r="L634">
        <v>-0.77</v>
      </c>
      <c r="M634">
        <v>5.41</v>
      </c>
      <c r="N634">
        <v>0</v>
      </c>
      <c r="O634">
        <v>0.34</v>
      </c>
    </row>
    <row r="635" spans="1:15">
      <c r="A635" t="str">
        <f>"002110"</f>
        <v>002110</v>
      </c>
      <c r="B635" t="s">
        <v>665</v>
      </c>
      <c r="C635">
        <v>0</v>
      </c>
      <c r="D635">
        <v>2.96</v>
      </c>
      <c r="E635" t="s">
        <v>16</v>
      </c>
      <c r="F635" t="s">
        <v>16</v>
      </c>
      <c r="H635">
        <v>0</v>
      </c>
      <c r="I635">
        <v>-3.27</v>
      </c>
      <c r="J635">
        <v>-1</v>
      </c>
      <c r="L635">
        <v>-0.34</v>
      </c>
      <c r="M635">
        <v>8.14</v>
      </c>
      <c r="N635">
        <v>0</v>
      </c>
      <c r="O635">
        <v>0.76</v>
      </c>
    </row>
    <row r="636" spans="1:15">
      <c r="A636" t="str">
        <f>"002111"</f>
        <v>002111</v>
      </c>
      <c r="B636" t="s">
        <v>666</v>
      </c>
      <c r="C636">
        <v>-0.63</v>
      </c>
      <c r="D636">
        <v>9.54</v>
      </c>
      <c r="E636" t="s">
        <v>16</v>
      </c>
      <c r="F636" t="s">
        <v>16</v>
      </c>
      <c r="H636">
        <v>0.1</v>
      </c>
      <c r="I636">
        <v>-3.73</v>
      </c>
      <c r="J636">
        <v>-2.05</v>
      </c>
      <c r="L636">
        <v>-0.94</v>
      </c>
      <c r="M636">
        <v>35.28</v>
      </c>
      <c r="N636">
        <v>0.01</v>
      </c>
      <c r="O636">
        <v>0.83</v>
      </c>
    </row>
    <row r="637" spans="1:15">
      <c r="A637" t="str">
        <f>"002112"</f>
        <v>002112</v>
      </c>
      <c r="B637" t="s">
        <v>667</v>
      </c>
      <c r="C637">
        <v>2.27</v>
      </c>
      <c r="D637">
        <v>17.57</v>
      </c>
      <c r="E637" t="s">
        <v>16</v>
      </c>
      <c r="F637" t="s">
        <v>16</v>
      </c>
      <c r="H637">
        <v>-0.1</v>
      </c>
      <c r="I637">
        <v>-1.01</v>
      </c>
      <c r="J637">
        <v>-0.51</v>
      </c>
      <c r="L637">
        <v>-1.16</v>
      </c>
      <c r="M637">
        <v>202.35</v>
      </c>
      <c r="N637">
        <v>0.05</v>
      </c>
      <c r="O637">
        <v>0.91</v>
      </c>
    </row>
    <row r="638" spans="1:15">
      <c r="A638" t="str">
        <f>"002114"</f>
        <v>002114</v>
      </c>
      <c r="B638" t="s">
        <v>668</v>
      </c>
      <c r="C638">
        <v>-2.6</v>
      </c>
      <c r="D638">
        <v>7.49</v>
      </c>
      <c r="E638" t="s">
        <v>16</v>
      </c>
      <c r="F638" t="s">
        <v>16</v>
      </c>
      <c r="H638">
        <v>0.13</v>
      </c>
      <c r="I638">
        <v>-0.13</v>
      </c>
      <c r="J638">
        <v>-5.79</v>
      </c>
      <c r="L638">
        <v>-0.26</v>
      </c>
      <c r="M638">
        <v>19.41</v>
      </c>
      <c r="N638">
        <v>0.01</v>
      </c>
      <c r="O638">
        <v>0.67</v>
      </c>
    </row>
    <row r="639" spans="1:15">
      <c r="A639" t="str">
        <f>"002115"</f>
        <v>002115</v>
      </c>
      <c r="B639" t="s">
        <v>669</v>
      </c>
      <c r="C639">
        <v>-0.85</v>
      </c>
      <c r="D639">
        <v>11.69</v>
      </c>
      <c r="E639" t="s">
        <v>16</v>
      </c>
      <c r="F639" t="s">
        <v>16</v>
      </c>
      <c r="H639">
        <v>-0.16</v>
      </c>
      <c r="I639">
        <v>-1.1</v>
      </c>
      <c r="J639">
        <v>-1.68</v>
      </c>
      <c r="L639">
        <v>-0.68</v>
      </c>
      <c r="M639">
        <v>53.51</v>
      </c>
      <c r="N639">
        <v>0.01</v>
      </c>
      <c r="O639">
        <v>0.41</v>
      </c>
    </row>
    <row r="640" spans="1:15">
      <c r="A640" t="str">
        <f>"002116"</f>
        <v>002116</v>
      </c>
      <c r="B640" t="s">
        <v>670</v>
      </c>
      <c r="C640">
        <v>-2.17</v>
      </c>
      <c r="D640">
        <v>9.03</v>
      </c>
      <c r="E640" t="s">
        <v>16</v>
      </c>
      <c r="F640" t="s">
        <v>16</v>
      </c>
      <c r="H640">
        <v>0.11</v>
      </c>
      <c r="I640">
        <v>1.23</v>
      </c>
      <c r="J640">
        <v>-1.53</v>
      </c>
      <c r="L640">
        <v>-1.08</v>
      </c>
      <c r="M640">
        <v>28.94</v>
      </c>
      <c r="N640">
        <v>0.01</v>
      </c>
      <c r="O640">
        <v>5.66</v>
      </c>
    </row>
    <row r="641" spans="1:15">
      <c r="A641" t="str">
        <f>"002117"</f>
        <v>002117</v>
      </c>
      <c r="B641" t="s">
        <v>671</v>
      </c>
      <c r="C641">
        <v>0.58</v>
      </c>
      <c r="D641">
        <v>8.66</v>
      </c>
      <c r="E641" t="s">
        <v>16</v>
      </c>
      <c r="F641" t="s">
        <v>16</v>
      </c>
      <c r="H641">
        <v>-0.34</v>
      </c>
      <c r="I641">
        <v>-4.52</v>
      </c>
      <c r="J641">
        <v>-1.81</v>
      </c>
      <c r="L641">
        <v>-0.93</v>
      </c>
      <c r="M641">
        <v>26.27</v>
      </c>
      <c r="N641">
        <v>0.01</v>
      </c>
      <c r="O641">
        <v>1.24</v>
      </c>
    </row>
    <row r="642" spans="1:15">
      <c r="A642" t="str">
        <f>"002119"</f>
        <v>002119</v>
      </c>
      <c r="B642" t="s">
        <v>672</v>
      </c>
      <c r="C642">
        <v>4.04</v>
      </c>
      <c r="D642">
        <v>34.51</v>
      </c>
      <c r="E642" t="s">
        <v>16</v>
      </c>
      <c r="F642" t="s">
        <v>16</v>
      </c>
      <c r="H642">
        <v>0.15</v>
      </c>
      <c r="I642">
        <v>40.86</v>
      </c>
      <c r="J642">
        <v>-2.57</v>
      </c>
      <c r="L642">
        <v>-1.57</v>
      </c>
      <c r="M642">
        <v>1334.73</v>
      </c>
      <c r="N642">
        <v>0.14</v>
      </c>
      <c r="O642">
        <v>0.8</v>
      </c>
    </row>
    <row r="643" spans="1:15">
      <c r="A643" t="str">
        <f>"002120"</f>
        <v>002120</v>
      </c>
      <c r="B643" t="s">
        <v>673</v>
      </c>
      <c r="C643">
        <v>-1.87</v>
      </c>
      <c r="D643">
        <v>6.29</v>
      </c>
      <c r="E643" t="s">
        <v>16</v>
      </c>
      <c r="F643" t="s">
        <v>16</v>
      </c>
      <c r="H643">
        <v>0</v>
      </c>
      <c r="I643">
        <v>-2.78</v>
      </c>
      <c r="J643">
        <v>-1.56</v>
      </c>
      <c r="L643">
        <v>-0.47</v>
      </c>
      <c r="M643">
        <v>68.71</v>
      </c>
      <c r="N643">
        <v>0.01</v>
      </c>
      <c r="O643">
        <v>0.25</v>
      </c>
    </row>
    <row r="644" spans="1:15">
      <c r="A644" t="str">
        <f>"002121"</f>
        <v>002121</v>
      </c>
      <c r="B644" t="s">
        <v>674</v>
      </c>
      <c r="C644">
        <v>-1.51</v>
      </c>
      <c r="D644">
        <v>5.88</v>
      </c>
      <c r="E644" t="s">
        <v>16</v>
      </c>
      <c r="F644" t="s">
        <v>16</v>
      </c>
      <c r="H644">
        <v>-0.33</v>
      </c>
      <c r="I644">
        <v>-16.36</v>
      </c>
      <c r="J644">
        <v>-1.34</v>
      </c>
      <c r="L644">
        <v>-0.67</v>
      </c>
      <c r="M644">
        <v>35.82</v>
      </c>
      <c r="N644">
        <v>0.01</v>
      </c>
      <c r="O644">
        <v>0.88</v>
      </c>
    </row>
    <row r="645" spans="1:15">
      <c r="A645" t="str">
        <f>"002122"</f>
        <v>002122</v>
      </c>
      <c r="B645" t="s">
        <v>675</v>
      </c>
      <c r="C645">
        <v>-1.56</v>
      </c>
      <c r="D645">
        <v>2.53</v>
      </c>
      <c r="E645" t="s">
        <v>16</v>
      </c>
      <c r="F645" t="s">
        <v>16</v>
      </c>
      <c r="H645">
        <v>0</v>
      </c>
      <c r="I645">
        <v>-2.69</v>
      </c>
      <c r="J645">
        <v>-2.32</v>
      </c>
      <c r="L645">
        <v>-0.78</v>
      </c>
      <c r="M645">
        <v>87.29</v>
      </c>
      <c r="N645">
        <v>0.03</v>
      </c>
      <c r="O645">
        <v>3.5</v>
      </c>
    </row>
    <row r="646" spans="1:15">
      <c r="A646" t="str">
        <f>"002123"</f>
        <v>002123</v>
      </c>
      <c r="B646" t="s">
        <v>676</v>
      </c>
      <c r="C646">
        <v>0.78</v>
      </c>
      <c r="D646">
        <v>7.75</v>
      </c>
      <c r="E646" t="s">
        <v>16</v>
      </c>
      <c r="F646" t="s">
        <v>16</v>
      </c>
      <c r="H646">
        <v>0</v>
      </c>
      <c r="I646">
        <v>-2.76</v>
      </c>
      <c r="J646">
        <v>-1.27</v>
      </c>
      <c r="L646">
        <v>-0.78</v>
      </c>
      <c r="M646">
        <v>49.21</v>
      </c>
      <c r="N646">
        <v>0.01</v>
      </c>
      <c r="O646">
        <v>0.26</v>
      </c>
    </row>
    <row r="647" spans="1:15">
      <c r="A647" t="str">
        <f>"002124"</f>
        <v>002124</v>
      </c>
      <c r="B647" t="s">
        <v>677</v>
      </c>
      <c r="C647">
        <v>-4.89</v>
      </c>
      <c r="D647">
        <v>2.14</v>
      </c>
      <c r="E647" t="s">
        <v>16</v>
      </c>
      <c r="F647" t="s">
        <v>16</v>
      </c>
      <c r="H647">
        <v>-0.46</v>
      </c>
      <c r="I647">
        <v>-11.2</v>
      </c>
      <c r="J647">
        <v>-4.04</v>
      </c>
      <c r="L647">
        <v>-0.89</v>
      </c>
      <c r="M647">
        <v>94.82</v>
      </c>
      <c r="N647">
        <v>0.02</v>
      </c>
      <c r="O647">
        <v>2.34</v>
      </c>
    </row>
    <row r="648" spans="1:15">
      <c r="A648" t="str">
        <f>"002125"</f>
        <v>002125</v>
      </c>
      <c r="B648" t="s">
        <v>678</v>
      </c>
      <c r="C648">
        <v>0.05</v>
      </c>
      <c r="D648">
        <v>19.12</v>
      </c>
      <c r="E648" t="s">
        <v>16</v>
      </c>
      <c r="F648" t="s">
        <v>16</v>
      </c>
      <c r="H648">
        <v>0.05</v>
      </c>
      <c r="I648">
        <v>18.83</v>
      </c>
      <c r="J648">
        <v>-4.11</v>
      </c>
      <c r="L648">
        <v>-0.99</v>
      </c>
      <c r="M648">
        <v>941.84</v>
      </c>
      <c r="N648">
        <v>0.14</v>
      </c>
      <c r="O648">
        <v>0.22</v>
      </c>
    </row>
    <row r="649" spans="1:15">
      <c r="A649" t="str">
        <f>"002126"</f>
        <v>002126</v>
      </c>
      <c r="B649" t="s">
        <v>679</v>
      </c>
      <c r="C649">
        <v>-1.33</v>
      </c>
      <c r="D649">
        <v>52.73</v>
      </c>
      <c r="E649" t="s">
        <v>16</v>
      </c>
      <c r="F649" t="s">
        <v>16</v>
      </c>
      <c r="H649">
        <v>-0.16</v>
      </c>
      <c r="I649">
        <v>3.86</v>
      </c>
      <c r="J649">
        <v>-3.42</v>
      </c>
      <c r="L649">
        <v>-0.02</v>
      </c>
      <c r="M649">
        <v>415.15</v>
      </c>
      <c r="N649">
        <v>0.01</v>
      </c>
      <c r="O649">
        <v>0.9</v>
      </c>
    </row>
    <row r="650" spans="1:15">
      <c r="A650" t="str">
        <f>"002127"</f>
        <v>002127</v>
      </c>
      <c r="B650" t="s">
        <v>680</v>
      </c>
      <c r="C650">
        <v>0.37</v>
      </c>
      <c r="D650">
        <v>2.69</v>
      </c>
      <c r="E650" t="s">
        <v>16</v>
      </c>
      <c r="F650" t="s">
        <v>16</v>
      </c>
      <c r="H650">
        <v>-0.36</v>
      </c>
      <c r="I650">
        <v>-4.95</v>
      </c>
      <c r="J650">
        <v>-1.1</v>
      </c>
      <c r="L650">
        <v>0.37</v>
      </c>
      <c r="M650">
        <v>17.51</v>
      </c>
      <c r="N650">
        <v>0</v>
      </c>
      <c r="O650">
        <v>0.51</v>
      </c>
    </row>
    <row r="651" spans="1:15">
      <c r="A651" t="str">
        <f>"002128"</f>
        <v>002128</v>
      </c>
      <c r="B651" t="s">
        <v>681</v>
      </c>
      <c r="C651">
        <v>-0.82</v>
      </c>
      <c r="D651">
        <v>24.16</v>
      </c>
      <c r="E651" t="s">
        <v>16</v>
      </c>
      <c r="F651" t="s">
        <v>16</v>
      </c>
      <c r="H651">
        <v>-0.07</v>
      </c>
      <c r="I651">
        <v>-18.46</v>
      </c>
      <c r="J651">
        <v>-1.79</v>
      </c>
      <c r="L651">
        <v>-0.53</v>
      </c>
      <c r="M651">
        <v>234.55</v>
      </c>
      <c r="N651">
        <v>0.01</v>
      </c>
      <c r="O651">
        <v>0.73</v>
      </c>
    </row>
    <row r="652" spans="1:15">
      <c r="A652" t="str">
        <f>"002129"</f>
        <v>002129</v>
      </c>
      <c r="B652" t="s">
        <v>682</v>
      </c>
      <c r="C652">
        <v>-4.2</v>
      </c>
      <c r="D652">
        <v>10.26</v>
      </c>
      <c r="E652" t="s">
        <v>16</v>
      </c>
      <c r="F652" t="s">
        <v>16</v>
      </c>
      <c r="H652">
        <v>0.39</v>
      </c>
      <c r="I652">
        <v>7.43</v>
      </c>
      <c r="J652">
        <v>-3.75</v>
      </c>
      <c r="L652">
        <v>-0.47</v>
      </c>
      <c r="M652">
        <v>2531.32</v>
      </c>
      <c r="N652">
        <v>0.08</v>
      </c>
      <c r="O652">
        <v>1.31</v>
      </c>
    </row>
    <row r="653" spans="1:15">
      <c r="A653" t="str">
        <f>"002130"</f>
        <v>002130</v>
      </c>
      <c r="B653" t="s">
        <v>683</v>
      </c>
      <c r="C653">
        <v>-0.78</v>
      </c>
      <c r="D653">
        <v>20.47</v>
      </c>
      <c r="E653" t="s">
        <v>16</v>
      </c>
      <c r="F653" t="s">
        <v>16</v>
      </c>
      <c r="H653">
        <v>-0.14</v>
      </c>
      <c r="I653">
        <v>-2.34</v>
      </c>
      <c r="J653">
        <v>-1.78</v>
      </c>
      <c r="L653">
        <v>-0.78</v>
      </c>
      <c r="M653">
        <v>175.22</v>
      </c>
      <c r="N653">
        <v>0.01</v>
      </c>
      <c r="O653">
        <v>0.74</v>
      </c>
    </row>
    <row r="654" spans="1:15">
      <c r="A654" t="str">
        <f>"002131"</f>
        <v>002131</v>
      </c>
      <c r="B654" t="s">
        <v>684</v>
      </c>
      <c r="C654">
        <v>-0.56</v>
      </c>
      <c r="D654">
        <v>5.33</v>
      </c>
      <c r="E654" t="s">
        <v>16</v>
      </c>
      <c r="F654" t="s">
        <v>16</v>
      </c>
      <c r="H654">
        <v>-0.18</v>
      </c>
      <c r="I654">
        <v>-6.65</v>
      </c>
      <c r="J654">
        <v>-1.48</v>
      </c>
      <c r="L654">
        <v>-0.56</v>
      </c>
      <c r="M654">
        <v>407.52</v>
      </c>
      <c r="N654">
        <v>0.01</v>
      </c>
      <c r="O654">
        <v>1.14</v>
      </c>
    </row>
    <row r="655" spans="1:15">
      <c r="A655" t="str">
        <f>"002132"</f>
        <v>002132</v>
      </c>
      <c r="B655" t="s">
        <v>685</v>
      </c>
      <c r="C655">
        <v>-1.35</v>
      </c>
      <c r="D655">
        <v>5.11</v>
      </c>
      <c r="E655" t="s">
        <v>16</v>
      </c>
      <c r="F655" t="s">
        <v>16</v>
      </c>
      <c r="H655">
        <v>0</v>
      </c>
      <c r="I655">
        <v>-8.91</v>
      </c>
      <c r="J655">
        <v>-2.48</v>
      </c>
      <c r="L655">
        <v>-0.19</v>
      </c>
      <c r="M655">
        <v>113.43</v>
      </c>
      <c r="N655">
        <v>0.02</v>
      </c>
      <c r="O655">
        <v>1.11</v>
      </c>
    </row>
    <row r="656" spans="1:15">
      <c r="A656" t="str">
        <f>"002133"</f>
        <v>002133</v>
      </c>
      <c r="B656" t="s">
        <v>686</v>
      </c>
      <c r="C656">
        <v>-0.78</v>
      </c>
      <c r="D656">
        <v>2.56</v>
      </c>
      <c r="E656" t="s">
        <v>16</v>
      </c>
      <c r="F656" t="s">
        <v>16</v>
      </c>
      <c r="H656">
        <v>-0.38</v>
      </c>
      <c r="I656">
        <v>-8.24</v>
      </c>
      <c r="J656">
        <v>-1.16</v>
      </c>
      <c r="L656">
        <v>-0.78</v>
      </c>
      <c r="M656">
        <v>8.76</v>
      </c>
      <c r="N656">
        <v>0.01</v>
      </c>
      <c r="O656">
        <v>0.57</v>
      </c>
    </row>
    <row r="657" spans="1:15">
      <c r="A657" t="str">
        <f>"002134"</f>
        <v>002134</v>
      </c>
      <c r="B657" t="s">
        <v>687</v>
      </c>
      <c r="C657">
        <v>1.81</v>
      </c>
      <c r="D657">
        <v>30.32</v>
      </c>
      <c r="E657" t="s">
        <v>16</v>
      </c>
      <c r="F657" t="s">
        <v>16</v>
      </c>
      <c r="H657">
        <v>-0.02</v>
      </c>
      <c r="I657">
        <v>13.56</v>
      </c>
      <c r="J657">
        <v>-1.65</v>
      </c>
      <c r="L657">
        <v>-0.94</v>
      </c>
      <c r="M657">
        <v>527.17</v>
      </c>
      <c r="N657">
        <v>0.1</v>
      </c>
      <c r="O657">
        <v>5.96</v>
      </c>
    </row>
    <row r="658" spans="1:15">
      <c r="A658" t="str">
        <f>"002135"</f>
        <v>002135</v>
      </c>
      <c r="B658" t="s">
        <v>688</v>
      </c>
      <c r="C658">
        <v>-3.46</v>
      </c>
      <c r="D658">
        <v>7.54</v>
      </c>
      <c r="E658" t="s">
        <v>16</v>
      </c>
      <c r="F658" t="s">
        <v>16</v>
      </c>
      <c r="H658">
        <v>0</v>
      </c>
      <c r="I658">
        <v>7.56</v>
      </c>
      <c r="J658">
        <v>-3.7</v>
      </c>
      <c r="L658">
        <v>-0.13</v>
      </c>
      <c r="M658">
        <v>49.84</v>
      </c>
      <c r="N658">
        <v>0.01</v>
      </c>
      <c r="O658">
        <v>0.8</v>
      </c>
    </row>
    <row r="659" spans="1:15">
      <c r="A659" t="str">
        <f>"002136"</f>
        <v>002136</v>
      </c>
      <c r="B659" t="s">
        <v>689</v>
      </c>
      <c r="C659">
        <v>-3.26</v>
      </c>
      <c r="D659">
        <v>13.04</v>
      </c>
      <c r="E659" t="s">
        <v>16</v>
      </c>
      <c r="F659" t="s">
        <v>16</v>
      </c>
      <c r="H659">
        <v>0.77</v>
      </c>
      <c r="I659">
        <v>5.76</v>
      </c>
      <c r="J659">
        <v>-6.05</v>
      </c>
      <c r="K659" t="s">
        <v>57</v>
      </c>
      <c r="L659">
        <v>0.89</v>
      </c>
      <c r="M659">
        <v>78.74</v>
      </c>
      <c r="N659">
        <v>0.04</v>
      </c>
      <c r="O659">
        <v>1</v>
      </c>
    </row>
    <row r="660" spans="1:15">
      <c r="A660" t="str">
        <f>"002137"</f>
        <v>002137</v>
      </c>
      <c r="B660" t="s">
        <v>690</v>
      </c>
      <c r="C660">
        <v>3.84</v>
      </c>
      <c r="D660">
        <v>10.55</v>
      </c>
      <c r="E660" t="s">
        <v>16</v>
      </c>
      <c r="F660" t="s">
        <v>16</v>
      </c>
      <c r="H660">
        <v>0.48</v>
      </c>
      <c r="I660">
        <v>0.09</v>
      </c>
      <c r="J660">
        <v>-3.74</v>
      </c>
      <c r="K660" t="s">
        <v>691</v>
      </c>
      <c r="L660">
        <v>1.77</v>
      </c>
      <c r="M660">
        <v>1656.57</v>
      </c>
      <c r="N660">
        <v>0.48</v>
      </c>
      <c r="O660">
        <v>3.61</v>
      </c>
    </row>
    <row r="661" spans="1:15">
      <c r="A661" t="str">
        <f>"002138"</f>
        <v>002138</v>
      </c>
      <c r="B661" t="s">
        <v>692</v>
      </c>
      <c r="C661">
        <v>6.98</v>
      </c>
      <c r="D661">
        <v>71.16</v>
      </c>
      <c r="E661" t="s">
        <v>16</v>
      </c>
      <c r="F661" t="s">
        <v>16</v>
      </c>
      <c r="H661">
        <v>0.04</v>
      </c>
      <c r="I661">
        <v>40.77</v>
      </c>
      <c r="J661">
        <v>-1.5</v>
      </c>
      <c r="L661">
        <v>-1.01</v>
      </c>
      <c r="M661">
        <v>3389.96</v>
      </c>
      <c r="N661">
        <v>0.08</v>
      </c>
      <c r="O661">
        <v>0.99</v>
      </c>
    </row>
    <row r="662" spans="1:15">
      <c r="A662" t="str">
        <f>"002139"</f>
        <v>002139</v>
      </c>
      <c r="B662" t="s">
        <v>693</v>
      </c>
      <c r="C662">
        <v>1.44</v>
      </c>
      <c r="D662">
        <v>9.88</v>
      </c>
      <c r="E662" t="s">
        <v>16</v>
      </c>
      <c r="F662" t="s">
        <v>16</v>
      </c>
      <c r="H662">
        <v>-0.09</v>
      </c>
      <c r="I662">
        <v>0.1</v>
      </c>
      <c r="J662">
        <v>-1</v>
      </c>
      <c r="L662">
        <v>-0.1</v>
      </c>
      <c r="M662">
        <v>74.14</v>
      </c>
      <c r="N662">
        <v>0.01</v>
      </c>
      <c r="O662">
        <v>1.45</v>
      </c>
    </row>
    <row r="663" spans="1:15">
      <c r="A663" t="str">
        <f>"002140"</f>
        <v>002140</v>
      </c>
      <c r="B663" t="s">
        <v>694</v>
      </c>
      <c r="C663">
        <v>-1.89</v>
      </c>
      <c r="D663">
        <v>9.85</v>
      </c>
      <c r="E663" t="s">
        <v>16</v>
      </c>
      <c r="F663" t="s">
        <v>16</v>
      </c>
      <c r="H663">
        <v>-0.39</v>
      </c>
      <c r="I663">
        <v>-1.99</v>
      </c>
      <c r="J663">
        <v>-1.4</v>
      </c>
      <c r="L663">
        <v>-0.5</v>
      </c>
      <c r="M663">
        <v>22.88</v>
      </c>
      <c r="N663">
        <v>0.01</v>
      </c>
      <c r="O663">
        <v>3.95</v>
      </c>
    </row>
    <row r="664" spans="1:15">
      <c r="A664" t="str">
        <f>"002141"</f>
        <v>002141</v>
      </c>
      <c r="B664" t="s">
        <v>695</v>
      </c>
      <c r="C664">
        <v>10.05</v>
      </c>
      <c r="D664">
        <v>4.71</v>
      </c>
      <c r="E664">
        <v>11378.23</v>
      </c>
      <c r="F664">
        <v>3</v>
      </c>
      <c r="H664">
        <v>0</v>
      </c>
      <c r="I664">
        <v>47.65</v>
      </c>
      <c r="J664">
        <v>0</v>
      </c>
      <c r="K664" t="s">
        <v>696</v>
      </c>
      <c r="L664">
        <v>7.48</v>
      </c>
      <c r="M664">
        <v>2581.24</v>
      </c>
      <c r="N664">
        <v>0.78</v>
      </c>
      <c r="O664">
        <v>1.66</v>
      </c>
    </row>
    <row r="665" spans="1:15">
      <c r="A665" t="str">
        <f>"002142"</f>
        <v>002142</v>
      </c>
      <c r="B665" t="s">
        <v>697</v>
      </c>
      <c r="C665">
        <v>-2.1</v>
      </c>
      <c r="D665">
        <v>30.78</v>
      </c>
      <c r="E665" t="s">
        <v>16</v>
      </c>
      <c r="F665" t="s">
        <v>16</v>
      </c>
      <c r="H665">
        <v>-0.18</v>
      </c>
      <c r="I665">
        <v>1.08</v>
      </c>
      <c r="J665">
        <v>-2.56</v>
      </c>
      <c r="L665">
        <v>0.19</v>
      </c>
      <c r="M665">
        <v>309.71</v>
      </c>
      <c r="N665">
        <v>0</v>
      </c>
      <c r="O665">
        <v>1.23</v>
      </c>
    </row>
    <row r="666" spans="1:15">
      <c r="A666" t="str">
        <f>"002144"</f>
        <v>002144</v>
      </c>
      <c r="B666" t="s">
        <v>698</v>
      </c>
      <c r="C666">
        <v>-0.75</v>
      </c>
      <c r="D666">
        <v>10.61</v>
      </c>
      <c r="E666" t="s">
        <v>16</v>
      </c>
      <c r="F666" t="s">
        <v>16</v>
      </c>
      <c r="H666">
        <v>-0.27</v>
      </c>
      <c r="I666">
        <v>-7.09</v>
      </c>
      <c r="J666">
        <v>-2.39</v>
      </c>
      <c r="L666">
        <v>-0.56</v>
      </c>
      <c r="M666">
        <v>17.33</v>
      </c>
      <c r="N666">
        <v>0.01</v>
      </c>
      <c r="O666">
        <v>0.43</v>
      </c>
    </row>
    <row r="667" spans="1:15">
      <c r="A667" t="str">
        <f>"002145"</f>
        <v>002145</v>
      </c>
      <c r="B667" t="s">
        <v>699</v>
      </c>
      <c r="C667">
        <v>4.93</v>
      </c>
      <c r="D667">
        <v>4.68</v>
      </c>
      <c r="E667" t="s">
        <v>16</v>
      </c>
      <c r="F667" t="s">
        <v>16</v>
      </c>
      <c r="H667">
        <v>0</v>
      </c>
      <c r="I667">
        <v>6.85</v>
      </c>
      <c r="J667">
        <v>-1.47</v>
      </c>
      <c r="L667">
        <v>-0.22</v>
      </c>
      <c r="M667">
        <v>34.04</v>
      </c>
      <c r="N667">
        <v>0</v>
      </c>
      <c r="O667">
        <v>0.18</v>
      </c>
    </row>
    <row r="668" spans="1:15">
      <c r="A668" t="str">
        <f>"002146"</f>
        <v>002146</v>
      </c>
      <c r="B668" t="s">
        <v>700</v>
      </c>
      <c r="C668">
        <v>-2.44</v>
      </c>
      <c r="D668">
        <v>1.2</v>
      </c>
      <c r="E668" t="s">
        <v>16</v>
      </c>
      <c r="F668" t="s">
        <v>16</v>
      </c>
      <c r="H668">
        <v>0</v>
      </c>
      <c r="I668">
        <v>-5.51</v>
      </c>
      <c r="J668">
        <v>-2.44</v>
      </c>
      <c r="L668">
        <v>-0.81</v>
      </c>
      <c r="M668">
        <v>120.48</v>
      </c>
      <c r="N668">
        <v>0.04</v>
      </c>
      <c r="O668">
        <v>2.25</v>
      </c>
    </row>
    <row r="669" spans="1:15">
      <c r="A669" t="str">
        <f>"002148"</f>
        <v>002148</v>
      </c>
      <c r="B669" t="s">
        <v>701</v>
      </c>
      <c r="C669">
        <v>1.46</v>
      </c>
      <c r="D669">
        <v>6.25</v>
      </c>
      <c r="E669" t="s">
        <v>16</v>
      </c>
      <c r="F669" t="s">
        <v>16</v>
      </c>
      <c r="H669">
        <v>0.16</v>
      </c>
      <c r="I669">
        <v>-2.8</v>
      </c>
      <c r="J669">
        <v>-1.42</v>
      </c>
      <c r="L669">
        <v>-0.32</v>
      </c>
      <c r="M669">
        <v>31.93</v>
      </c>
      <c r="N669">
        <v>0.01</v>
      </c>
      <c r="O669">
        <v>1.79</v>
      </c>
    </row>
    <row r="670" spans="1:15">
      <c r="A670" t="str">
        <f>"002149"</f>
        <v>002149</v>
      </c>
      <c r="B670" t="s">
        <v>702</v>
      </c>
      <c r="C670">
        <v>-4.58</v>
      </c>
      <c r="D670">
        <v>57.3</v>
      </c>
      <c r="E670" t="s">
        <v>16</v>
      </c>
      <c r="F670" t="s">
        <v>16</v>
      </c>
      <c r="H670">
        <v>-0.08</v>
      </c>
      <c r="I670">
        <v>-8.33</v>
      </c>
      <c r="J670">
        <v>-3.18</v>
      </c>
      <c r="L670">
        <v>-3.08</v>
      </c>
      <c r="M670">
        <v>3003.7</v>
      </c>
      <c r="N670">
        <v>0.16</v>
      </c>
      <c r="O670">
        <v>1.2</v>
      </c>
    </row>
    <row r="671" spans="1:15">
      <c r="A671" t="str">
        <f>"002150"</f>
        <v>002150</v>
      </c>
      <c r="B671" t="s">
        <v>703</v>
      </c>
      <c r="C671">
        <v>3.87</v>
      </c>
      <c r="D671">
        <v>26.54</v>
      </c>
      <c r="E671" t="s">
        <v>16</v>
      </c>
      <c r="F671" t="s">
        <v>16</v>
      </c>
      <c r="H671">
        <v>-0.07</v>
      </c>
      <c r="I671">
        <v>-7.2</v>
      </c>
      <c r="J671">
        <v>-2.07</v>
      </c>
      <c r="L671">
        <v>-0.74</v>
      </c>
      <c r="M671">
        <v>79.88</v>
      </c>
      <c r="N671">
        <v>0.02</v>
      </c>
      <c r="O671">
        <v>1.39</v>
      </c>
    </row>
    <row r="672" spans="1:15">
      <c r="A672" t="str">
        <f>"002151"</f>
        <v>002151</v>
      </c>
      <c r="B672" t="s">
        <v>704</v>
      </c>
      <c r="C672">
        <v>-0.39</v>
      </c>
      <c r="D672">
        <v>33.32</v>
      </c>
      <c r="E672" t="s">
        <v>16</v>
      </c>
      <c r="F672" t="s">
        <v>16</v>
      </c>
      <c r="H672">
        <v>0</v>
      </c>
      <c r="I672">
        <v>-2.43</v>
      </c>
      <c r="J672">
        <v>-1.42</v>
      </c>
      <c r="L672">
        <v>-0.81</v>
      </c>
      <c r="M672">
        <v>168.22</v>
      </c>
      <c r="N672">
        <v>0.01</v>
      </c>
      <c r="O672">
        <v>1.54</v>
      </c>
    </row>
    <row r="673" spans="1:15">
      <c r="A673" t="str">
        <f>"002152"</f>
        <v>002152</v>
      </c>
      <c r="B673" t="s">
        <v>705</v>
      </c>
      <c r="C673">
        <v>-1.78</v>
      </c>
      <c r="D673">
        <v>9.92</v>
      </c>
      <c r="E673" t="s">
        <v>16</v>
      </c>
      <c r="F673" t="s">
        <v>16</v>
      </c>
      <c r="H673">
        <v>-0.09</v>
      </c>
      <c r="I673">
        <v>-1.98</v>
      </c>
      <c r="J673">
        <v>-1.88</v>
      </c>
      <c r="L673">
        <v>-0.89</v>
      </c>
      <c r="M673">
        <v>77.58</v>
      </c>
      <c r="N673">
        <v>0.01</v>
      </c>
      <c r="O673">
        <v>1.31</v>
      </c>
    </row>
    <row r="674" spans="1:15">
      <c r="A674" t="str">
        <f>"002153"</f>
        <v>002153</v>
      </c>
      <c r="B674" t="s">
        <v>706</v>
      </c>
      <c r="C674">
        <v>-0.78</v>
      </c>
      <c r="D674">
        <v>7.68</v>
      </c>
      <c r="E674" t="s">
        <v>16</v>
      </c>
      <c r="F674" t="s">
        <v>16</v>
      </c>
      <c r="H674">
        <v>-0.25</v>
      </c>
      <c r="I674">
        <v>-4.83</v>
      </c>
      <c r="J674">
        <v>-2.04</v>
      </c>
      <c r="L674">
        <v>-0.39</v>
      </c>
      <c r="M674">
        <v>20.82</v>
      </c>
      <c r="N674">
        <v>0</v>
      </c>
      <c r="O674">
        <v>0.29</v>
      </c>
    </row>
    <row r="675" spans="1:15">
      <c r="A675" t="str">
        <f>"002154"</f>
        <v>002154</v>
      </c>
      <c r="B675" t="s">
        <v>707</v>
      </c>
      <c r="C675">
        <v>0.52</v>
      </c>
      <c r="D675">
        <v>3.88</v>
      </c>
      <c r="E675" t="s">
        <v>16</v>
      </c>
      <c r="F675" t="s">
        <v>16</v>
      </c>
      <c r="H675">
        <v>0</v>
      </c>
      <c r="I675">
        <v>-2.76</v>
      </c>
      <c r="J675">
        <v>-1.27</v>
      </c>
      <c r="L675">
        <v>0.26</v>
      </c>
      <c r="M675">
        <v>9.37</v>
      </c>
      <c r="N675">
        <v>0</v>
      </c>
      <c r="O675">
        <v>1.25</v>
      </c>
    </row>
    <row r="676" spans="1:15">
      <c r="A676" t="str">
        <f>"002155"</f>
        <v>002155</v>
      </c>
      <c r="B676" t="s">
        <v>708</v>
      </c>
      <c r="C676">
        <v>0.6</v>
      </c>
      <c r="D676">
        <v>26.66</v>
      </c>
      <c r="E676" t="s">
        <v>16</v>
      </c>
      <c r="F676" t="s">
        <v>16</v>
      </c>
      <c r="H676">
        <v>-0.06</v>
      </c>
      <c r="I676">
        <v>8.51</v>
      </c>
      <c r="J676">
        <v>-1.22</v>
      </c>
      <c r="L676">
        <v>-0.72</v>
      </c>
      <c r="M676">
        <v>2213.2</v>
      </c>
      <c r="N676">
        <v>0.08</v>
      </c>
      <c r="O676">
        <v>2.35</v>
      </c>
    </row>
    <row r="677" spans="1:15">
      <c r="A677" t="str">
        <f>"002156"</f>
        <v>002156</v>
      </c>
      <c r="B677" t="s">
        <v>709</v>
      </c>
      <c r="C677">
        <v>1.56</v>
      </c>
      <c r="D677">
        <v>68.27</v>
      </c>
      <c r="E677" t="s">
        <v>16</v>
      </c>
      <c r="F677" t="s">
        <v>16</v>
      </c>
      <c r="H677">
        <v>-0.03</v>
      </c>
      <c r="I677">
        <v>-3.98</v>
      </c>
      <c r="J677">
        <v>-1.56</v>
      </c>
      <c r="L677">
        <v>-0.34</v>
      </c>
      <c r="M677">
        <v>10051.85</v>
      </c>
      <c r="N677">
        <v>0.13</v>
      </c>
      <c r="O677">
        <v>1.12</v>
      </c>
    </row>
    <row r="678" spans="1:15">
      <c r="A678" t="str">
        <f>"002157"</f>
        <v>002157</v>
      </c>
      <c r="B678" t="s">
        <v>710</v>
      </c>
      <c r="C678">
        <v>-4.29</v>
      </c>
      <c r="D678">
        <v>2.9</v>
      </c>
      <c r="E678" t="s">
        <v>16</v>
      </c>
      <c r="F678" t="s">
        <v>16</v>
      </c>
      <c r="H678">
        <v>-0.67</v>
      </c>
      <c r="I678">
        <v>-5.54</v>
      </c>
      <c r="J678">
        <v>-4.29</v>
      </c>
      <c r="L678">
        <v>-0.33</v>
      </c>
      <c r="M678">
        <v>117.12</v>
      </c>
      <c r="N678">
        <v>0.01</v>
      </c>
      <c r="O678">
        <v>1.61</v>
      </c>
    </row>
    <row r="679" spans="1:15">
      <c r="A679" t="str">
        <f>"002158"</f>
        <v>002158</v>
      </c>
      <c r="B679" t="s">
        <v>711</v>
      </c>
      <c r="C679">
        <v>9.99</v>
      </c>
      <c r="D679">
        <v>34.35</v>
      </c>
      <c r="E679">
        <v>10465.07</v>
      </c>
      <c r="F679">
        <v>1</v>
      </c>
      <c r="H679">
        <v>0</v>
      </c>
      <c r="I679">
        <v>19.15</v>
      </c>
      <c r="J679">
        <v>0</v>
      </c>
      <c r="K679" t="s">
        <v>140</v>
      </c>
      <c r="L679">
        <v>-0.03</v>
      </c>
      <c r="M679">
        <v>204.18</v>
      </c>
      <c r="N679">
        <v>0.03</v>
      </c>
      <c r="O679">
        <v>0.83</v>
      </c>
    </row>
    <row r="680" spans="1:15">
      <c r="A680" t="str">
        <f>"002159"</f>
        <v>002159</v>
      </c>
      <c r="B680" t="s">
        <v>712</v>
      </c>
      <c r="C680">
        <v>10.03</v>
      </c>
      <c r="D680">
        <v>14.37</v>
      </c>
      <c r="E680">
        <v>4662.92</v>
      </c>
      <c r="F680">
        <v>1</v>
      </c>
      <c r="H680">
        <v>0</v>
      </c>
      <c r="I680">
        <v>3.23</v>
      </c>
      <c r="J680">
        <v>0</v>
      </c>
      <c r="K680" t="s">
        <v>140</v>
      </c>
      <c r="L680">
        <v>1.68</v>
      </c>
      <c r="M680">
        <v>369.85</v>
      </c>
      <c r="N680">
        <v>0.29</v>
      </c>
      <c r="O680">
        <v>73.29</v>
      </c>
    </row>
    <row r="681" spans="1:15">
      <c r="A681" t="str">
        <f>"002160"</f>
        <v>002160</v>
      </c>
      <c r="B681" t="s">
        <v>713</v>
      </c>
      <c r="C681">
        <v>-8.79</v>
      </c>
      <c r="D681">
        <v>4.36</v>
      </c>
      <c r="E681" t="s">
        <v>16</v>
      </c>
      <c r="F681" t="s">
        <v>16</v>
      </c>
      <c r="H681">
        <v>0.23</v>
      </c>
      <c r="I681">
        <v>-0.46</v>
      </c>
      <c r="J681">
        <v>-6.03</v>
      </c>
      <c r="K681" t="s">
        <v>26</v>
      </c>
      <c r="L681">
        <v>-4.39</v>
      </c>
      <c r="M681">
        <v>2526.16</v>
      </c>
      <c r="N681">
        <v>0.91</v>
      </c>
      <c r="O681">
        <v>0.74</v>
      </c>
    </row>
    <row r="682" spans="1:15">
      <c r="A682" t="str">
        <f>"002161"</f>
        <v>002161</v>
      </c>
      <c r="B682" t="s">
        <v>714</v>
      </c>
      <c r="C682">
        <v>-2.72</v>
      </c>
      <c r="D682">
        <v>6.09</v>
      </c>
      <c r="E682" t="s">
        <v>16</v>
      </c>
      <c r="F682" t="s">
        <v>16</v>
      </c>
      <c r="H682">
        <v>0.16</v>
      </c>
      <c r="I682">
        <v>1.5</v>
      </c>
      <c r="J682">
        <v>-4.99</v>
      </c>
      <c r="K682" t="s">
        <v>54</v>
      </c>
      <c r="L682">
        <v>0</v>
      </c>
      <c r="M682">
        <v>511.15</v>
      </c>
      <c r="N682">
        <v>0.13</v>
      </c>
      <c r="O682">
        <v>7.81</v>
      </c>
    </row>
    <row r="683" spans="1:15">
      <c r="A683" t="str">
        <f>"002162"</f>
        <v>002162</v>
      </c>
      <c r="B683" t="s">
        <v>715</v>
      </c>
      <c r="C683">
        <v>-0.84</v>
      </c>
      <c r="D683">
        <v>3.54</v>
      </c>
      <c r="E683" t="s">
        <v>16</v>
      </c>
      <c r="F683" t="s">
        <v>16</v>
      </c>
      <c r="H683">
        <v>-0.27</v>
      </c>
      <c r="I683">
        <v>-4.58</v>
      </c>
      <c r="J683">
        <v>-1.39</v>
      </c>
      <c r="L683">
        <v>-0.28</v>
      </c>
      <c r="M683">
        <v>6.59</v>
      </c>
      <c r="N683">
        <v>0</v>
      </c>
      <c r="O683">
        <v>0.11</v>
      </c>
    </row>
    <row r="684" spans="1:15">
      <c r="A684" t="str">
        <f>"002163"</f>
        <v>002163</v>
      </c>
      <c r="B684" t="s">
        <v>716</v>
      </c>
      <c r="C684">
        <v>-1.95</v>
      </c>
      <c r="D684">
        <v>9.06</v>
      </c>
      <c r="E684" t="s">
        <v>16</v>
      </c>
      <c r="F684" t="s">
        <v>16</v>
      </c>
      <c r="H684">
        <v>-0.21</v>
      </c>
      <c r="I684">
        <v>-7.36</v>
      </c>
      <c r="J684">
        <v>-1.74</v>
      </c>
      <c r="L684">
        <v>-0.76</v>
      </c>
      <c r="M684">
        <v>22.01</v>
      </c>
      <c r="N684">
        <v>0</v>
      </c>
      <c r="O684">
        <v>0.68</v>
      </c>
    </row>
    <row r="685" spans="1:15">
      <c r="A685" t="str">
        <f>"002164"</f>
        <v>002164</v>
      </c>
      <c r="B685" t="s">
        <v>717</v>
      </c>
      <c r="C685">
        <v>0.23</v>
      </c>
      <c r="D685">
        <v>12.86</v>
      </c>
      <c r="E685" t="s">
        <v>16</v>
      </c>
      <c r="F685" t="s">
        <v>16</v>
      </c>
      <c r="H685">
        <v>0.08</v>
      </c>
      <c r="I685">
        <v>5.15</v>
      </c>
      <c r="J685">
        <v>-1.83</v>
      </c>
      <c r="L685">
        <v>-0.78</v>
      </c>
      <c r="M685">
        <v>102.86</v>
      </c>
      <c r="N685">
        <v>0.03</v>
      </c>
      <c r="O685">
        <v>1.39</v>
      </c>
    </row>
    <row r="686" spans="1:15">
      <c r="A686" t="str">
        <f>"002165"</f>
        <v>002165</v>
      </c>
      <c r="B686" t="s">
        <v>718</v>
      </c>
      <c r="C686">
        <v>-8.53</v>
      </c>
      <c r="D686">
        <v>6.76</v>
      </c>
      <c r="E686" t="s">
        <v>16</v>
      </c>
      <c r="F686" t="s">
        <v>16</v>
      </c>
      <c r="H686">
        <v>-0.14</v>
      </c>
      <c r="I686">
        <v>3.21</v>
      </c>
      <c r="J686">
        <v>-6.89</v>
      </c>
      <c r="L686">
        <v>-1.76</v>
      </c>
      <c r="M686">
        <v>449.76</v>
      </c>
      <c r="N686">
        <v>0.11</v>
      </c>
      <c r="O686">
        <v>1.17</v>
      </c>
    </row>
    <row r="687" spans="1:15">
      <c r="A687" t="str">
        <f>"002166"</f>
        <v>002166</v>
      </c>
      <c r="B687" t="s">
        <v>719</v>
      </c>
      <c r="C687">
        <v>-1.37</v>
      </c>
      <c r="D687">
        <v>7.2</v>
      </c>
      <c r="E687" t="s">
        <v>16</v>
      </c>
      <c r="F687" t="s">
        <v>16</v>
      </c>
      <c r="H687">
        <v>-0.27</v>
      </c>
      <c r="I687">
        <v>-6.49</v>
      </c>
      <c r="J687">
        <v>-2.17</v>
      </c>
      <c r="L687">
        <v>0</v>
      </c>
      <c r="M687">
        <v>25.43</v>
      </c>
      <c r="N687">
        <v>0.01</v>
      </c>
      <c r="O687">
        <v>5.44</v>
      </c>
    </row>
    <row r="688" spans="1:15">
      <c r="A688" t="str">
        <f>"002167"</f>
        <v>002167</v>
      </c>
      <c r="B688" t="s">
        <v>720</v>
      </c>
      <c r="C688">
        <v>10.03</v>
      </c>
      <c r="D688">
        <v>16.13</v>
      </c>
      <c r="E688">
        <v>41790.41</v>
      </c>
      <c r="F688">
        <v>1</v>
      </c>
      <c r="H688">
        <v>0</v>
      </c>
      <c r="I688">
        <v>14.89</v>
      </c>
      <c r="J688">
        <v>0</v>
      </c>
      <c r="K688" t="s">
        <v>140</v>
      </c>
      <c r="L688">
        <v>10.03</v>
      </c>
      <c r="M688">
        <v>11077.22</v>
      </c>
      <c r="N688">
        <v>1.22</v>
      </c>
      <c r="O688">
        <v>10.78</v>
      </c>
    </row>
    <row r="689" spans="1:15">
      <c r="A689" t="str">
        <f>"002168"</f>
        <v>002168</v>
      </c>
      <c r="B689" t="s">
        <v>721</v>
      </c>
      <c r="C689">
        <v>-2.64</v>
      </c>
      <c r="D689">
        <v>3.69</v>
      </c>
      <c r="E689" t="s">
        <v>16</v>
      </c>
      <c r="F689" t="s">
        <v>16</v>
      </c>
      <c r="H689">
        <v>-0.26</v>
      </c>
      <c r="I689">
        <v>2.5</v>
      </c>
      <c r="J689">
        <v>-2.38</v>
      </c>
      <c r="L689">
        <v>-0.26</v>
      </c>
      <c r="M689">
        <v>9.9</v>
      </c>
      <c r="N689">
        <v>0</v>
      </c>
      <c r="O689">
        <v>3.54</v>
      </c>
    </row>
    <row r="690" spans="1:15">
      <c r="A690" t="str">
        <f>"002169"</f>
        <v>002169</v>
      </c>
      <c r="B690" t="s">
        <v>722</v>
      </c>
      <c r="C690">
        <v>-4.94</v>
      </c>
      <c r="D690">
        <v>14.23</v>
      </c>
      <c r="E690" t="s">
        <v>16</v>
      </c>
      <c r="F690" t="s">
        <v>16</v>
      </c>
      <c r="H690">
        <v>0.28</v>
      </c>
      <c r="I690">
        <v>-10.45</v>
      </c>
      <c r="J690">
        <v>-4.18</v>
      </c>
      <c r="L690">
        <v>-0.94</v>
      </c>
      <c r="M690">
        <v>169.36</v>
      </c>
      <c r="N690">
        <v>0.02</v>
      </c>
      <c r="O690">
        <v>0.43</v>
      </c>
    </row>
    <row r="691" spans="1:15">
      <c r="A691" t="str">
        <f>"002170"</f>
        <v>002170</v>
      </c>
      <c r="B691" t="s">
        <v>723</v>
      </c>
      <c r="C691">
        <v>-2.17</v>
      </c>
      <c r="D691">
        <v>10.82</v>
      </c>
      <c r="E691" t="s">
        <v>16</v>
      </c>
      <c r="F691" t="s">
        <v>16</v>
      </c>
      <c r="H691">
        <v>-0.08</v>
      </c>
      <c r="I691">
        <v>-5.83</v>
      </c>
      <c r="J691">
        <v>-2.79</v>
      </c>
      <c r="L691">
        <v>0.09</v>
      </c>
      <c r="M691">
        <v>38.97</v>
      </c>
      <c r="N691">
        <v>0</v>
      </c>
      <c r="O691">
        <v>0.97</v>
      </c>
    </row>
    <row r="692" spans="1:15">
      <c r="A692" t="str">
        <f>"002171"</f>
        <v>002171</v>
      </c>
      <c r="B692" t="s">
        <v>724</v>
      </c>
      <c r="C692">
        <v>2.53</v>
      </c>
      <c r="D692">
        <v>15.38</v>
      </c>
      <c r="E692" t="s">
        <v>16</v>
      </c>
      <c r="F692" t="s">
        <v>16</v>
      </c>
      <c r="H692">
        <v>-0.57</v>
      </c>
      <c r="I692">
        <v>21.68</v>
      </c>
      <c r="J692">
        <v>-3.63</v>
      </c>
      <c r="L692">
        <v>-1</v>
      </c>
      <c r="M692">
        <v>3251.26</v>
      </c>
      <c r="N692">
        <v>0.18</v>
      </c>
      <c r="O692">
        <v>1.33</v>
      </c>
    </row>
    <row r="693" spans="1:15">
      <c r="A693" t="str">
        <f>"002172"</f>
        <v>002172</v>
      </c>
      <c r="B693" t="s">
        <v>725</v>
      </c>
      <c r="C693">
        <v>-0.33</v>
      </c>
      <c r="D693">
        <v>3</v>
      </c>
      <c r="E693" t="s">
        <v>16</v>
      </c>
      <c r="F693" t="s">
        <v>16</v>
      </c>
      <c r="H693">
        <v>0</v>
      </c>
      <c r="I693">
        <v>-6.54</v>
      </c>
      <c r="J693">
        <v>-1.64</v>
      </c>
      <c r="L693">
        <v>-0.33</v>
      </c>
      <c r="M693">
        <v>9.57</v>
      </c>
      <c r="N693">
        <v>0.01</v>
      </c>
      <c r="O693">
        <v>2.03</v>
      </c>
    </row>
    <row r="694" spans="1:15">
      <c r="A694" t="str">
        <f>"002173"</f>
        <v>002173</v>
      </c>
      <c r="B694" t="s">
        <v>726</v>
      </c>
      <c r="C694">
        <v>-0.98</v>
      </c>
      <c r="D694">
        <v>17.1</v>
      </c>
      <c r="E694" t="s">
        <v>16</v>
      </c>
      <c r="F694" t="s">
        <v>16</v>
      </c>
      <c r="H694">
        <v>0.18</v>
      </c>
      <c r="I694">
        <v>-3.01</v>
      </c>
      <c r="J694">
        <v>-3.12</v>
      </c>
      <c r="L694">
        <v>0.23</v>
      </c>
      <c r="M694">
        <v>127.06</v>
      </c>
      <c r="N694">
        <v>0.02</v>
      </c>
      <c r="O694">
        <v>0.96</v>
      </c>
    </row>
    <row r="695" spans="1:15">
      <c r="A695" t="str">
        <f>"002174"</f>
        <v>002174</v>
      </c>
      <c r="B695" t="s">
        <v>727</v>
      </c>
      <c r="C695">
        <v>0</v>
      </c>
      <c r="D695">
        <v>11.62</v>
      </c>
      <c r="E695" t="s">
        <v>16</v>
      </c>
      <c r="F695" t="s">
        <v>16</v>
      </c>
      <c r="H695">
        <v>-0.08</v>
      </c>
      <c r="I695">
        <v>7.1</v>
      </c>
      <c r="J695">
        <v>-2.52</v>
      </c>
      <c r="K695" t="s">
        <v>57</v>
      </c>
      <c r="L695">
        <v>0.09</v>
      </c>
      <c r="M695">
        <v>142.93</v>
      </c>
      <c r="N695">
        <v>0.02</v>
      </c>
      <c r="O695">
        <v>0.23</v>
      </c>
    </row>
    <row r="696" spans="1:15">
      <c r="A696" t="str">
        <f>"002175"</f>
        <v>002175</v>
      </c>
      <c r="B696" t="s">
        <v>728</v>
      </c>
      <c r="C696">
        <v>-0.97</v>
      </c>
      <c r="D696">
        <v>2.05</v>
      </c>
      <c r="E696" t="s">
        <v>16</v>
      </c>
      <c r="F696" t="s">
        <v>16</v>
      </c>
      <c r="H696">
        <v>0.99</v>
      </c>
      <c r="I696">
        <v>-17.67</v>
      </c>
      <c r="J696">
        <v>-2.38</v>
      </c>
      <c r="L696">
        <v>-0.97</v>
      </c>
      <c r="M696">
        <v>96.06</v>
      </c>
      <c r="N696">
        <v>0.05</v>
      </c>
      <c r="O696">
        <v>1.48</v>
      </c>
    </row>
    <row r="697" spans="1:15">
      <c r="A697" t="str">
        <f>"002176"</f>
        <v>002176</v>
      </c>
      <c r="B697" t="s">
        <v>729</v>
      </c>
      <c r="C697">
        <v>-3.39</v>
      </c>
      <c r="D697">
        <v>11.1</v>
      </c>
      <c r="E697" t="s">
        <v>16</v>
      </c>
      <c r="F697" t="s">
        <v>16</v>
      </c>
      <c r="H697">
        <v>-0.08</v>
      </c>
      <c r="I697">
        <v>1.19</v>
      </c>
      <c r="J697">
        <v>-4.06</v>
      </c>
      <c r="L697">
        <v>-0.61</v>
      </c>
      <c r="M697">
        <v>614.28</v>
      </c>
      <c r="N697">
        <v>0.04</v>
      </c>
      <c r="O697">
        <v>0.86</v>
      </c>
    </row>
    <row r="698" spans="1:15">
      <c r="A698" t="str">
        <f>"002177"</f>
        <v>002177</v>
      </c>
      <c r="B698" t="s">
        <v>730</v>
      </c>
      <c r="C698">
        <v>-5.52</v>
      </c>
      <c r="D698">
        <v>6.16</v>
      </c>
      <c r="E698" t="s">
        <v>16</v>
      </c>
      <c r="F698" t="s">
        <v>16</v>
      </c>
      <c r="H698">
        <v>0</v>
      </c>
      <c r="I698">
        <v>-6.67</v>
      </c>
      <c r="J698">
        <v>-5.23</v>
      </c>
      <c r="L698">
        <v>-0.61</v>
      </c>
      <c r="M698">
        <v>1528.24</v>
      </c>
      <c r="N698">
        <v>0.36</v>
      </c>
      <c r="O698">
        <v>22.38</v>
      </c>
    </row>
    <row r="699" spans="1:15">
      <c r="A699" t="str">
        <f>"002178"</f>
        <v>002178</v>
      </c>
      <c r="B699" t="s">
        <v>731</v>
      </c>
      <c r="C699">
        <v>-3.52</v>
      </c>
      <c r="D699">
        <v>4.93</v>
      </c>
      <c r="E699" t="s">
        <v>16</v>
      </c>
      <c r="F699" t="s">
        <v>16</v>
      </c>
      <c r="H699">
        <v>-0.19</v>
      </c>
      <c r="I699">
        <v>-9.04</v>
      </c>
      <c r="J699">
        <v>-3.33</v>
      </c>
      <c r="L699">
        <v>-0.2</v>
      </c>
      <c r="M699">
        <v>11.22</v>
      </c>
      <c r="N699">
        <v>0</v>
      </c>
      <c r="O699">
        <v>0.22</v>
      </c>
    </row>
    <row r="700" spans="1:15">
      <c r="A700" t="str">
        <f>"002179"</f>
        <v>002179</v>
      </c>
      <c r="B700" t="s">
        <v>732</v>
      </c>
      <c r="C700">
        <v>5.05</v>
      </c>
      <c r="D700">
        <v>40.78</v>
      </c>
      <c r="E700" t="s">
        <v>16</v>
      </c>
      <c r="F700" t="s">
        <v>16</v>
      </c>
      <c r="H700">
        <v>0.02</v>
      </c>
      <c r="I700">
        <v>3.98</v>
      </c>
      <c r="J700">
        <v>-1.14</v>
      </c>
      <c r="L700">
        <v>0.36</v>
      </c>
      <c r="M700">
        <v>1074.52</v>
      </c>
      <c r="N700">
        <v>0.03</v>
      </c>
      <c r="O700">
        <v>1.83</v>
      </c>
    </row>
    <row r="701" spans="1:15">
      <c r="A701" t="str">
        <f>"002180"</f>
        <v>002180</v>
      </c>
      <c r="B701" t="s">
        <v>733</v>
      </c>
      <c r="C701">
        <v>-1.74</v>
      </c>
      <c r="D701">
        <v>14.12</v>
      </c>
      <c r="E701" t="s">
        <v>16</v>
      </c>
      <c r="F701" t="s">
        <v>16</v>
      </c>
      <c r="H701">
        <v>-0.41</v>
      </c>
      <c r="I701">
        <v>-9.31</v>
      </c>
      <c r="J701">
        <v>-6.98</v>
      </c>
      <c r="L701">
        <v>1.11</v>
      </c>
      <c r="M701">
        <v>500.7</v>
      </c>
      <c r="N701">
        <v>0.04</v>
      </c>
      <c r="O701">
        <v>12.53</v>
      </c>
    </row>
    <row r="702" spans="1:15">
      <c r="A702" t="str">
        <f>"002181"</f>
        <v>002181</v>
      </c>
      <c r="B702" t="s">
        <v>734</v>
      </c>
      <c r="C702">
        <v>-2.89</v>
      </c>
      <c r="D702">
        <v>11.07</v>
      </c>
      <c r="E702" t="s">
        <v>16</v>
      </c>
      <c r="F702" t="s">
        <v>16</v>
      </c>
      <c r="H702">
        <v>0</v>
      </c>
      <c r="I702">
        <v>-27.79</v>
      </c>
      <c r="J702">
        <v>-3.82</v>
      </c>
      <c r="L702">
        <v>-0.53</v>
      </c>
      <c r="M702">
        <v>541.14</v>
      </c>
      <c r="N702">
        <v>0.13</v>
      </c>
      <c r="O702">
        <v>1.67</v>
      </c>
    </row>
    <row r="703" spans="1:15">
      <c r="A703" t="str">
        <f>"002182"</f>
        <v>002182</v>
      </c>
      <c r="B703" t="s">
        <v>735</v>
      </c>
      <c r="C703">
        <v>-0.87</v>
      </c>
      <c r="D703">
        <v>13.6</v>
      </c>
      <c r="E703" t="s">
        <v>16</v>
      </c>
      <c r="F703" t="s">
        <v>16</v>
      </c>
      <c r="H703">
        <v>-0.06</v>
      </c>
      <c r="I703">
        <v>-3.2</v>
      </c>
      <c r="J703">
        <v>-3.27</v>
      </c>
      <c r="L703">
        <v>-0.15</v>
      </c>
      <c r="M703">
        <v>29.46</v>
      </c>
      <c r="N703">
        <v>0</v>
      </c>
      <c r="O703">
        <v>0.25</v>
      </c>
    </row>
    <row r="704" spans="1:15">
      <c r="A704" t="str">
        <f>"002183"</f>
        <v>002183</v>
      </c>
      <c r="B704" t="s">
        <v>736</v>
      </c>
      <c r="C704">
        <v>0</v>
      </c>
      <c r="D704">
        <v>5.67</v>
      </c>
      <c r="E704" t="s">
        <v>16</v>
      </c>
      <c r="F704" t="s">
        <v>16</v>
      </c>
      <c r="H704">
        <v>0</v>
      </c>
      <c r="I704">
        <v>-10.99</v>
      </c>
      <c r="J704">
        <v>-1.39</v>
      </c>
      <c r="L704">
        <v>-1.06</v>
      </c>
      <c r="M704">
        <v>272.98</v>
      </c>
      <c r="N704">
        <v>0.03</v>
      </c>
      <c r="O704">
        <v>0.18</v>
      </c>
    </row>
    <row r="705" spans="1:15">
      <c r="A705" t="str">
        <f>"002184"</f>
        <v>002184</v>
      </c>
      <c r="B705" t="s">
        <v>737</v>
      </c>
      <c r="C705">
        <v>-1.33</v>
      </c>
      <c r="D705">
        <v>10.4</v>
      </c>
      <c r="E705" t="s">
        <v>16</v>
      </c>
      <c r="F705" t="s">
        <v>16</v>
      </c>
      <c r="H705">
        <v>-0.18</v>
      </c>
      <c r="I705">
        <v>-7.56</v>
      </c>
      <c r="J705">
        <v>-1.52</v>
      </c>
      <c r="L705">
        <v>-1.14</v>
      </c>
      <c r="M705">
        <v>30.74</v>
      </c>
      <c r="N705">
        <v>0.01</v>
      </c>
      <c r="O705">
        <v>2.01</v>
      </c>
    </row>
    <row r="706" spans="1:15">
      <c r="A706" t="str">
        <f>"002185"</f>
        <v>002185</v>
      </c>
      <c r="B706" t="s">
        <v>738</v>
      </c>
      <c r="C706">
        <v>2.94</v>
      </c>
      <c r="D706">
        <v>19.61</v>
      </c>
      <c r="E706" t="s">
        <v>16</v>
      </c>
      <c r="F706" t="s">
        <v>16</v>
      </c>
      <c r="H706">
        <v>0.05</v>
      </c>
      <c r="I706">
        <v>1.92</v>
      </c>
      <c r="J706">
        <v>-1.65</v>
      </c>
      <c r="L706">
        <v>1.31</v>
      </c>
      <c r="M706">
        <v>10794.97</v>
      </c>
      <c r="N706">
        <v>0.22</v>
      </c>
      <c r="O706">
        <v>2.37</v>
      </c>
    </row>
    <row r="707" spans="1:15">
      <c r="A707" t="str">
        <f>"002186"</f>
        <v>002186</v>
      </c>
      <c r="B707" t="s">
        <v>739</v>
      </c>
      <c r="C707">
        <v>-0.23</v>
      </c>
      <c r="D707">
        <v>8.79</v>
      </c>
      <c r="E707" t="s">
        <v>16</v>
      </c>
      <c r="F707" t="s">
        <v>16</v>
      </c>
      <c r="H707">
        <v>0.11</v>
      </c>
      <c r="I707">
        <v>-4.97</v>
      </c>
      <c r="J707">
        <v>-0.9</v>
      </c>
      <c r="L707">
        <v>-0.45</v>
      </c>
      <c r="M707">
        <v>8.33</v>
      </c>
      <c r="N707">
        <v>0.01</v>
      </c>
      <c r="O707">
        <v>47.49</v>
      </c>
    </row>
    <row r="708" spans="1:15">
      <c r="A708" t="str">
        <f>"002187"</f>
        <v>002187</v>
      </c>
      <c r="B708" t="s">
        <v>740</v>
      </c>
      <c r="C708">
        <v>-0.6</v>
      </c>
      <c r="D708">
        <v>5.01</v>
      </c>
      <c r="E708" t="s">
        <v>16</v>
      </c>
      <c r="F708" t="s">
        <v>16</v>
      </c>
      <c r="H708">
        <v>0.4</v>
      </c>
      <c r="I708">
        <v>-7.73</v>
      </c>
      <c r="J708">
        <v>-0.99</v>
      </c>
      <c r="L708">
        <v>-1.19</v>
      </c>
      <c r="M708">
        <v>7.07</v>
      </c>
      <c r="N708">
        <v>0</v>
      </c>
      <c r="O708">
        <v>0.56</v>
      </c>
    </row>
    <row r="709" spans="1:15">
      <c r="A709" t="str">
        <f>"002188"</f>
        <v>002188</v>
      </c>
      <c r="B709" t="s">
        <v>741</v>
      </c>
      <c r="C709">
        <v>-0.94</v>
      </c>
      <c r="D709">
        <v>5.29</v>
      </c>
      <c r="E709" t="s">
        <v>16</v>
      </c>
      <c r="F709" t="s">
        <v>16</v>
      </c>
      <c r="H709">
        <v>-0.55</v>
      </c>
      <c r="I709">
        <v>-7.84</v>
      </c>
      <c r="J709">
        <v>-0.94</v>
      </c>
      <c r="L709">
        <v>-0.56</v>
      </c>
      <c r="M709">
        <v>130.57</v>
      </c>
      <c r="N709">
        <v>0.12</v>
      </c>
      <c r="O709">
        <v>6.3</v>
      </c>
    </row>
    <row r="710" spans="1:15">
      <c r="A710" t="str">
        <f>"002189"</f>
        <v>002189</v>
      </c>
      <c r="B710" t="s">
        <v>742</v>
      </c>
      <c r="C710">
        <v>-4.42</v>
      </c>
      <c r="D710">
        <v>19.88</v>
      </c>
      <c r="E710" t="s">
        <v>16</v>
      </c>
      <c r="F710" t="s">
        <v>16</v>
      </c>
      <c r="H710">
        <v>-0.04</v>
      </c>
      <c r="I710">
        <v>-3.12</v>
      </c>
      <c r="J710">
        <v>-3.87</v>
      </c>
      <c r="L710">
        <v>-0.67</v>
      </c>
      <c r="M710">
        <v>16.73</v>
      </c>
      <c r="N710">
        <v>0.01</v>
      </c>
      <c r="O710">
        <v>0.94</v>
      </c>
    </row>
    <row r="711" spans="1:15">
      <c r="A711" t="str">
        <f>"002190"</f>
        <v>002190</v>
      </c>
      <c r="B711" t="s">
        <v>743</v>
      </c>
      <c r="C711">
        <v>-3.11</v>
      </c>
      <c r="D711">
        <v>26.46</v>
      </c>
      <c r="E711" t="s">
        <v>16</v>
      </c>
      <c r="F711" t="s">
        <v>16</v>
      </c>
      <c r="H711">
        <v>-0.1</v>
      </c>
      <c r="I711">
        <v>1.34</v>
      </c>
      <c r="J711">
        <v>-1.34</v>
      </c>
      <c r="L711">
        <v>-1.87</v>
      </c>
      <c r="M711">
        <v>189.74</v>
      </c>
      <c r="N711">
        <v>0.04</v>
      </c>
      <c r="O711">
        <v>1.09</v>
      </c>
    </row>
    <row r="712" spans="1:15">
      <c r="A712" t="str">
        <f>"002191"</f>
        <v>002191</v>
      </c>
      <c r="B712" t="s">
        <v>744</v>
      </c>
      <c r="C712">
        <v>0.5</v>
      </c>
      <c r="D712">
        <v>4.02</v>
      </c>
      <c r="E712" t="s">
        <v>16</v>
      </c>
      <c r="F712" t="s">
        <v>16</v>
      </c>
      <c r="H712">
        <v>0</v>
      </c>
      <c r="I712">
        <v>7.77</v>
      </c>
      <c r="J712">
        <v>-0.25</v>
      </c>
      <c r="L712">
        <v>-1.25</v>
      </c>
      <c r="M712">
        <v>117.67</v>
      </c>
      <c r="N712">
        <v>0.03</v>
      </c>
      <c r="O712">
        <v>2.55</v>
      </c>
    </row>
    <row r="713" spans="1:15">
      <c r="A713" t="str">
        <f>"002192"</f>
        <v>002192</v>
      </c>
      <c r="B713" t="s">
        <v>745</v>
      </c>
      <c r="C713">
        <v>-2.33</v>
      </c>
      <c r="D713">
        <v>87.09</v>
      </c>
      <c r="E713" t="s">
        <v>16</v>
      </c>
      <c r="F713" t="s">
        <v>16</v>
      </c>
      <c r="H713">
        <v>-0.04</v>
      </c>
      <c r="I713">
        <v>14.44</v>
      </c>
      <c r="J713">
        <v>-4.15</v>
      </c>
      <c r="L713">
        <v>-3.33</v>
      </c>
      <c r="M713">
        <v>3025.62</v>
      </c>
      <c r="N713">
        <v>0.18</v>
      </c>
      <c r="O713">
        <v>3.16</v>
      </c>
    </row>
    <row r="714" spans="1:15">
      <c r="A714" t="str">
        <f>"002193"</f>
        <v>002193</v>
      </c>
      <c r="B714" t="s">
        <v>746</v>
      </c>
      <c r="C714">
        <v>-3.85</v>
      </c>
      <c r="D714">
        <v>4.75</v>
      </c>
      <c r="E714" t="s">
        <v>16</v>
      </c>
      <c r="F714" t="s">
        <v>16</v>
      </c>
      <c r="H714">
        <v>0</v>
      </c>
      <c r="I714">
        <v>0.42</v>
      </c>
      <c r="J714">
        <v>-5.38</v>
      </c>
      <c r="K714" t="s">
        <v>747</v>
      </c>
      <c r="L714">
        <v>0</v>
      </c>
      <c r="M714">
        <v>29.29</v>
      </c>
      <c r="N714">
        <v>0.03</v>
      </c>
      <c r="O714">
        <v>0.1</v>
      </c>
    </row>
    <row r="715" spans="1:15">
      <c r="A715" t="str">
        <f>"002194"</f>
        <v>002194</v>
      </c>
      <c r="B715" t="s">
        <v>748</v>
      </c>
      <c r="C715">
        <v>0.16</v>
      </c>
      <c r="D715">
        <v>12.5</v>
      </c>
      <c r="E715" t="s">
        <v>16</v>
      </c>
      <c r="F715" t="s">
        <v>16</v>
      </c>
      <c r="H715">
        <v>0</v>
      </c>
      <c r="I715">
        <v>13.22</v>
      </c>
      <c r="J715">
        <v>-1.57</v>
      </c>
      <c r="K715" t="s">
        <v>26</v>
      </c>
      <c r="L715">
        <v>0.32</v>
      </c>
      <c r="M715">
        <v>659.8</v>
      </c>
      <c r="N715">
        <v>0.13</v>
      </c>
      <c r="O715">
        <v>0.24</v>
      </c>
    </row>
    <row r="716" spans="1:15">
      <c r="A716" t="str">
        <f>"002195"</f>
        <v>002195</v>
      </c>
      <c r="B716" t="s">
        <v>749</v>
      </c>
      <c r="C716">
        <v>-0.84</v>
      </c>
      <c r="D716">
        <v>7.12</v>
      </c>
      <c r="E716" t="s">
        <v>16</v>
      </c>
      <c r="F716" t="s">
        <v>16</v>
      </c>
      <c r="H716">
        <v>-0.27</v>
      </c>
      <c r="I716">
        <v>-4.43</v>
      </c>
      <c r="J716">
        <v>-1.52</v>
      </c>
      <c r="L716">
        <v>-0.42</v>
      </c>
      <c r="M716">
        <v>166.74</v>
      </c>
      <c r="N716">
        <v>0</v>
      </c>
      <c r="O716">
        <v>0.35</v>
      </c>
    </row>
    <row r="717" spans="1:15">
      <c r="A717" t="str">
        <f>"002196"</f>
        <v>002196</v>
      </c>
      <c r="B717" t="s">
        <v>750</v>
      </c>
      <c r="C717">
        <v>5.28</v>
      </c>
      <c r="D717">
        <v>12.97</v>
      </c>
      <c r="E717" t="s">
        <v>16</v>
      </c>
      <c r="F717" t="s">
        <v>16</v>
      </c>
      <c r="H717">
        <v>-0.07</v>
      </c>
      <c r="I717">
        <v>-1.07</v>
      </c>
      <c r="J717">
        <v>-3.14</v>
      </c>
      <c r="L717">
        <v>-0.24</v>
      </c>
      <c r="M717">
        <v>115.65</v>
      </c>
      <c r="N717">
        <v>0.02</v>
      </c>
      <c r="O717">
        <v>1.24</v>
      </c>
    </row>
    <row r="718" spans="1:15">
      <c r="A718" t="str">
        <f>"002197"</f>
        <v>002197</v>
      </c>
      <c r="B718" t="s">
        <v>751</v>
      </c>
      <c r="C718">
        <v>0.48</v>
      </c>
      <c r="D718">
        <v>6.24</v>
      </c>
      <c r="E718" t="s">
        <v>16</v>
      </c>
      <c r="F718" t="s">
        <v>16</v>
      </c>
      <c r="H718">
        <v>0</v>
      </c>
      <c r="I718">
        <v>-3.55</v>
      </c>
      <c r="J718">
        <v>-1.27</v>
      </c>
      <c r="L718">
        <v>0</v>
      </c>
      <c r="M718">
        <v>13.85</v>
      </c>
      <c r="N718">
        <v>0</v>
      </c>
      <c r="O718">
        <v>0.4</v>
      </c>
    </row>
    <row r="719" spans="1:15">
      <c r="A719" t="str">
        <f>"002198"</f>
        <v>002198</v>
      </c>
      <c r="B719" t="s">
        <v>752</v>
      </c>
      <c r="C719">
        <v>-3.2</v>
      </c>
      <c r="D719">
        <v>3.33</v>
      </c>
      <c r="E719" t="s">
        <v>16</v>
      </c>
      <c r="F719" t="s">
        <v>16</v>
      </c>
      <c r="H719">
        <v>0</v>
      </c>
      <c r="I719">
        <v>-14.62</v>
      </c>
      <c r="J719">
        <v>-4.31</v>
      </c>
      <c r="L719">
        <v>-0.29</v>
      </c>
      <c r="M719">
        <v>3.94</v>
      </c>
      <c r="N719">
        <v>0</v>
      </c>
      <c r="O719">
        <v>0.16</v>
      </c>
    </row>
    <row r="720" spans="1:15">
      <c r="A720" t="str">
        <f>"002199"</f>
        <v>002199</v>
      </c>
      <c r="B720" t="s">
        <v>753</v>
      </c>
      <c r="C720">
        <v>-2.54</v>
      </c>
      <c r="D720">
        <v>13.03</v>
      </c>
      <c r="E720" t="s">
        <v>16</v>
      </c>
      <c r="F720" t="s">
        <v>16</v>
      </c>
      <c r="H720">
        <v>-0.14</v>
      </c>
      <c r="I720">
        <v>-0.46</v>
      </c>
      <c r="J720">
        <v>-2.69</v>
      </c>
      <c r="L720">
        <v>-2.32</v>
      </c>
      <c r="M720">
        <v>2.09</v>
      </c>
      <c r="N720">
        <v>0</v>
      </c>
      <c r="O720">
        <v>0.06</v>
      </c>
    </row>
    <row r="721" spans="1:15">
      <c r="A721" t="str">
        <f>"002200"</f>
        <v>002200</v>
      </c>
      <c r="B721" t="s">
        <v>754</v>
      </c>
      <c r="C721">
        <v>-3.54</v>
      </c>
      <c r="D721">
        <v>6.27</v>
      </c>
      <c r="E721" t="s">
        <v>16</v>
      </c>
      <c r="F721" t="s">
        <v>16</v>
      </c>
      <c r="H721">
        <v>-0.47</v>
      </c>
      <c r="I721">
        <v>-10.43</v>
      </c>
      <c r="J721">
        <v>-8.47</v>
      </c>
      <c r="L721">
        <v>2.92</v>
      </c>
      <c r="M721">
        <v>109.11</v>
      </c>
      <c r="N721">
        <v>0.11</v>
      </c>
      <c r="O721">
        <v>1.55</v>
      </c>
    </row>
    <row r="722" spans="1:15">
      <c r="A722" t="str">
        <f>"002201"</f>
        <v>002201</v>
      </c>
      <c r="B722" t="s">
        <v>755</v>
      </c>
      <c r="C722">
        <v>-4</v>
      </c>
      <c r="D722">
        <v>12.24</v>
      </c>
      <c r="E722" t="s">
        <v>16</v>
      </c>
      <c r="F722" t="s">
        <v>16</v>
      </c>
      <c r="H722">
        <v>-0.23</v>
      </c>
      <c r="I722">
        <v>17.58</v>
      </c>
      <c r="J722">
        <v>-3.32</v>
      </c>
      <c r="K722" t="s">
        <v>54</v>
      </c>
      <c r="L722">
        <v>-1.96</v>
      </c>
      <c r="M722">
        <v>2608.38</v>
      </c>
      <c r="N722">
        <v>0.53</v>
      </c>
      <c r="O722">
        <v>10.93</v>
      </c>
    </row>
    <row r="723" spans="1:15">
      <c r="A723" t="str">
        <f>"002202"</f>
        <v>002202</v>
      </c>
      <c r="B723" t="s">
        <v>756</v>
      </c>
      <c r="C723">
        <v>2.32</v>
      </c>
      <c r="D723">
        <v>22.49</v>
      </c>
      <c r="E723" t="s">
        <v>16</v>
      </c>
      <c r="F723" t="s">
        <v>16</v>
      </c>
      <c r="H723">
        <v>0.04</v>
      </c>
      <c r="I723">
        <v>-4.82</v>
      </c>
      <c r="J723">
        <v>-2.43</v>
      </c>
      <c r="L723">
        <v>-0.41</v>
      </c>
      <c r="M723">
        <v>939.52</v>
      </c>
      <c r="N723">
        <v>0.02</v>
      </c>
      <c r="O723">
        <v>0.8</v>
      </c>
    </row>
    <row r="724" spans="1:15">
      <c r="A724" t="str">
        <f>"002203"</f>
        <v>002203</v>
      </c>
      <c r="B724" t="s">
        <v>757</v>
      </c>
      <c r="C724">
        <v>10</v>
      </c>
      <c r="D724">
        <v>25.52</v>
      </c>
      <c r="E724">
        <v>5576.89</v>
      </c>
      <c r="F724">
        <v>1</v>
      </c>
      <c r="H724">
        <v>0</v>
      </c>
      <c r="I724">
        <v>30.94</v>
      </c>
      <c r="J724">
        <v>0</v>
      </c>
      <c r="K724" t="s">
        <v>120</v>
      </c>
      <c r="L724">
        <v>-1.08</v>
      </c>
      <c r="M724">
        <v>1902.56</v>
      </c>
      <c r="N724">
        <v>0.06</v>
      </c>
      <c r="O724">
        <v>0.95</v>
      </c>
    </row>
    <row r="725" spans="1:15">
      <c r="A725" t="str">
        <f>"002204"</f>
        <v>002204</v>
      </c>
      <c r="B725" t="s">
        <v>758</v>
      </c>
      <c r="C725">
        <v>-2.5</v>
      </c>
      <c r="D725">
        <v>5.45</v>
      </c>
      <c r="E725" t="s">
        <v>16</v>
      </c>
      <c r="F725" t="s">
        <v>16</v>
      </c>
      <c r="H725">
        <v>-0.17</v>
      </c>
      <c r="I725">
        <v>-4.55</v>
      </c>
      <c r="J725">
        <v>-2.33</v>
      </c>
      <c r="L725">
        <v>-0.18</v>
      </c>
      <c r="M725">
        <v>20.87</v>
      </c>
      <c r="N725">
        <v>0</v>
      </c>
      <c r="O725">
        <v>0.7</v>
      </c>
    </row>
    <row r="726" spans="1:15">
      <c r="A726" t="str">
        <f>"002205"</f>
        <v>002205</v>
      </c>
      <c r="B726" t="s">
        <v>759</v>
      </c>
      <c r="C726">
        <v>-0.9</v>
      </c>
      <c r="D726">
        <v>11.01</v>
      </c>
      <c r="E726" t="s">
        <v>16</v>
      </c>
      <c r="F726" t="s">
        <v>16</v>
      </c>
      <c r="H726">
        <v>-0.17</v>
      </c>
      <c r="I726">
        <v>-10.34</v>
      </c>
      <c r="J726">
        <v>-1.08</v>
      </c>
      <c r="L726">
        <v>-1.08</v>
      </c>
      <c r="M726">
        <v>11.65</v>
      </c>
      <c r="N726">
        <v>0.01</v>
      </c>
      <c r="O726">
        <v>0.74</v>
      </c>
    </row>
    <row r="727" spans="1:15">
      <c r="A727" t="str">
        <f>"002206"</f>
        <v>002206</v>
      </c>
      <c r="B727" t="s">
        <v>760</v>
      </c>
      <c r="C727">
        <v>-1.46</v>
      </c>
      <c r="D727">
        <v>5.4</v>
      </c>
      <c r="E727" t="s">
        <v>16</v>
      </c>
      <c r="F727" t="s">
        <v>16</v>
      </c>
      <c r="H727">
        <v>0</v>
      </c>
      <c r="I727">
        <v>1.31</v>
      </c>
      <c r="J727">
        <v>-1.1</v>
      </c>
      <c r="L727">
        <v>-0.36</v>
      </c>
      <c r="M727">
        <v>7.32</v>
      </c>
      <c r="N727">
        <v>0</v>
      </c>
      <c r="O727">
        <v>0.67</v>
      </c>
    </row>
    <row r="728" spans="1:15">
      <c r="A728" t="str">
        <f>"002207"</f>
        <v>002207</v>
      </c>
      <c r="B728" t="s">
        <v>761</v>
      </c>
      <c r="C728">
        <v>-3.48</v>
      </c>
      <c r="D728">
        <v>6.93</v>
      </c>
      <c r="E728" t="s">
        <v>16</v>
      </c>
      <c r="F728" t="s">
        <v>16</v>
      </c>
      <c r="H728">
        <v>-0.13</v>
      </c>
      <c r="I728">
        <v>-23.59</v>
      </c>
      <c r="J728">
        <v>-8.09</v>
      </c>
      <c r="K728" t="s">
        <v>26</v>
      </c>
      <c r="L728">
        <v>5.01</v>
      </c>
      <c r="M728">
        <v>2252.12</v>
      </c>
      <c r="N728">
        <v>1.64</v>
      </c>
      <c r="O728">
        <v>3.19</v>
      </c>
    </row>
    <row r="729" spans="1:15">
      <c r="A729" t="str">
        <f>"002208"</f>
        <v>002208</v>
      </c>
      <c r="B729" t="s">
        <v>762</v>
      </c>
      <c r="C729">
        <v>6.77</v>
      </c>
      <c r="D729">
        <v>18.77</v>
      </c>
      <c r="E729" t="s">
        <v>16</v>
      </c>
      <c r="F729" t="s">
        <v>16</v>
      </c>
      <c r="H729">
        <v>0.11</v>
      </c>
      <c r="I729">
        <v>10.15</v>
      </c>
      <c r="J729">
        <v>-2.44</v>
      </c>
      <c r="L729">
        <v>-1.54</v>
      </c>
      <c r="M729">
        <v>1921.06</v>
      </c>
      <c r="N729">
        <v>0.34</v>
      </c>
      <c r="O729">
        <v>2.51</v>
      </c>
    </row>
    <row r="730" spans="1:15">
      <c r="A730" t="str">
        <f>"002209"</f>
        <v>002209</v>
      </c>
      <c r="B730" t="s">
        <v>763</v>
      </c>
      <c r="C730">
        <v>-0.54</v>
      </c>
      <c r="D730">
        <v>11</v>
      </c>
      <c r="E730" t="s">
        <v>16</v>
      </c>
      <c r="F730" t="s">
        <v>16</v>
      </c>
      <c r="H730">
        <v>-0.08</v>
      </c>
      <c r="I730">
        <v>-12</v>
      </c>
      <c r="J730">
        <v>-0.72</v>
      </c>
      <c r="L730">
        <v>-0.72</v>
      </c>
      <c r="M730">
        <v>19.87</v>
      </c>
      <c r="N730">
        <v>0.01</v>
      </c>
      <c r="O730">
        <v>5.03</v>
      </c>
    </row>
    <row r="731" spans="1:15">
      <c r="A731" t="str">
        <f>"002210"</f>
        <v>002210</v>
      </c>
      <c r="B731" t="s">
        <v>764</v>
      </c>
      <c r="C731">
        <v>-3.31</v>
      </c>
      <c r="D731">
        <v>2.34</v>
      </c>
      <c r="E731" t="s">
        <v>16</v>
      </c>
      <c r="F731" t="s">
        <v>16</v>
      </c>
      <c r="H731">
        <v>0</v>
      </c>
      <c r="I731">
        <v>-12.03</v>
      </c>
      <c r="J731">
        <v>-2.9</v>
      </c>
      <c r="L731">
        <v>-0.83</v>
      </c>
      <c r="M731">
        <v>84.38</v>
      </c>
      <c r="N731">
        <v>0.02</v>
      </c>
      <c r="O731">
        <v>1.59</v>
      </c>
    </row>
    <row r="732" spans="1:15">
      <c r="A732" t="str">
        <f>"002211"</f>
        <v>002211</v>
      </c>
      <c r="B732" t="s">
        <v>765</v>
      </c>
      <c r="C732">
        <v>3.24</v>
      </c>
      <c r="D732">
        <v>3.82</v>
      </c>
      <c r="E732" t="s">
        <v>16</v>
      </c>
      <c r="F732" t="s">
        <v>16</v>
      </c>
      <c r="H732">
        <v>0.53</v>
      </c>
      <c r="I732">
        <v>5.82</v>
      </c>
      <c r="J732">
        <v>0</v>
      </c>
      <c r="L732">
        <v>-1.08</v>
      </c>
      <c r="M732">
        <v>3.55</v>
      </c>
      <c r="N732">
        <v>0</v>
      </c>
      <c r="O732">
        <v>0.33</v>
      </c>
    </row>
    <row r="733" spans="1:15">
      <c r="A733" t="str">
        <f>"002212"</f>
        <v>002212</v>
      </c>
      <c r="B733" t="s">
        <v>766</v>
      </c>
      <c r="C733">
        <v>-1.28</v>
      </c>
      <c r="D733">
        <v>6.15</v>
      </c>
      <c r="E733" t="s">
        <v>16</v>
      </c>
      <c r="F733" t="s">
        <v>16</v>
      </c>
      <c r="H733">
        <v>-0.15</v>
      </c>
      <c r="I733">
        <v>-4.95</v>
      </c>
      <c r="J733">
        <v>-2.23</v>
      </c>
      <c r="L733">
        <v>-0.48</v>
      </c>
      <c r="M733">
        <v>17.42</v>
      </c>
      <c r="N733">
        <v>0</v>
      </c>
      <c r="O733">
        <v>0.54</v>
      </c>
    </row>
    <row r="734" spans="1:15">
      <c r="A734" t="str">
        <f>"002213"</f>
        <v>002213</v>
      </c>
      <c r="B734" t="s">
        <v>767</v>
      </c>
      <c r="C734">
        <v>-1.52</v>
      </c>
      <c r="D734">
        <v>40.07</v>
      </c>
      <c r="E734" t="s">
        <v>16</v>
      </c>
      <c r="F734" t="s">
        <v>16</v>
      </c>
      <c r="H734">
        <v>-0.19</v>
      </c>
      <c r="I734">
        <v>3.84</v>
      </c>
      <c r="J734">
        <v>-1.91</v>
      </c>
      <c r="L734">
        <v>-1.89</v>
      </c>
      <c r="M734">
        <v>859.08</v>
      </c>
      <c r="N734">
        <v>0.13</v>
      </c>
      <c r="O734">
        <v>1.84</v>
      </c>
    </row>
    <row r="735" spans="1:15">
      <c r="A735" t="str">
        <f>"002214"</f>
        <v>002214</v>
      </c>
      <c r="B735" t="s">
        <v>768</v>
      </c>
      <c r="C735">
        <v>0.06</v>
      </c>
      <c r="D735">
        <v>15.71</v>
      </c>
      <c r="E735" t="s">
        <v>16</v>
      </c>
      <c r="F735" t="s">
        <v>16</v>
      </c>
      <c r="H735">
        <v>-0.75</v>
      </c>
      <c r="I735">
        <v>11.1</v>
      </c>
      <c r="J735">
        <v>-2.48</v>
      </c>
      <c r="K735" t="s">
        <v>120</v>
      </c>
      <c r="L735">
        <v>-0.64</v>
      </c>
      <c r="M735">
        <v>15.29</v>
      </c>
      <c r="N735">
        <v>0</v>
      </c>
      <c r="O735">
        <v>0.15</v>
      </c>
    </row>
    <row r="736" spans="1:15">
      <c r="A736" t="str">
        <f>"002215"</f>
        <v>002215</v>
      </c>
      <c r="B736" t="s">
        <v>769</v>
      </c>
      <c r="C736">
        <v>-2.75</v>
      </c>
      <c r="D736">
        <v>9.18</v>
      </c>
      <c r="E736" t="s">
        <v>16</v>
      </c>
      <c r="F736" t="s">
        <v>16</v>
      </c>
      <c r="H736">
        <v>-0.21</v>
      </c>
      <c r="I736">
        <v>1.89</v>
      </c>
      <c r="J736">
        <v>-2.86</v>
      </c>
      <c r="L736">
        <v>0</v>
      </c>
      <c r="M736">
        <v>59.47</v>
      </c>
      <c r="N736">
        <v>0.01</v>
      </c>
      <c r="O736">
        <v>0.4</v>
      </c>
    </row>
    <row r="737" spans="1:15">
      <c r="A737" t="str">
        <f>"002216"</f>
        <v>002216</v>
      </c>
      <c r="B737" t="s">
        <v>770</v>
      </c>
      <c r="C737">
        <v>-0.6</v>
      </c>
      <c r="D737">
        <v>11.66</v>
      </c>
      <c r="E737" t="s">
        <v>16</v>
      </c>
      <c r="F737" t="s">
        <v>16</v>
      </c>
      <c r="H737">
        <v>0</v>
      </c>
      <c r="I737">
        <v>-3.72</v>
      </c>
      <c r="J737">
        <v>-1.1</v>
      </c>
      <c r="L737">
        <v>-0.51</v>
      </c>
      <c r="M737">
        <v>87.41</v>
      </c>
      <c r="N737">
        <v>0.02</v>
      </c>
      <c r="O737">
        <v>3.8</v>
      </c>
    </row>
    <row r="738" spans="1:15">
      <c r="A738" t="str">
        <f>"002217"</f>
        <v>002217</v>
      </c>
      <c r="B738" t="s">
        <v>771</v>
      </c>
      <c r="C738">
        <v>-4.89</v>
      </c>
      <c r="D738">
        <v>2.53</v>
      </c>
      <c r="E738" t="s">
        <v>16</v>
      </c>
      <c r="F738" t="s">
        <v>16</v>
      </c>
      <c r="H738">
        <v>0</v>
      </c>
      <c r="I738">
        <v>-0.39</v>
      </c>
      <c r="J738">
        <v>-3.8</v>
      </c>
      <c r="K738" t="s">
        <v>26</v>
      </c>
      <c r="L738">
        <v>-1.13</v>
      </c>
      <c r="M738">
        <v>1585.86</v>
      </c>
      <c r="N738">
        <v>0.12</v>
      </c>
      <c r="O738">
        <v>0.3</v>
      </c>
    </row>
    <row r="739" spans="1:15">
      <c r="A739" t="str">
        <f>"002218"</f>
        <v>002218</v>
      </c>
      <c r="B739" t="s">
        <v>772</v>
      </c>
      <c r="C739">
        <v>-3.99</v>
      </c>
      <c r="D739">
        <v>4.09</v>
      </c>
      <c r="E739" t="s">
        <v>16</v>
      </c>
      <c r="F739" t="s">
        <v>16</v>
      </c>
      <c r="H739">
        <v>0</v>
      </c>
      <c r="I739">
        <v>-8.71</v>
      </c>
      <c r="J739">
        <v>-3.31</v>
      </c>
      <c r="L739">
        <v>-0.7</v>
      </c>
      <c r="M739">
        <v>76.77</v>
      </c>
      <c r="N739">
        <v>0.02</v>
      </c>
      <c r="O739">
        <v>1.14</v>
      </c>
    </row>
    <row r="740" spans="1:15">
      <c r="A740" t="str">
        <f>"002219"</f>
        <v>002219</v>
      </c>
      <c r="B740" t="s">
        <v>773</v>
      </c>
      <c r="C740">
        <v>1.05</v>
      </c>
      <c r="D740">
        <v>1.93</v>
      </c>
      <c r="E740" t="s">
        <v>16</v>
      </c>
      <c r="F740" t="s">
        <v>16</v>
      </c>
      <c r="H740">
        <v>0</v>
      </c>
      <c r="I740">
        <v>-9.39</v>
      </c>
      <c r="J740">
        <v>-2.53</v>
      </c>
      <c r="L740">
        <v>-3.14</v>
      </c>
      <c r="M740">
        <v>501.55</v>
      </c>
      <c r="N740">
        <v>0.12</v>
      </c>
      <c r="O740">
        <v>0.57</v>
      </c>
    </row>
    <row r="741" spans="1:15">
      <c r="A741" t="str">
        <f>"002221"</f>
        <v>002221</v>
      </c>
      <c r="B741" t="s">
        <v>774</v>
      </c>
      <c r="C741">
        <v>-0.68</v>
      </c>
      <c r="D741">
        <v>5.88</v>
      </c>
      <c r="E741" t="s">
        <v>16</v>
      </c>
      <c r="F741" t="s">
        <v>16</v>
      </c>
      <c r="H741">
        <v>0</v>
      </c>
      <c r="I741">
        <v>-11.31</v>
      </c>
      <c r="J741">
        <v>-1.18</v>
      </c>
      <c r="L741">
        <v>-0.51</v>
      </c>
      <c r="M741">
        <v>21.79</v>
      </c>
      <c r="N741">
        <v>0</v>
      </c>
      <c r="O741">
        <v>0.53</v>
      </c>
    </row>
    <row r="742" spans="1:15">
      <c r="A742" t="str">
        <f>"002222"</f>
        <v>002222</v>
      </c>
      <c r="B742" t="s">
        <v>775</v>
      </c>
      <c r="C742">
        <v>-1.41</v>
      </c>
      <c r="D742">
        <v>103</v>
      </c>
      <c r="E742" t="s">
        <v>16</v>
      </c>
      <c r="F742" t="s">
        <v>16</v>
      </c>
      <c r="H742">
        <v>0.03</v>
      </c>
      <c r="I742">
        <v>5.97</v>
      </c>
      <c r="J742">
        <v>-0.56</v>
      </c>
      <c r="L742">
        <v>-1.94</v>
      </c>
      <c r="M742">
        <v>1828.55</v>
      </c>
      <c r="N742">
        <v>0.05</v>
      </c>
      <c r="O742">
        <v>0.97</v>
      </c>
    </row>
    <row r="743" spans="1:15">
      <c r="A743" t="str">
        <f>"002223"</f>
        <v>002223</v>
      </c>
      <c r="B743" t="s">
        <v>776</v>
      </c>
      <c r="C743">
        <v>-2.06</v>
      </c>
      <c r="D743">
        <v>24.72</v>
      </c>
      <c r="E743" t="s">
        <v>16</v>
      </c>
      <c r="F743" t="s">
        <v>16</v>
      </c>
      <c r="H743">
        <v>-0.15</v>
      </c>
      <c r="I743">
        <v>-4.7</v>
      </c>
      <c r="J743">
        <v>-4.15</v>
      </c>
      <c r="L743">
        <v>-0.08</v>
      </c>
      <c r="M743">
        <v>44.89</v>
      </c>
      <c r="N743">
        <v>0</v>
      </c>
      <c r="O743">
        <v>1.52</v>
      </c>
    </row>
    <row r="744" spans="1:15">
      <c r="A744" t="str">
        <f>"002224"</f>
        <v>002224</v>
      </c>
      <c r="B744" t="s">
        <v>777</v>
      </c>
      <c r="C744">
        <v>-0.85</v>
      </c>
      <c r="D744">
        <v>3.49</v>
      </c>
      <c r="E744" t="s">
        <v>16</v>
      </c>
      <c r="F744" t="s">
        <v>16</v>
      </c>
      <c r="H744">
        <v>-0.28</v>
      </c>
      <c r="I744">
        <v>-4.38</v>
      </c>
      <c r="J744">
        <v>-1.41</v>
      </c>
      <c r="L744">
        <v>0.28</v>
      </c>
      <c r="M744">
        <v>9.25</v>
      </c>
      <c r="N744">
        <v>0</v>
      </c>
      <c r="O744">
        <v>0.58</v>
      </c>
    </row>
    <row r="745" spans="1:15">
      <c r="A745" t="str">
        <f>"002225"</f>
        <v>002225</v>
      </c>
      <c r="B745" t="s">
        <v>778</v>
      </c>
      <c r="C745">
        <v>-4.75</v>
      </c>
      <c r="D745">
        <v>4.21</v>
      </c>
      <c r="E745" t="s">
        <v>16</v>
      </c>
      <c r="F745" t="s">
        <v>16</v>
      </c>
      <c r="H745">
        <v>-0.46</v>
      </c>
      <c r="I745">
        <v>11.08</v>
      </c>
      <c r="J745">
        <v>-4.97</v>
      </c>
      <c r="L745">
        <v>-1.81</v>
      </c>
      <c r="M745">
        <v>1523.47</v>
      </c>
      <c r="N745">
        <v>0.43</v>
      </c>
      <c r="O745">
        <v>14.56</v>
      </c>
    </row>
    <row r="746" spans="1:15">
      <c r="A746" t="str">
        <f>"002226"</f>
        <v>002226</v>
      </c>
      <c r="B746" t="s">
        <v>779</v>
      </c>
      <c r="C746">
        <v>-1.98</v>
      </c>
      <c r="D746">
        <v>4.95</v>
      </c>
      <c r="E746" t="s">
        <v>16</v>
      </c>
      <c r="F746" t="s">
        <v>16</v>
      </c>
      <c r="H746">
        <v>0</v>
      </c>
      <c r="I746">
        <v>-1.59</v>
      </c>
      <c r="J746">
        <v>-1.39</v>
      </c>
      <c r="L746">
        <v>-0.79</v>
      </c>
      <c r="M746">
        <v>23.2</v>
      </c>
      <c r="N746">
        <v>0</v>
      </c>
      <c r="O746">
        <v>0.45</v>
      </c>
    </row>
    <row r="747" spans="1:15">
      <c r="A747" t="str">
        <f>"002227"</f>
        <v>002227</v>
      </c>
      <c r="B747" t="s">
        <v>780</v>
      </c>
      <c r="C747">
        <v>-4.82</v>
      </c>
      <c r="D747">
        <v>6.72</v>
      </c>
      <c r="E747" t="s">
        <v>16</v>
      </c>
      <c r="F747" t="s">
        <v>16</v>
      </c>
      <c r="H747">
        <v>0.15</v>
      </c>
      <c r="I747">
        <v>-18.55</v>
      </c>
      <c r="J747">
        <v>-6.8</v>
      </c>
      <c r="K747" t="s">
        <v>26</v>
      </c>
      <c r="L747">
        <v>-1.27</v>
      </c>
      <c r="M747">
        <v>84.48</v>
      </c>
      <c r="N747">
        <v>0.1</v>
      </c>
      <c r="O747">
        <v>0.27</v>
      </c>
    </row>
    <row r="748" spans="1:15">
      <c r="A748" t="str">
        <f>"002228"</f>
        <v>002228</v>
      </c>
      <c r="B748" t="s">
        <v>781</v>
      </c>
      <c r="C748">
        <v>-0.94</v>
      </c>
      <c r="D748">
        <v>3.15</v>
      </c>
      <c r="E748" t="s">
        <v>16</v>
      </c>
      <c r="F748" t="s">
        <v>16</v>
      </c>
      <c r="H748">
        <v>-0.31</v>
      </c>
      <c r="I748">
        <v>-5.41</v>
      </c>
      <c r="J748">
        <v>-1.25</v>
      </c>
      <c r="L748">
        <v>0</v>
      </c>
      <c r="M748">
        <v>17.62</v>
      </c>
      <c r="N748">
        <v>0.01</v>
      </c>
      <c r="O748">
        <v>0.78</v>
      </c>
    </row>
    <row r="749" spans="1:15">
      <c r="A749" t="str">
        <f>"002229"</f>
        <v>002229</v>
      </c>
      <c r="B749" t="s">
        <v>782</v>
      </c>
      <c r="C749">
        <v>2.81</v>
      </c>
      <c r="D749">
        <v>12.45</v>
      </c>
      <c r="E749" t="s">
        <v>16</v>
      </c>
      <c r="F749" t="s">
        <v>16</v>
      </c>
      <c r="H749">
        <v>0.08</v>
      </c>
      <c r="I749">
        <v>-9.32</v>
      </c>
      <c r="J749">
        <v>-2.73</v>
      </c>
      <c r="L749">
        <v>3.8</v>
      </c>
      <c r="M749">
        <v>1526.63</v>
      </c>
      <c r="N749">
        <v>0.25</v>
      </c>
      <c r="O749">
        <v>12.37</v>
      </c>
    </row>
    <row r="750" spans="1:15">
      <c r="A750" t="str">
        <f>"002230"</f>
        <v>002230</v>
      </c>
      <c r="B750" t="s">
        <v>783</v>
      </c>
      <c r="C750">
        <v>2.45</v>
      </c>
      <c r="D750">
        <v>42.61</v>
      </c>
      <c r="E750" t="s">
        <v>16</v>
      </c>
      <c r="F750" t="s">
        <v>16</v>
      </c>
      <c r="H750">
        <v>-0.04</v>
      </c>
      <c r="I750">
        <v>-7.05</v>
      </c>
      <c r="J750">
        <v>-2.27</v>
      </c>
      <c r="L750">
        <v>-0.63</v>
      </c>
      <c r="M750">
        <v>535.64</v>
      </c>
      <c r="N750">
        <v>0.01</v>
      </c>
      <c r="O750">
        <v>0.48</v>
      </c>
    </row>
    <row r="751" spans="1:15">
      <c r="A751" t="str">
        <f>"002232"</f>
        <v>002232</v>
      </c>
      <c r="B751" t="s">
        <v>784</v>
      </c>
      <c r="C751">
        <v>0.27</v>
      </c>
      <c r="D751">
        <v>14.91</v>
      </c>
      <c r="E751" t="s">
        <v>16</v>
      </c>
      <c r="F751" t="s">
        <v>16</v>
      </c>
      <c r="H751">
        <v>-0.12</v>
      </c>
      <c r="I751">
        <v>-0.2</v>
      </c>
      <c r="J751">
        <v>-0.4</v>
      </c>
      <c r="L751">
        <v>0</v>
      </c>
      <c r="M751">
        <v>9.67</v>
      </c>
      <c r="N751">
        <v>0</v>
      </c>
      <c r="O751">
        <v>1.08</v>
      </c>
    </row>
    <row r="752" spans="1:15">
      <c r="A752" t="str">
        <f>"002233"</f>
        <v>002233</v>
      </c>
      <c r="B752" t="s">
        <v>785</v>
      </c>
      <c r="C752">
        <v>0.4</v>
      </c>
      <c r="D752">
        <v>7.52</v>
      </c>
      <c r="E752" t="s">
        <v>16</v>
      </c>
      <c r="F752" t="s">
        <v>16</v>
      </c>
      <c r="H752">
        <v>-0.26</v>
      </c>
      <c r="I752">
        <v>-4.93</v>
      </c>
      <c r="J752">
        <v>-1.05</v>
      </c>
      <c r="L752">
        <v>0.27</v>
      </c>
      <c r="M752">
        <v>5.86</v>
      </c>
      <c r="N752">
        <v>0</v>
      </c>
      <c r="O752">
        <v>0.45</v>
      </c>
    </row>
    <row r="753" spans="1:15">
      <c r="A753" t="str">
        <f>"002234"</f>
        <v>002234</v>
      </c>
      <c r="B753" t="s">
        <v>786</v>
      </c>
      <c r="C753">
        <v>-1.33</v>
      </c>
      <c r="D753">
        <v>6.7</v>
      </c>
      <c r="E753" t="s">
        <v>16</v>
      </c>
      <c r="F753" t="s">
        <v>16</v>
      </c>
      <c r="H753">
        <v>-0.14</v>
      </c>
      <c r="I753">
        <v>-7.2</v>
      </c>
      <c r="J753">
        <v>-1.76</v>
      </c>
      <c r="L753">
        <v>0.15</v>
      </c>
      <c r="M753">
        <v>21.49</v>
      </c>
      <c r="N753">
        <v>0.01</v>
      </c>
      <c r="O753">
        <v>3.47</v>
      </c>
    </row>
    <row r="754" spans="1:15">
      <c r="A754" t="str">
        <f>"002235"</f>
        <v>002235</v>
      </c>
      <c r="B754" t="s">
        <v>787</v>
      </c>
      <c r="C754">
        <v>-4.6</v>
      </c>
      <c r="D754">
        <v>8.29</v>
      </c>
      <c r="E754" t="s">
        <v>16</v>
      </c>
      <c r="F754" t="s">
        <v>16</v>
      </c>
      <c r="H754">
        <v>-0.59</v>
      </c>
      <c r="I754">
        <v>-17.92</v>
      </c>
      <c r="J754">
        <v>-5.04</v>
      </c>
      <c r="L754">
        <v>0.23</v>
      </c>
      <c r="M754">
        <v>173.07</v>
      </c>
      <c r="N754">
        <v>0.04</v>
      </c>
      <c r="O754">
        <v>0.9</v>
      </c>
    </row>
    <row r="755" spans="1:15">
      <c r="A755" t="str">
        <f>"002236"</f>
        <v>002236</v>
      </c>
      <c r="B755" t="s">
        <v>788</v>
      </c>
      <c r="C755">
        <v>-0.25</v>
      </c>
      <c r="D755">
        <v>16.27</v>
      </c>
      <c r="E755" t="s">
        <v>16</v>
      </c>
      <c r="F755" t="s">
        <v>16</v>
      </c>
      <c r="H755">
        <v>-0.42</v>
      </c>
      <c r="I755">
        <v>-2.52</v>
      </c>
      <c r="J755">
        <v>-1.09</v>
      </c>
      <c r="L755">
        <v>-0.06</v>
      </c>
      <c r="M755">
        <v>107.21</v>
      </c>
      <c r="N755">
        <v>0</v>
      </c>
      <c r="O755">
        <v>0.22</v>
      </c>
    </row>
    <row r="756" spans="1:15">
      <c r="A756" t="str">
        <f>"002237"</f>
        <v>002237</v>
      </c>
      <c r="B756" t="s">
        <v>789</v>
      </c>
      <c r="C756">
        <v>-0.55</v>
      </c>
      <c r="D756">
        <v>14.43</v>
      </c>
      <c r="E756" t="s">
        <v>16</v>
      </c>
      <c r="F756" t="s">
        <v>16</v>
      </c>
      <c r="H756">
        <v>0.14</v>
      </c>
      <c r="I756">
        <v>7.05</v>
      </c>
      <c r="J756">
        <v>-3.74</v>
      </c>
      <c r="L756">
        <v>0</v>
      </c>
      <c r="M756">
        <v>756.55</v>
      </c>
      <c r="N756">
        <v>0.06</v>
      </c>
      <c r="O756">
        <v>4.86</v>
      </c>
    </row>
    <row r="757" spans="1:15">
      <c r="A757" t="str">
        <f>"002238"</f>
        <v>002238</v>
      </c>
      <c r="B757" t="s">
        <v>790</v>
      </c>
      <c r="C757">
        <v>1.22</v>
      </c>
      <c r="D757">
        <v>5.83</v>
      </c>
      <c r="E757" t="s">
        <v>16</v>
      </c>
      <c r="F757" t="s">
        <v>16</v>
      </c>
      <c r="H757">
        <v>-0.16</v>
      </c>
      <c r="I757">
        <v>-7.02</v>
      </c>
      <c r="J757">
        <v>-1.85</v>
      </c>
      <c r="L757">
        <v>-0.35</v>
      </c>
      <c r="M757">
        <v>2.98</v>
      </c>
      <c r="N757">
        <v>0</v>
      </c>
      <c r="O757">
        <v>0.22</v>
      </c>
    </row>
    <row r="758" spans="1:15">
      <c r="A758" t="str">
        <f>"002239"</f>
        <v>002239</v>
      </c>
      <c r="B758" t="s">
        <v>791</v>
      </c>
      <c r="C758">
        <v>-0.82</v>
      </c>
      <c r="D758">
        <v>2.42</v>
      </c>
      <c r="E758" t="s">
        <v>16</v>
      </c>
      <c r="F758" t="s">
        <v>16</v>
      </c>
      <c r="H758">
        <v>0</v>
      </c>
      <c r="I758">
        <v>-6.2</v>
      </c>
      <c r="J758">
        <v>-1.22</v>
      </c>
      <c r="L758">
        <v>0</v>
      </c>
      <c r="M758">
        <v>41.11</v>
      </c>
      <c r="N758">
        <v>0.01</v>
      </c>
      <c r="O758">
        <v>1.99</v>
      </c>
    </row>
    <row r="759" spans="1:15">
      <c r="A759" t="str">
        <f>"002240"</f>
        <v>002240</v>
      </c>
      <c r="B759" t="s">
        <v>792</v>
      </c>
      <c r="C759">
        <v>-5.3</v>
      </c>
      <c r="D759">
        <v>45.74</v>
      </c>
      <c r="E759" t="s">
        <v>16</v>
      </c>
      <c r="F759" t="s">
        <v>16</v>
      </c>
      <c r="H759">
        <v>0.29</v>
      </c>
      <c r="I759">
        <v>7.65</v>
      </c>
      <c r="J759">
        <v>-6.81</v>
      </c>
      <c r="L759">
        <v>-2.69</v>
      </c>
      <c r="M759">
        <v>3164.76</v>
      </c>
      <c r="N759">
        <v>0.1</v>
      </c>
      <c r="O759">
        <v>1.59</v>
      </c>
    </row>
    <row r="760" spans="1:15">
      <c r="A760" t="str">
        <f>"002241"</f>
        <v>002241</v>
      </c>
      <c r="B760" t="s">
        <v>793</v>
      </c>
      <c r="C760">
        <v>1.01</v>
      </c>
      <c r="D760">
        <v>23.92</v>
      </c>
      <c r="E760" t="s">
        <v>16</v>
      </c>
      <c r="F760" t="s">
        <v>16</v>
      </c>
      <c r="H760">
        <v>0</v>
      </c>
      <c r="I760">
        <v>-4.09</v>
      </c>
      <c r="J760">
        <v>-0.79</v>
      </c>
      <c r="L760">
        <v>-0.76</v>
      </c>
      <c r="M760">
        <v>758.35</v>
      </c>
      <c r="N760">
        <v>0.01</v>
      </c>
      <c r="O760">
        <v>0.85</v>
      </c>
    </row>
    <row r="761" spans="1:15">
      <c r="A761" t="str">
        <f>"002242"</f>
        <v>002242</v>
      </c>
      <c r="B761" t="s">
        <v>794</v>
      </c>
      <c r="C761">
        <v>-0.95</v>
      </c>
      <c r="D761">
        <v>8.35</v>
      </c>
      <c r="E761" t="s">
        <v>16</v>
      </c>
      <c r="F761" t="s">
        <v>16</v>
      </c>
      <c r="H761">
        <v>0</v>
      </c>
      <c r="I761">
        <v>-3.47</v>
      </c>
      <c r="J761">
        <v>-1.42</v>
      </c>
      <c r="L761">
        <v>-0.12</v>
      </c>
      <c r="M761">
        <v>37.64</v>
      </c>
      <c r="N761">
        <v>0.02</v>
      </c>
      <c r="O761">
        <v>1.14</v>
      </c>
    </row>
    <row r="762" spans="1:15">
      <c r="A762" t="str">
        <f>"002243"</f>
        <v>002243</v>
      </c>
      <c r="B762" t="s">
        <v>795</v>
      </c>
      <c r="C762">
        <v>-2.63</v>
      </c>
      <c r="D762">
        <v>7.04</v>
      </c>
      <c r="E762" t="s">
        <v>16</v>
      </c>
      <c r="F762" t="s">
        <v>16</v>
      </c>
      <c r="H762">
        <v>0.14</v>
      </c>
      <c r="I762">
        <v>-22.64</v>
      </c>
      <c r="J762">
        <v>-3.56</v>
      </c>
      <c r="L762">
        <v>-0.41</v>
      </c>
      <c r="M762">
        <v>58.97</v>
      </c>
      <c r="N762">
        <v>0.01</v>
      </c>
      <c r="O762">
        <v>0.17</v>
      </c>
    </row>
    <row r="763" spans="1:15">
      <c r="A763" t="str">
        <f>"002244"</f>
        <v>002244</v>
      </c>
      <c r="B763" t="s">
        <v>796</v>
      </c>
      <c r="C763">
        <v>-2.22</v>
      </c>
      <c r="D763">
        <v>8.37</v>
      </c>
      <c r="E763" t="s">
        <v>16</v>
      </c>
      <c r="F763" t="s">
        <v>16</v>
      </c>
      <c r="H763">
        <v>-0.47</v>
      </c>
      <c r="I763">
        <v>-13.8</v>
      </c>
      <c r="J763">
        <v>-2.56</v>
      </c>
      <c r="L763">
        <v>-0.12</v>
      </c>
      <c r="M763">
        <v>52.92</v>
      </c>
      <c r="N763">
        <v>0.01</v>
      </c>
      <c r="O763">
        <v>1.29</v>
      </c>
    </row>
    <row r="764" spans="1:15">
      <c r="A764" t="str">
        <f>"002245"</f>
        <v>002245</v>
      </c>
      <c r="B764" t="s">
        <v>797</v>
      </c>
      <c r="C764">
        <v>-1.31</v>
      </c>
      <c r="D764">
        <v>20.4</v>
      </c>
      <c r="E764" t="s">
        <v>16</v>
      </c>
      <c r="F764" t="s">
        <v>16</v>
      </c>
      <c r="H764">
        <v>0</v>
      </c>
      <c r="I764">
        <v>-2.16</v>
      </c>
      <c r="J764">
        <v>-3.32</v>
      </c>
      <c r="L764">
        <v>-0.29</v>
      </c>
      <c r="M764">
        <v>692.5</v>
      </c>
      <c r="N764">
        <v>0.02</v>
      </c>
      <c r="O764">
        <v>1.05</v>
      </c>
    </row>
    <row r="765" spans="1:15">
      <c r="A765" t="str">
        <f>"002246"</f>
        <v>002246</v>
      </c>
      <c r="B765" t="s">
        <v>798</v>
      </c>
      <c r="C765">
        <v>-0.94</v>
      </c>
      <c r="D765">
        <v>20.13</v>
      </c>
      <c r="E765" t="s">
        <v>16</v>
      </c>
      <c r="F765" t="s">
        <v>16</v>
      </c>
      <c r="H765">
        <v>0</v>
      </c>
      <c r="I765">
        <v>-0.94</v>
      </c>
      <c r="J765">
        <v>-2.66</v>
      </c>
      <c r="L765">
        <v>0</v>
      </c>
      <c r="M765">
        <v>44.09</v>
      </c>
      <c r="N765">
        <v>0.01</v>
      </c>
      <c r="O765">
        <v>0.89</v>
      </c>
    </row>
    <row r="766" spans="1:15">
      <c r="A766" t="str">
        <f>"002247"</f>
        <v>002247</v>
      </c>
      <c r="B766" t="s">
        <v>799</v>
      </c>
      <c r="C766">
        <v>0</v>
      </c>
      <c r="D766">
        <v>2.26</v>
      </c>
      <c r="E766" t="s">
        <v>16</v>
      </c>
      <c r="F766" t="s">
        <v>16</v>
      </c>
      <c r="H766">
        <v>0</v>
      </c>
      <c r="I766">
        <v>-6.61</v>
      </c>
      <c r="J766">
        <v>-1.31</v>
      </c>
      <c r="L766">
        <v>-0.88</v>
      </c>
      <c r="M766">
        <v>32.57</v>
      </c>
      <c r="N766">
        <v>0.03</v>
      </c>
      <c r="O766">
        <v>1.43</v>
      </c>
    </row>
    <row r="767" spans="1:15">
      <c r="A767" t="str">
        <f>"002248"</f>
        <v>002248</v>
      </c>
      <c r="B767" t="s">
        <v>800</v>
      </c>
      <c r="C767">
        <v>3.57</v>
      </c>
      <c r="D767">
        <v>9.86</v>
      </c>
      <c r="E767" t="s">
        <v>16</v>
      </c>
      <c r="F767" t="s">
        <v>16</v>
      </c>
      <c r="H767">
        <v>-0.19</v>
      </c>
      <c r="I767">
        <v>0.31</v>
      </c>
      <c r="J767">
        <v>-2.57</v>
      </c>
      <c r="L767">
        <v>-0.32</v>
      </c>
      <c r="M767">
        <v>39.48</v>
      </c>
      <c r="N767">
        <v>0.02</v>
      </c>
      <c r="O767">
        <v>0.4</v>
      </c>
    </row>
    <row r="768" spans="1:15">
      <c r="A768" t="str">
        <f>"002249"</f>
        <v>002249</v>
      </c>
      <c r="B768" t="s">
        <v>801</v>
      </c>
      <c r="C768">
        <v>-0.37</v>
      </c>
      <c r="D768">
        <v>8.11</v>
      </c>
      <c r="E768" t="s">
        <v>16</v>
      </c>
      <c r="F768" t="s">
        <v>16</v>
      </c>
      <c r="H768">
        <v>-0.24</v>
      </c>
      <c r="I768">
        <v>-1.34</v>
      </c>
      <c r="J768">
        <v>-1.46</v>
      </c>
      <c r="L768">
        <v>-0.61</v>
      </c>
      <c r="M768">
        <v>36.65</v>
      </c>
      <c r="N768">
        <v>0</v>
      </c>
      <c r="O768">
        <v>0.22</v>
      </c>
    </row>
    <row r="769" spans="1:15">
      <c r="A769" t="str">
        <f>"002250"</f>
        <v>002250</v>
      </c>
      <c r="B769" t="s">
        <v>802</v>
      </c>
      <c r="C769">
        <v>0.58</v>
      </c>
      <c r="D769">
        <v>13.92</v>
      </c>
      <c r="E769" t="s">
        <v>16</v>
      </c>
      <c r="F769" t="s">
        <v>16</v>
      </c>
      <c r="H769">
        <v>-0.06</v>
      </c>
      <c r="I769">
        <v>-1</v>
      </c>
      <c r="J769">
        <v>-0.64</v>
      </c>
      <c r="L769">
        <v>-0.29</v>
      </c>
      <c r="M769">
        <v>25.39</v>
      </c>
      <c r="N769">
        <v>0</v>
      </c>
      <c r="O769">
        <v>0.93</v>
      </c>
    </row>
    <row r="770" spans="1:15">
      <c r="A770" t="str">
        <f>"002251"</f>
        <v>002251</v>
      </c>
      <c r="B770" t="s">
        <v>803</v>
      </c>
      <c r="C770">
        <v>-1.79</v>
      </c>
      <c r="D770">
        <v>3.83</v>
      </c>
      <c r="E770" t="s">
        <v>16</v>
      </c>
      <c r="F770" t="s">
        <v>16</v>
      </c>
      <c r="H770">
        <v>0</v>
      </c>
      <c r="I770">
        <v>-13.35</v>
      </c>
      <c r="J770">
        <v>-2.3</v>
      </c>
      <c r="L770">
        <v>0</v>
      </c>
      <c r="M770">
        <v>634.92</v>
      </c>
      <c r="N770">
        <v>0.1</v>
      </c>
      <c r="O770">
        <v>2.76</v>
      </c>
    </row>
    <row r="771" spans="1:15">
      <c r="A771" t="str">
        <f>"002252"</f>
        <v>002252</v>
      </c>
      <c r="B771" t="s">
        <v>804</v>
      </c>
      <c r="C771">
        <v>-0.85</v>
      </c>
      <c r="D771">
        <v>4.65</v>
      </c>
      <c r="E771" t="s">
        <v>16</v>
      </c>
      <c r="F771" t="s">
        <v>16</v>
      </c>
      <c r="H771">
        <v>-0.63</v>
      </c>
      <c r="I771">
        <v>-9.53</v>
      </c>
      <c r="J771">
        <v>-2.11</v>
      </c>
      <c r="L771">
        <v>-0.43</v>
      </c>
      <c r="M771">
        <v>90.41</v>
      </c>
      <c r="N771">
        <v>0</v>
      </c>
      <c r="O771">
        <v>0.69</v>
      </c>
    </row>
    <row r="772" spans="1:15">
      <c r="A772" t="str">
        <f>"002253"</f>
        <v>002253</v>
      </c>
      <c r="B772" t="s">
        <v>805</v>
      </c>
      <c r="C772">
        <v>-0.54</v>
      </c>
      <c r="D772">
        <v>11.04</v>
      </c>
      <c r="E772" t="s">
        <v>16</v>
      </c>
      <c r="F772" t="s">
        <v>16</v>
      </c>
      <c r="H772">
        <v>0.27</v>
      </c>
      <c r="I772">
        <v>-4</v>
      </c>
      <c r="J772">
        <v>-1.78</v>
      </c>
      <c r="L772">
        <v>0.09</v>
      </c>
      <c r="M772">
        <v>5.67</v>
      </c>
      <c r="N772">
        <v>0</v>
      </c>
      <c r="O772">
        <v>3</v>
      </c>
    </row>
    <row r="773" spans="1:15">
      <c r="A773" t="str">
        <f>"002254"</f>
        <v>002254</v>
      </c>
      <c r="B773" t="s">
        <v>806</v>
      </c>
      <c r="C773">
        <v>0.65</v>
      </c>
      <c r="D773">
        <v>18.7</v>
      </c>
      <c r="E773" t="s">
        <v>16</v>
      </c>
      <c r="F773" t="s">
        <v>16</v>
      </c>
      <c r="H773">
        <v>2.47</v>
      </c>
      <c r="I773">
        <v>32.44</v>
      </c>
      <c r="J773">
        <v>-1.11</v>
      </c>
      <c r="K773" t="s">
        <v>807</v>
      </c>
      <c r="L773">
        <v>0</v>
      </c>
      <c r="M773">
        <v>2960.72</v>
      </c>
      <c r="N773">
        <v>0.29</v>
      </c>
      <c r="O773">
        <v>1.68</v>
      </c>
    </row>
    <row r="774" spans="1:15">
      <c r="A774" t="str">
        <f>"002255"</f>
        <v>002255</v>
      </c>
      <c r="B774" t="s">
        <v>808</v>
      </c>
      <c r="C774">
        <v>-1.47</v>
      </c>
      <c r="D774">
        <v>9.36</v>
      </c>
      <c r="E774" t="s">
        <v>16</v>
      </c>
      <c r="F774" t="s">
        <v>16</v>
      </c>
      <c r="H774">
        <v>0.11</v>
      </c>
      <c r="I774">
        <v>-1.27</v>
      </c>
      <c r="J774">
        <v>-2.8</v>
      </c>
      <c r="L774">
        <v>0</v>
      </c>
      <c r="M774">
        <v>41.8</v>
      </c>
      <c r="N774">
        <v>0.01</v>
      </c>
      <c r="O774">
        <v>0.4</v>
      </c>
    </row>
    <row r="775" spans="1:15">
      <c r="A775" t="str">
        <f>"002256"</f>
        <v>002256</v>
      </c>
      <c r="B775" t="s">
        <v>809</v>
      </c>
      <c r="C775">
        <v>-3.37</v>
      </c>
      <c r="D775">
        <v>4.02</v>
      </c>
      <c r="E775" t="s">
        <v>16</v>
      </c>
      <c r="F775" t="s">
        <v>16</v>
      </c>
      <c r="H775">
        <v>0</v>
      </c>
      <c r="I775">
        <v>-8.84</v>
      </c>
      <c r="J775">
        <v>-4.06</v>
      </c>
      <c r="L775">
        <v>0</v>
      </c>
      <c r="M775">
        <v>160.7</v>
      </c>
      <c r="N775">
        <v>0.03</v>
      </c>
      <c r="O775">
        <v>1.86</v>
      </c>
    </row>
    <row r="776" spans="1:15">
      <c r="A776" t="str">
        <f>"002258"</f>
        <v>002258</v>
      </c>
      <c r="B776" t="s">
        <v>810</v>
      </c>
      <c r="C776">
        <v>-4.71</v>
      </c>
      <c r="D776">
        <v>12.94</v>
      </c>
      <c r="E776" t="s">
        <v>16</v>
      </c>
      <c r="F776" t="s">
        <v>16</v>
      </c>
      <c r="H776">
        <v>0.7</v>
      </c>
      <c r="I776">
        <v>0.23</v>
      </c>
      <c r="J776">
        <v>-5.06</v>
      </c>
      <c r="L776">
        <v>-0.22</v>
      </c>
      <c r="M776">
        <v>69.78</v>
      </c>
      <c r="N776">
        <v>0.01</v>
      </c>
      <c r="O776">
        <v>0.41</v>
      </c>
    </row>
    <row r="777" spans="1:15">
      <c r="A777" t="str">
        <f>"002259"</f>
        <v>002259</v>
      </c>
      <c r="B777" t="s">
        <v>811</v>
      </c>
      <c r="C777">
        <v>-2.96</v>
      </c>
      <c r="D777">
        <v>4.26</v>
      </c>
      <c r="E777" t="s">
        <v>16</v>
      </c>
      <c r="F777" t="s">
        <v>16</v>
      </c>
      <c r="H777">
        <v>0.47</v>
      </c>
      <c r="I777">
        <v>-12.53</v>
      </c>
      <c r="J777">
        <v>-4.91</v>
      </c>
      <c r="L777">
        <v>-0.68</v>
      </c>
      <c r="M777">
        <v>26.6</v>
      </c>
      <c r="N777">
        <v>0.01</v>
      </c>
      <c r="O777">
        <v>0.87</v>
      </c>
    </row>
    <row r="778" spans="1:15">
      <c r="A778" t="str">
        <f>"002261"</f>
        <v>002261</v>
      </c>
      <c r="B778" t="s">
        <v>812</v>
      </c>
      <c r="C778">
        <v>3.53</v>
      </c>
      <c r="D778">
        <v>30.54</v>
      </c>
      <c r="E778" t="s">
        <v>16</v>
      </c>
      <c r="F778" t="s">
        <v>16</v>
      </c>
      <c r="H778">
        <v>0.03</v>
      </c>
      <c r="I778">
        <v>5.2</v>
      </c>
      <c r="J778">
        <v>-0.72</v>
      </c>
      <c r="L778">
        <v>1.22</v>
      </c>
      <c r="M778">
        <v>701.41</v>
      </c>
      <c r="N778">
        <v>0.02</v>
      </c>
      <c r="O778">
        <v>1.5</v>
      </c>
    </row>
    <row r="779" spans="1:15">
      <c r="A779" t="str">
        <f>"002262"</f>
        <v>002262</v>
      </c>
      <c r="B779" t="s">
        <v>813</v>
      </c>
      <c r="C779">
        <v>-0.11</v>
      </c>
      <c r="D779">
        <v>18.69</v>
      </c>
      <c r="E779" t="s">
        <v>16</v>
      </c>
      <c r="F779" t="s">
        <v>16</v>
      </c>
      <c r="H779">
        <v>-0.1</v>
      </c>
      <c r="I779">
        <v>-3.81</v>
      </c>
      <c r="J779">
        <v>-2.35</v>
      </c>
      <c r="L779">
        <v>-0.16</v>
      </c>
      <c r="M779">
        <v>56.41</v>
      </c>
      <c r="N779">
        <v>0.01</v>
      </c>
      <c r="O779">
        <v>9.44</v>
      </c>
    </row>
    <row r="780" spans="1:15">
      <c r="A780" t="str">
        <f>"002263"</f>
        <v>002263</v>
      </c>
      <c r="B780" t="s">
        <v>814</v>
      </c>
      <c r="C780">
        <v>-4.12</v>
      </c>
      <c r="D780">
        <v>4.19</v>
      </c>
      <c r="E780" t="s">
        <v>16</v>
      </c>
      <c r="F780" t="s">
        <v>16</v>
      </c>
      <c r="H780">
        <v>0</v>
      </c>
      <c r="I780">
        <v>7.44</v>
      </c>
      <c r="J780">
        <v>-2.33</v>
      </c>
      <c r="K780" t="s">
        <v>211</v>
      </c>
      <c r="L780">
        <v>-2.06</v>
      </c>
      <c r="M780">
        <v>719.22</v>
      </c>
      <c r="N780">
        <v>0.12</v>
      </c>
      <c r="O780">
        <v>0.42</v>
      </c>
    </row>
    <row r="781" spans="1:15">
      <c r="A781" t="str">
        <f>"002264"</f>
        <v>002264</v>
      </c>
      <c r="B781" t="s">
        <v>815</v>
      </c>
      <c r="C781">
        <v>-2.96</v>
      </c>
      <c r="D781">
        <v>5.9</v>
      </c>
      <c r="E781" t="s">
        <v>16</v>
      </c>
      <c r="F781" t="s">
        <v>16</v>
      </c>
      <c r="H781">
        <v>-0.16</v>
      </c>
      <c r="I781">
        <v>-9.65</v>
      </c>
      <c r="J781">
        <v>-3.28</v>
      </c>
      <c r="L781">
        <v>-0.49</v>
      </c>
      <c r="M781">
        <v>17.97</v>
      </c>
      <c r="N781">
        <v>0.01</v>
      </c>
      <c r="O781">
        <v>1.08</v>
      </c>
    </row>
    <row r="782" spans="1:15">
      <c r="A782" t="str">
        <f>"002265"</f>
        <v>002265</v>
      </c>
      <c r="B782" t="s">
        <v>816</v>
      </c>
      <c r="C782">
        <v>-1.86</v>
      </c>
      <c r="D782">
        <v>18.99</v>
      </c>
      <c r="E782" t="s">
        <v>16</v>
      </c>
      <c r="F782" t="s">
        <v>16</v>
      </c>
      <c r="H782">
        <v>-0.25</v>
      </c>
      <c r="I782">
        <v>-5.19</v>
      </c>
      <c r="J782">
        <v>-2.11</v>
      </c>
      <c r="L782">
        <v>-0.52</v>
      </c>
      <c r="M782">
        <v>15.21</v>
      </c>
      <c r="N782">
        <v>0</v>
      </c>
      <c r="O782">
        <v>0.09</v>
      </c>
    </row>
    <row r="783" spans="1:15">
      <c r="A783" t="str">
        <f>"002266"</f>
        <v>002266</v>
      </c>
      <c r="B783" t="s">
        <v>817</v>
      </c>
      <c r="C783">
        <v>-0.61</v>
      </c>
      <c r="D783">
        <v>4.87</v>
      </c>
      <c r="E783" t="s">
        <v>16</v>
      </c>
      <c r="F783" t="s">
        <v>16</v>
      </c>
      <c r="H783">
        <v>0</v>
      </c>
      <c r="I783">
        <v>-1.42</v>
      </c>
      <c r="J783">
        <v>-2.79</v>
      </c>
      <c r="L783">
        <v>-0.2</v>
      </c>
      <c r="M783">
        <v>110.66</v>
      </c>
      <c r="N783">
        <v>0.01</v>
      </c>
      <c r="O783">
        <v>1.49</v>
      </c>
    </row>
    <row r="784" spans="1:15">
      <c r="A784" t="str">
        <f>"002267"</f>
        <v>002267</v>
      </c>
      <c r="B784" t="s">
        <v>818</v>
      </c>
      <c r="C784">
        <v>0.43</v>
      </c>
      <c r="D784">
        <v>6.94</v>
      </c>
      <c r="E784" t="s">
        <v>16</v>
      </c>
      <c r="F784" t="s">
        <v>16</v>
      </c>
      <c r="H784">
        <v>-0.13</v>
      </c>
      <c r="I784">
        <v>-6.72</v>
      </c>
      <c r="J784">
        <v>-0.57</v>
      </c>
      <c r="L784">
        <v>0</v>
      </c>
      <c r="M784">
        <v>12.23</v>
      </c>
      <c r="N784">
        <v>0</v>
      </c>
      <c r="O784">
        <v>1.84</v>
      </c>
    </row>
    <row r="785" spans="1:15">
      <c r="A785" t="str">
        <f>"002268"</f>
        <v>002268</v>
      </c>
      <c r="B785" t="s">
        <v>819</v>
      </c>
      <c r="C785">
        <v>0</v>
      </c>
      <c r="D785">
        <v>13.22</v>
      </c>
      <c r="E785" t="s">
        <v>16</v>
      </c>
      <c r="F785" t="s">
        <v>16</v>
      </c>
      <c r="H785">
        <v>-0.07</v>
      </c>
      <c r="I785">
        <v>-2.94</v>
      </c>
      <c r="J785">
        <v>-1.78</v>
      </c>
      <c r="L785">
        <v>0.3</v>
      </c>
      <c r="M785">
        <v>22.81</v>
      </c>
      <c r="N785">
        <v>0</v>
      </c>
      <c r="O785">
        <v>1.48</v>
      </c>
    </row>
    <row r="786" spans="1:15">
      <c r="A786" t="str">
        <f>"002269"</f>
        <v>002269</v>
      </c>
      <c r="B786" t="s">
        <v>820</v>
      </c>
      <c r="C786">
        <v>-0.71</v>
      </c>
      <c r="D786">
        <v>1.4</v>
      </c>
      <c r="E786" t="s">
        <v>16</v>
      </c>
      <c r="F786" t="s">
        <v>16</v>
      </c>
      <c r="H786">
        <v>0</v>
      </c>
      <c r="I786">
        <v>-8.5</v>
      </c>
      <c r="J786">
        <v>-1.41</v>
      </c>
      <c r="L786">
        <v>-0.71</v>
      </c>
      <c r="M786">
        <v>35.55</v>
      </c>
      <c r="N786">
        <v>0.02</v>
      </c>
      <c r="O786">
        <v>11.09</v>
      </c>
    </row>
    <row r="787" spans="1:15">
      <c r="A787" t="str">
        <f>"002270"</f>
        <v>002270</v>
      </c>
      <c r="B787" t="s">
        <v>821</v>
      </c>
      <c r="C787">
        <v>-2.28</v>
      </c>
      <c r="D787">
        <v>21.42</v>
      </c>
      <c r="E787" t="s">
        <v>16</v>
      </c>
      <c r="F787" t="s">
        <v>16</v>
      </c>
      <c r="H787">
        <v>-0.04</v>
      </c>
      <c r="I787">
        <v>4.85</v>
      </c>
      <c r="J787">
        <v>-3.51</v>
      </c>
      <c r="L787">
        <v>-0.05</v>
      </c>
      <c r="M787">
        <v>272.78</v>
      </c>
      <c r="N787">
        <v>0.02</v>
      </c>
      <c r="O787">
        <v>1.51</v>
      </c>
    </row>
    <row r="788" spans="1:15">
      <c r="A788" t="str">
        <f>"002271"</f>
        <v>002271</v>
      </c>
      <c r="B788" t="s">
        <v>822</v>
      </c>
      <c r="C788">
        <v>-3.5</v>
      </c>
      <c r="D788">
        <v>12.13</v>
      </c>
      <c r="E788" t="s">
        <v>16</v>
      </c>
      <c r="F788" t="s">
        <v>16</v>
      </c>
      <c r="H788">
        <v>-0.15</v>
      </c>
      <c r="I788">
        <v>-5.53</v>
      </c>
      <c r="J788">
        <v>-3.58</v>
      </c>
      <c r="L788">
        <v>-0.24</v>
      </c>
      <c r="M788">
        <v>164.52</v>
      </c>
      <c r="N788">
        <v>0.01</v>
      </c>
      <c r="O788">
        <v>1.07</v>
      </c>
    </row>
    <row r="789" spans="1:15">
      <c r="A789" t="str">
        <f>"002272"</f>
        <v>002272</v>
      </c>
      <c r="B789" t="s">
        <v>823</v>
      </c>
      <c r="C789">
        <v>0.52</v>
      </c>
      <c r="D789">
        <v>21.2</v>
      </c>
      <c r="E789" t="s">
        <v>16</v>
      </c>
      <c r="F789" t="s">
        <v>16</v>
      </c>
      <c r="H789">
        <v>0</v>
      </c>
      <c r="I789">
        <v>7.02</v>
      </c>
      <c r="J789">
        <v>-2.35</v>
      </c>
      <c r="L789">
        <v>-1.14</v>
      </c>
      <c r="M789">
        <v>374.67</v>
      </c>
      <c r="N789">
        <v>0.05</v>
      </c>
      <c r="O789">
        <v>0.56</v>
      </c>
    </row>
    <row r="790" spans="1:15">
      <c r="A790" t="str">
        <f>"002273"</f>
        <v>002273</v>
      </c>
      <c r="B790" t="s">
        <v>824</v>
      </c>
      <c r="C790">
        <v>3.39</v>
      </c>
      <c r="D790">
        <v>36.94</v>
      </c>
      <c r="E790" t="s">
        <v>16</v>
      </c>
      <c r="F790" t="s">
        <v>16</v>
      </c>
      <c r="H790">
        <v>0.05</v>
      </c>
      <c r="I790">
        <v>-0.65</v>
      </c>
      <c r="J790">
        <v>-1.26</v>
      </c>
      <c r="L790">
        <v>0.06</v>
      </c>
      <c r="M790">
        <v>1196.55</v>
      </c>
      <c r="N790">
        <v>0.03</v>
      </c>
      <c r="O790">
        <v>1.11</v>
      </c>
    </row>
    <row r="791" spans="1:15">
      <c r="A791" t="str">
        <f>"002274"</f>
        <v>002274</v>
      </c>
      <c r="B791" t="s">
        <v>825</v>
      </c>
      <c r="C791">
        <v>-2.57</v>
      </c>
      <c r="D791">
        <v>4.93</v>
      </c>
      <c r="E791" t="s">
        <v>16</v>
      </c>
      <c r="F791" t="s">
        <v>16</v>
      </c>
      <c r="H791">
        <v>0</v>
      </c>
      <c r="I791">
        <v>-11.17</v>
      </c>
      <c r="J791">
        <v>-2.57</v>
      </c>
      <c r="L791">
        <v>-0.4</v>
      </c>
      <c r="M791">
        <v>3.43</v>
      </c>
      <c r="N791">
        <v>0</v>
      </c>
      <c r="O791">
        <v>0.53</v>
      </c>
    </row>
    <row r="792" spans="1:15">
      <c r="A792" t="str">
        <f>"002275"</f>
        <v>002275</v>
      </c>
      <c r="B792" t="s">
        <v>826</v>
      </c>
      <c r="C792">
        <v>0.57</v>
      </c>
      <c r="D792">
        <v>12.33</v>
      </c>
      <c r="E792" t="s">
        <v>16</v>
      </c>
      <c r="F792" t="s">
        <v>16</v>
      </c>
      <c r="H792">
        <v>0</v>
      </c>
      <c r="I792">
        <v>-4.2</v>
      </c>
      <c r="J792">
        <v>-0.72</v>
      </c>
      <c r="L792">
        <v>-0.16</v>
      </c>
      <c r="M792">
        <v>10.65</v>
      </c>
      <c r="N792">
        <v>0.01</v>
      </c>
      <c r="O792">
        <v>12.43</v>
      </c>
    </row>
    <row r="793" spans="1:15">
      <c r="A793" t="str">
        <f>"002276"</f>
        <v>002276</v>
      </c>
      <c r="B793" t="s">
        <v>827</v>
      </c>
      <c r="C793">
        <v>-1.47</v>
      </c>
      <c r="D793">
        <v>10.76</v>
      </c>
      <c r="E793" t="s">
        <v>16</v>
      </c>
      <c r="F793" t="s">
        <v>16</v>
      </c>
      <c r="H793">
        <v>-0.18</v>
      </c>
      <c r="I793">
        <v>-5.2</v>
      </c>
      <c r="J793">
        <v>-1.65</v>
      </c>
      <c r="L793">
        <v>-0.18</v>
      </c>
      <c r="M793">
        <v>21.47</v>
      </c>
      <c r="N793">
        <v>0</v>
      </c>
      <c r="O793">
        <v>0.24</v>
      </c>
    </row>
    <row r="794" spans="1:15">
      <c r="A794" t="str">
        <f>"002277"</f>
        <v>002277</v>
      </c>
      <c r="B794" t="s">
        <v>828</v>
      </c>
      <c r="C794">
        <v>-1.13</v>
      </c>
      <c r="D794">
        <v>6.11</v>
      </c>
      <c r="E794" t="s">
        <v>16</v>
      </c>
      <c r="F794" t="s">
        <v>16</v>
      </c>
      <c r="H794">
        <v>0</v>
      </c>
      <c r="I794">
        <v>-9.48</v>
      </c>
      <c r="J794">
        <v>-2.86</v>
      </c>
      <c r="L794">
        <v>-0.32</v>
      </c>
      <c r="M794">
        <v>129.42</v>
      </c>
      <c r="N794">
        <v>0.02</v>
      </c>
      <c r="O794">
        <v>0.89</v>
      </c>
    </row>
    <row r="795" spans="1:15">
      <c r="A795" t="str">
        <f>"002278"</f>
        <v>002278</v>
      </c>
      <c r="B795" t="s">
        <v>829</v>
      </c>
      <c r="C795">
        <v>-0.36</v>
      </c>
      <c r="D795">
        <v>8.25</v>
      </c>
      <c r="E795" t="s">
        <v>16</v>
      </c>
      <c r="F795" t="s">
        <v>16</v>
      </c>
      <c r="H795">
        <v>0</v>
      </c>
      <c r="I795">
        <v>-6.14</v>
      </c>
      <c r="J795">
        <v>-1.32</v>
      </c>
      <c r="L795">
        <v>-0.97</v>
      </c>
      <c r="M795">
        <v>21.73</v>
      </c>
      <c r="N795">
        <v>0.01</v>
      </c>
      <c r="O795">
        <v>0.48</v>
      </c>
    </row>
    <row r="796" spans="1:15">
      <c r="A796" t="str">
        <f>"002279"</f>
        <v>002279</v>
      </c>
      <c r="B796" t="s">
        <v>830</v>
      </c>
      <c r="C796">
        <v>-1.7</v>
      </c>
      <c r="D796">
        <v>6.37</v>
      </c>
      <c r="E796" t="s">
        <v>16</v>
      </c>
      <c r="F796" t="s">
        <v>16</v>
      </c>
      <c r="H796">
        <v>-0.15</v>
      </c>
      <c r="I796">
        <v>-7.68</v>
      </c>
      <c r="J796">
        <v>-2</v>
      </c>
      <c r="L796">
        <v>-1.39</v>
      </c>
      <c r="M796">
        <v>91.38</v>
      </c>
      <c r="N796">
        <v>0.02</v>
      </c>
      <c r="O796">
        <v>1.27</v>
      </c>
    </row>
    <row r="797" spans="1:15">
      <c r="A797" t="str">
        <f>"002281"</f>
        <v>002281</v>
      </c>
      <c r="B797" t="s">
        <v>831</v>
      </c>
      <c r="C797">
        <v>10</v>
      </c>
      <c r="D797">
        <v>266.2</v>
      </c>
      <c r="E797">
        <v>40872.35</v>
      </c>
      <c r="F797">
        <v>1</v>
      </c>
      <c r="H797">
        <v>0</v>
      </c>
      <c r="I797">
        <v>20.69</v>
      </c>
      <c r="J797">
        <v>0</v>
      </c>
      <c r="K797" t="s">
        <v>220</v>
      </c>
      <c r="L797">
        <v>0</v>
      </c>
      <c r="M797">
        <v>7779.98</v>
      </c>
      <c r="N797">
        <v>0.07</v>
      </c>
      <c r="O797">
        <v>0.55</v>
      </c>
    </row>
    <row r="798" spans="1:15">
      <c r="A798" t="str">
        <f>"002282"</f>
        <v>002282</v>
      </c>
      <c r="B798" t="s">
        <v>832</v>
      </c>
      <c r="C798">
        <v>-0.85</v>
      </c>
      <c r="D798">
        <v>5.86</v>
      </c>
      <c r="E798" t="s">
        <v>16</v>
      </c>
      <c r="F798" t="s">
        <v>16</v>
      </c>
      <c r="H798">
        <v>-0.16</v>
      </c>
      <c r="I798">
        <v>-5.64</v>
      </c>
      <c r="J798">
        <v>-1.35</v>
      </c>
      <c r="L798">
        <v>-0.85</v>
      </c>
      <c r="M798">
        <v>8.79</v>
      </c>
      <c r="N798">
        <v>0</v>
      </c>
      <c r="O798">
        <v>1.15</v>
      </c>
    </row>
    <row r="799" spans="1:15">
      <c r="A799" t="str">
        <f>"002283"</f>
        <v>002283</v>
      </c>
      <c r="B799" t="s">
        <v>833</v>
      </c>
      <c r="C799">
        <v>10.04</v>
      </c>
      <c r="D799">
        <v>11.07</v>
      </c>
      <c r="E799">
        <v>6847.9</v>
      </c>
      <c r="F799">
        <v>1</v>
      </c>
      <c r="H799">
        <v>0</v>
      </c>
      <c r="I799">
        <v>2.03</v>
      </c>
      <c r="J799">
        <v>0</v>
      </c>
      <c r="K799" t="s">
        <v>140</v>
      </c>
      <c r="L799">
        <v>0.3</v>
      </c>
      <c r="M799">
        <v>83.04</v>
      </c>
      <c r="N799">
        <v>0.01</v>
      </c>
      <c r="O799">
        <v>1.79</v>
      </c>
    </row>
    <row r="800" spans="1:15">
      <c r="A800" t="str">
        <f>"002284"</f>
        <v>002284</v>
      </c>
      <c r="B800" t="s">
        <v>834</v>
      </c>
      <c r="C800">
        <v>-2.14</v>
      </c>
      <c r="D800">
        <v>10.54</v>
      </c>
      <c r="E800" t="s">
        <v>16</v>
      </c>
      <c r="F800" t="s">
        <v>16</v>
      </c>
      <c r="H800">
        <v>0.29</v>
      </c>
      <c r="I800">
        <v>-7.22</v>
      </c>
      <c r="J800">
        <v>-2.68</v>
      </c>
      <c r="L800">
        <v>-0.37</v>
      </c>
      <c r="M800">
        <v>77.47</v>
      </c>
      <c r="N800">
        <v>0.02</v>
      </c>
      <c r="O800">
        <v>4.81</v>
      </c>
    </row>
    <row r="801" spans="1:15">
      <c r="A801" t="str">
        <f>"002285"</f>
        <v>002285</v>
      </c>
      <c r="B801" t="s">
        <v>835</v>
      </c>
      <c r="C801">
        <v>-3.43</v>
      </c>
      <c r="D801">
        <v>2.25</v>
      </c>
      <c r="E801" t="s">
        <v>16</v>
      </c>
      <c r="F801" t="s">
        <v>16</v>
      </c>
      <c r="H801">
        <v>0</v>
      </c>
      <c r="I801">
        <v>-12.45</v>
      </c>
      <c r="J801">
        <v>-3.85</v>
      </c>
      <c r="L801">
        <v>-0.86</v>
      </c>
      <c r="M801">
        <v>19.01</v>
      </c>
      <c r="N801">
        <v>0.01</v>
      </c>
      <c r="O801">
        <v>1.24</v>
      </c>
    </row>
    <row r="802" spans="1:15">
      <c r="A802" t="str">
        <f>"002286"</f>
        <v>002286</v>
      </c>
      <c r="B802" t="s">
        <v>836</v>
      </c>
      <c r="C802">
        <v>-2.19</v>
      </c>
      <c r="D802">
        <v>8.92</v>
      </c>
      <c r="E802" t="s">
        <v>16</v>
      </c>
      <c r="F802" t="s">
        <v>16</v>
      </c>
      <c r="H802">
        <v>-0.44</v>
      </c>
      <c r="I802">
        <v>0.45</v>
      </c>
      <c r="J802">
        <v>-2.62</v>
      </c>
      <c r="L802">
        <v>-1.21</v>
      </c>
      <c r="M802">
        <v>28.38</v>
      </c>
      <c r="N802">
        <v>0.01</v>
      </c>
      <c r="O802">
        <v>2.32</v>
      </c>
    </row>
    <row r="803" spans="1:15">
      <c r="A803" t="str">
        <f>"002287"</f>
        <v>002287</v>
      </c>
      <c r="B803" t="s">
        <v>837</v>
      </c>
      <c r="C803">
        <v>-0.96</v>
      </c>
      <c r="D803">
        <v>19.61</v>
      </c>
      <c r="E803" t="s">
        <v>16</v>
      </c>
      <c r="F803" t="s">
        <v>16</v>
      </c>
      <c r="H803">
        <v>0.05</v>
      </c>
      <c r="I803">
        <v>-1.75</v>
      </c>
      <c r="J803">
        <v>-1.46</v>
      </c>
      <c r="L803">
        <v>0.05</v>
      </c>
      <c r="M803">
        <v>1.78</v>
      </c>
      <c r="N803">
        <v>0</v>
      </c>
      <c r="O803">
        <v>0.12</v>
      </c>
    </row>
    <row r="804" spans="1:15">
      <c r="A804" t="str">
        <f>"002289"</f>
        <v>002289</v>
      </c>
      <c r="B804" t="s">
        <v>838</v>
      </c>
      <c r="C804">
        <v>3.38</v>
      </c>
      <c r="D804">
        <v>42.76</v>
      </c>
      <c r="E804" t="s">
        <v>16</v>
      </c>
      <c r="F804" t="s">
        <v>16</v>
      </c>
      <c r="H804">
        <v>-0.46</v>
      </c>
      <c r="I804">
        <v>6.03</v>
      </c>
      <c r="J804">
        <v>-1.32</v>
      </c>
      <c r="L804">
        <v>0.65</v>
      </c>
      <c r="M804">
        <v>40.8</v>
      </c>
      <c r="N804">
        <v>0.01</v>
      </c>
      <c r="O804">
        <v>4.67</v>
      </c>
    </row>
    <row r="805" spans="1:15">
      <c r="A805" t="str">
        <f>"002290"</f>
        <v>002290</v>
      </c>
      <c r="B805" t="s">
        <v>839</v>
      </c>
      <c r="C805">
        <v>6.97</v>
      </c>
      <c r="D805">
        <v>89.19</v>
      </c>
      <c r="E805" t="s">
        <v>16</v>
      </c>
      <c r="F805" t="s">
        <v>16</v>
      </c>
      <c r="H805">
        <v>-0.02</v>
      </c>
      <c r="I805">
        <v>-0.08</v>
      </c>
      <c r="J805">
        <v>-0.78</v>
      </c>
      <c r="L805">
        <v>-0.78</v>
      </c>
      <c r="M805">
        <v>228.33</v>
      </c>
      <c r="N805">
        <v>0.02</v>
      </c>
      <c r="O805">
        <v>1.04</v>
      </c>
    </row>
    <row r="806" spans="1:15">
      <c r="A806" t="str">
        <f>"002291"</f>
        <v>002291</v>
      </c>
      <c r="B806" t="s">
        <v>840</v>
      </c>
      <c r="C806">
        <v>-0.76</v>
      </c>
      <c r="D806">
        <v>5.19</v>
      </c>
      <c r="E806" t="s">
        <v>16</v>
      </c>
      <c r="F806" t="s">
        <v>16</v>
      </c>
      <c r="H806">
        <v>-0.18</v>
      </c>
      <c r="I806">
        <v>-10.52</v>
      </c>
      <c r="J806">
        <v>-1.7</v>
      </c>
      <c r="L806">
        <v>-0.76</v>
      </c>
      <c r="M806">
        <v>45.05</v>
      </c>
      <c r="N806">
        <v>0.01</v>
      </c>
      <c r="O806">
        <v>0.25</v>
      </c>
    </row>
    <row r="807" spans="1:15">
      <c r="A807" t="str">
        <f>"002292"</f>
        <v>002292</v>
      </c>
      <c r="B807" t="s">
        <v>841</v>
      </c>
      <c r="C807">
        <v>0.62</v>
      </c>
      <c r="D807">
        <v>6.51</v>
      </c>
      <c r="E807" t="s">
        <v>16</v>
      </c>
      <c r="F807" t="s">
        <v>16</v>
      </c>
      <c r="H807">
        <v>0.15</v>
      </c>
      <c r="I807">
        <v>-6.33</v>
      </c>
      <c r="J807">
        <v>-0.46</v>
      </c>
      <c r="L807">
        <v>-0.31</v>
      </c>
      <c r="M807">
        <v>38.76</v>
      </c>
      <c r="N807">
        <v>0.01</v>
      </c>
      <c r="O807">
        <v>1.25</v>
      </c>
    </row>
    <row r="808" spans="1:15">
      <c r="A808" t="str">
        <f>"002293"</f>
        <v>002293</v>
      </c>
      <c r="B808" t="s">
        <v>842</v>
      </c>
      <c r="C808">
        <v>0.69</v>
      </c>
      <c r="D808">
        <v>10.15</v>
      </c>
      <c r="E808" t="s">
        <v>16</v>
      </c>
      <c r="F808" t="s">
        <v>16</v>
      </c>
      <c r="H808">
        <v>-0.09</v>
      </c>
      <c r="I808">
        <v>4.21</v>
      </c>
      <c r="J808">
        <v>-1.93</v>
      </c>
      <c r="L808">
        <v>-0.2</v>
      </c>
      <c r="M808">
        <v>4.33</v>
      </c>
      <c r="N808">
        <v>0</v>
      </c>
      <c r="O808">
        <v>0.16</v>
      </c>
    </row>
    <row r="809" spans="1:15">
      <c r="A809" t="str">
        <f>"002294"</f>
        <v>002294</v>
      </c>
      <c r="B809" t="s">
        <v>843</v>
      </c>
      <c r="C809">
        <v>0.73</v>
      </c>
      <c r="D809">
        <v>30.38</v>
      </c>
      <c r="E809" t="s">
        <v>16</v>
      </c>
      <c r="F809" t="s">
        <v>16</v>
      </c>
      <c r="H809">
        <v>-0.12</v>
      </c>
      <c r="I809">
        <v>-5.33</v>
      </c>
      <c r="J809">
        <v>-1.87</v>
      </c>
      <c r="L809">
        <v>0.23</v>
      </c>
      <c r="M809">
        <v>286.58</v>
      </c>
      <c r="N809">
        <v>0.02</v>
      </c>
      <c r="O809">
        <v>1.66</v>
      </c>
    </row>
    <row r="810" spans="1:15">
      <c r="A810" t="str">
        <f>"002295"</f>
        <v>002295</v>
      </c>
      <c r="B810" t="s">
        <v>844</v>
      </c>
      <c r="C810">
        <v>-0.92</v>
      </c>
      <c r="D810">
        <v>9.69</v>
      </c>
      <c r="E810" t="s">
        <v>16</v>
      </c>
      <c r="F810" t="s">
        <v>16</v>
      </c>
      <c r="H810">
        <v>0.1</v>
      </c>
      <c r="I810">
        <v>-3</v>
      </c>
      <c r="J810">
        <v>-3.68</v>
      </c>
      <c r="L810">
        <v>-1.23</v>
      </c>
      <c r="M810">
        <v>11.11</v>
      </c>
      <c r="N810">
        <v>0.01</v>
      </c>
      <c r="O810">
        <v>0.37</v>
      </c>
    </row>
    <row r="811" spans="1:15">
      <c r="A811" t="str">
        <f>"002296"</f>
        <v>002296</v>
      </c>
      <c r="B811" t="s">
        <v>845</v>
      </c>
      <c r="C811">
        <v>-0.84</v>
      </c>
      <c r="D811">
        <v>9.4</v>
      </c>
      <c r="E811" t="s">
        <v>16</v>
      </c>
      <c r="F811" t="s">
        <v>16</v>
      </c>
      <c r="H811">
        <v>0.21</v>
      </c>
      <c r="I811">
        <v>-4.95</v>
      </c>
      <c r="J811">
        <v>-1.36</v>
      </c>
      <c r="L811">
        <v>-0.84</v>
      </c>
      <c r="M811">
        <v>56.68</v>
      </c>
      <c r="N811">
        <v>0.02</v>
      </c>
      <c r="O811">
        <v>3.41</v>
      </c>
    </row>
    <row r="812" spans="1:15">
      <c r="A812" t="str">
        <f>"002297"</f>
        <v>002297</v>
      </c>
      <c r="B812" t="s">
        <v>846</v>
      </c>
      <c r="C812">
        <v>10.01</v>
      </c>
      <c r="D812">
        <v>28.36</v>
      </c>
      <c r="E812">
        <v>4504.99</v>
      </c>
      <c r="F812">
        <v>1</v>
      </c>
      <c r="H812">
        <v>0</v>
      </c>
      <c r="I812">
        <v>36.48</v>
      </c>
      <c r="J812">
        <v>0</v>
      </c>
      <c r="K812" t="s">
        <v>140</v>
      </c>
      <c r="L812">
        <v>-0.31</v>
      </c>
      <c r="M812">
        <v>3044.94</v>
      </c>
      <c r="N812">
        <v>0.27</v>
      </c>
      <c r="O812">
        <v>0.79</v>
      </c>
    </row>
    <row r="813" spans="1:15">
      <c r="A813" t="str">
        <f>"002298"</f>
        <v>002298</v>
      </c>
      <c r="B813" t="s">
        <v>847</v>
      </c>
      <c r="C813">
        <v>-2.04</v>
      </c>
      <c r="D813">
        <v>8.15</v>
      </c>
      <c r="E813" t="s">
        <v>16</v>
      </c>
      <c r="F813" t="s">
        <v>16</v>
      </c>
      <c r="H813">
        <v>-0.11</v>
      </c>
      <c r="I813">
        <v>-7.91</v>
      </c>
      <c r="J813">
        <v>-1.93</v>
      </c>
      <c r="L813">
        <v>-0.84</v>
      </c>
      <c r="M813">
        <v>52.06</v>
      </c>
      <c r="N813">
        <v>0.01</v>
      </c>
      <c r="O813">
        <v>0.38</v>
      </c>
    </row>
    <row r="814" spans="1:15">
      <c r="A814" t="str">
        <f>"002299"</f>
        <v>002299</v>
      </c>
      <c r="B814" t="s">
        <v>848</v>
      </c>
      <c r="C814">
        <v>-0.49</v>
      </c>
      <c r="D814">
        <v>16.14</v>
      </c>
      <c r="E814" t="s">
        <v>16</v>
      </c>
      <c r="F814" t="s">
        <v>16</v>
      </c>
      <c r="H814">
        <v>0.06</v>
      </c>
      <c r="I814">
        <v>-1.59</v>
      </c>
      <c r="J814">
        <v>-0.86</v>
      </c>
      <c r="L814">
        <v>-0.62</v>
      </c>
      <c r="M814">
        <v>14.35</v>
      </c>
      <c r="N814">
        <v>0</v>
      </c>
      <c r="O814">
        <v>0.71</v>
      </c>
    </row>
    <row r="815" spans="1:15">
      <c r="A815" t="str">
        <f>"002300"</f>
        <v>002300</v>
      </c>
      <c r="B815" t="s">
        <v>849</v>
      </c>
      <c r="C815">
        <v>-1.88</v>
      </c>
      <c r="D815">
        <v>7.31</v>
      </c>
      <c r="E815" t="s">
        <v>16</v>
      </c>
      <c r="F815" t="s">
        <v>16</v>
      </c>
      <c r="H815">
        <v>0</v>
      </c>
      <c r="I815">
        <v>-12.03</v>
      </c>
      <c r="J815">
        <v>-1.88</v>
      </c>
      <c r="L815">
        <v>-0.4</v>
      </c>
      <c r="M815">
        <v>74.72</v>
      </c>
      <c r="N815">
        <v>0.03</v>
      </c>
      <c r="O815">
        <v>1.85</v>
      </c>
    </row>
    <row r="816" spans="1:15">
      <c r="A816" t="str">
        <f>"002301"</f>
        <v>002301</v>
      </c>
      <c r="B816" t="s">
        <v>850</v>
      </c>
      <c r="C816">
        <v>-2.66</v>
      </c>
      <c r="D816">
        <v>7.69</v>
      </c>
      <c r="E816" t="s">
        <v>16</v>
      </c>
      <c r="F816" t="s">
        <v>16</v>
      </c>
      <c r="H816">
        <v>-0.64</v>
      </c>
      <c r="I816">
        <v>2.12</v>
      </c>
      <c r="J816">
        <v>-4</v>
      </c>
      <c r="K816" t="s">
        <v>57</v>
      </c>
      <c r="L816">
        <v>-1.27</v>
      </c>
      <c r="M816">
        <v>95.71</v>
      </c>
      <c r="N816">
        <v>0.03</v>
      </c>
      <c r="O816">
        <v>0.24</v>
      </c>
    </row>
    <row r="817" spans="1:15">
      <c r="A817" t="str">
        <f>"002302"</f>
        <v>002302</v>
      </c>
      <c r="B817" t="s">
        <v>851</v>
      </c>
      <c r="C817">
        <v>-1.9</v>
      </c>
      <c r="D817">
        <v>4.65</v>
      </c>
      <c r="E817" t="s">
        <v>16</v>
      </c>
      <c r="F817" t="s">
        <v>16</v>
      </c>
      <c r="H817">
        <v>-0.2</v>
      </c>
      <c r="I817">
        <v>-5.87</v>
      </c>
      <c r="J817">
        <v>-1.69</v>
      </c>
      <c r="L817">
        <v>-0.42</v>
      </c>
      <c r="M817">
        <v>10.71</v>
      </c>
      <c r="N817">
        <v>0</v>
      </c>
      <c r="O817">
        <v>1.03</v>
      </c>
    </row>
    <row r="818" spans="1:15">
      <c r="A818" t="str">
        <f>"002303"</f>
        <v>002303</v>
      </c>
      <c r="B818" t="s">
        <v>852</v>
      </c>
      <c r="C818">
        <v>-4.7</v>
      </c>
      <c r="D818">
        <v>3.65</v>
      </c>
      <c r="E818" t="s">
        <v>16</v>
      </c>
      <c r="F818" t="s">
        <v>16</v>
      </c>
      <c r="H818">
        <v>-0.26</v>
      </c>
      <c r="I818">
        <v>13.35</v>
      </c>
      <c r="J818">
        <v>-6.65</v>
      </c>
      <c r="K818" t="s">
        <v>26</v>
      </c>
      <c r="L818">
        <v>-1.31</v>
      </c>
      <c r="M818">
        <v>174.45</v>
      </c>
      <c r="N818">
        <v>0.05</v>
      </c>
      <c r="O818">
        <v>0.3</v>
      </c>
    </row>
    <row r="819" spans="1:15">
      <c r="A819" t="str">
        <f>"002304"</f>
        <v>002304</v>
      </c>
      <c r="B819" t="s">
        <v>853</v>
      </c>
      <c r="C819">
        <v>-2.5</v>
      </c>
      <c r="D819">
        <v>41.03</v>
      </c>
      <c r="E819" t="s">
        <v>16</v>
      </c>
      <c r="F819" t="s">
        <v>16</v>
      </c>
      <c r="H819">
        <v>-0.21</v>
      </c>
      <c r="I819">
        <v>-4.6</v>
      </c>
      <c r="J819">
        <v>-2.31</v>
      </c>
      <c r="L819">
        <v>-0.31</v>
      </c>
      <c r="M819">
        <v>90.19</v>
      </c>
      <c r="N819">
        <v>0</v>
      </c>
      <c r="O819">
        <v>1.52</v>
      </c>
    </row>
    <row r="820" spans="1:15">
      <c r="A820" t="str">
        <f>"002305"</f>
        <v>002305</v>
      </c>
      <c r="B820" t="s">
        <v>854</v>
      </c>
      <c r="C820">
        <v>-2.3</v>
      </c>
      <c r="D820">
        <v>2.12</v>
      </c>
      <c r="E820" t="s">
        <v>16</v>
      </c>
      <c r="F820" t="s">
        <v>16</v>
      </c>
      <c r="H820">
        <v>-0.46</v>
      </c>
      <c r="I820">
        <v>-6.19</v>
      </c>
      <c r="J820">
        <v>-3.2</v>
      </c>
      <c r="L820">
        <v>-0.92</v>
      </c>
      <c r="M820">
        <v>175.18</v>
      </c>
      <c r="N820">
        <v>0.08</v>
      </c>
      <c r="O820">
        <v>7.23</v>
      </c>
    </row>
    <row r="821" spans="1:15">
      <c r="A821" t="str">
        <f>"002306"</f>
        <v>002306</v>
      </c>
      <c r="B821" t="s">
        <v>855</v>
      </c>
      <c r="C821">
        <v>-2.39</v>
      </c>
      <c r="D821">
        <v>2.04</v>
      </c>
      <c r="E821" t="s">
        <v>16</v>
      </c>
      <c r="F821" t="s">
        <v>16</v>
      </c>
      <c r="H821">
        <v>0</v>
      </c>
      <c r="I821">
        <v>-6.85</v>
      </c>
      <c r="J821">
        <v>-2.86</v>
      </c>
      <c r="L821">
        <v>0.48</v>
      </c>
      <c r="M821">
        <v>29.19</v>
      </c>
      <c r="N821">
        <v>0.02</v>
      </c>
      <c r="O821">
        <v>0.25</v>
      </c>
    </row>
    <row r="822" spans="1:15">
      <c r="A822" t="str">
        <f>"002307"</f>
        <v>002307</v>
      </c>
      <c r="B822" t="s">
        <v>856</v>
      </c>
      <c r="C822">
        <v>-3.18</v>
      </c>
      <c r="D822">
        <v>3.65</v>
      </c>
      <c r="E822" t="s">
        <v>16</v>
      </c>
      <c r="F822" t="s">
        <v>16</v>
      </c>
      <c r="H822">
        <v>0</v>
      </c>
      <c r="I822">
        <v>-3.95</v>
      </c>
      <c r="J822">
        <v>-2.14</v>
      </c>
      <c r="L822">
        <v>-1.33</v>
      </c>
      <c r="M822">
        <v>21.17</v>
      </c>
      <c r="N822">
        <v>0.01</v>
      </c>
      <c r="O822">
        <v>0.43</v>
      </c>
    </row>
    <row r="823" spans="1:15">
      <c r="A823" t="str">
        <f>"002309"</f>
        <v>002309</v>
      </c>
      <c r="B823" t="s">
        <v>857</v>
      </c>
      <c r="C823">
        <v>-4.08</v>
      </c>
      <c r="D823">
        <v>3.06</v>
      </c>
      <c r="E823" t="s">
        <v>16</v>
      </c>
      <c r="F823" t="s">
        <v>16</v>
      </c>
      <c r="H823">
        <v>-0.32</v>
      </c>
      <c r="I823">
        <v>-11.82</v>
      </c>
      <c r="J823">
        <v>-3.77</v>
      </c>
      <c r="L823">
        <v>-0.63</v>
      </c>
      <c r="M823">
        <v>164.21</v>
      </c>
      <c r="N823">
        <v>0.02</v>
      </c>
      <c r="O823">
        <v>0.61</v>
      </c>
    </row>
    <row r="824" spans="1:15">
      <c r="A824" t="str">
        <f>"002310"</f>
        <v>002310</v>
      </c>
      <c r="B824" t="s">
        <v>858</v>
      </c>
      <c r="C824">
        <v>-3.72</v>
      </c>
      <c r="D824">
        <v>2.33</v>
      </c>
      <c r="E824" t="s">
        <v>16</v>
      </c>
      <c r="F824" t="s">
        <v>16</v>
      </c>
      <c r="H824">
        <v>-0.42</v>
      </c>
      <c r="I824">
        <v>-13.7</v>
      </c>
      <c r="J824">
        <v>-3.32</v>
      </c>
      <c r="L824">
        <v>-0.83</v>
      </c>
      <c r="M824">
        <v>103.37</v>
      </c>
      <c r="N824">
        <v>0.01</v>
      </c>
      <c r="O824">
        <v>1.49</v>
      </c>
    </row>
    <row r="825" spans="1:15">
      <c r="A825" t="str">
        <f>"002311"</f>
        <v>002311</v>
      </c>
      <c r="B825" t="s">
        <v>859</v>
      </c>
      <c r="C825">
        <v>-0.91</v>
      </c>
      <c r="D825">
        <v>41.2</v>
      </c>
      <c r="E825" t="s">
        <v>16</v>
      </c>
      <c r="F825" t="s">
        <v>16</v>
      </c>
      <c r="H825">
        <v>-0.64</v>
      </c>
      <c r="I825">
        <v>-5.22</v>
      </c>
      <c r="J825">
        <v>-1.6</v>
      </c>
      <c r="L825">
        <v>0</v>
      </c>
      <c r="M825">
        <v>30.35</v>
      </c>
      <c r="N825">
        <v>0</v>
      </c>
      <c r="O825">
        <v>0.13</v>
      </c>
    </row>
    <row r="826" spans="1:15">
      <c r="A826" t="str">
        <f>"002312"</f>
        <v>002312</v>
      </c>
      <c r="B826" t="s">
        <v>860</v>
      </c>
      <c r="C826">
        <v>-1.86</v>
      </c>
      <c r="D826">
        <v>8.42</v>
      </c>
      <c r="E826" t="s">
        <v>16</v>
      </c>
      <c r="F826" t="s">
        <v>16</v>
      </c>
      <c r="H826">
        <v>0.12</v>
      </c>
      <c r="I826">
        <v>-1.75</v>
      </c>
      <c r="J826">
        <v>-2.32</v>
      </c>
      <c r="L826">
        <v>-0.23</v>
      </c>
      <c r="M826">
        <v>82.43</v>
      </c>
      <c r="N826">
        <v>0.01</v>
      </c>
      <c r="O826">
        <v>0.97</v>
      </c>
    </row>
    <row r="827" spans="1:15">
      <c r="A827" t="str">
        <f>"002313"</f>
        <v>002313</v>
      </c>
      <c r="B827" t="s">
        <v>861</v>
      </c>
      <c r="C827">
        <v>-2.68</v>
      </c>
      <c r="D827">
        <v>8</v>
      </c>
      <c r="E827" t="s">
        <v>16</v>
      </c>
      <c r="F827" t="s">
        <v>16</v>
      </c>
      <c r="H827">
        <v>0</v>
      </c>
      <c r="I827">
        <v>-8.99</v>
      </c>
      <c r="J827">
        <v>-2.68</v>
      </c>
      <c r="L827">
        <v>0</v>
      </c>
      <c r="M827">
        <v>18</v>
      </c>
      <c r="N827">
        <v>0.01</v>
      </c>
      <c r="O827">
        <v>0.69</v>
      </c>
    </row>
    <row r="828" spans="1:15">
      <c r="A828" t="str">
        <f>"002314"</f>
        <v>002314</v>
      </c>
      <c r="B828" t="s">
        <v>862</v>
      </c>
      <c r="C828">
        <v>-3.27</v>
      </c>
      <c r="D828">
        <v>2.07</v>
      </c>
      <c r="E828" t="s">
        <v>16</v>
      </c>
      <c r="F828" t="s">
        <v>16</v>
      </c>
      <c r="H828">
        <v>-0.47</v>
      </c>
      <c r="I828">
        <v>-17.53</v>
      </c>
      <c r="J828">
        <v>-3.27</v>
      </c>
      <c r="L828">
        <v>-0.47</v>
      </c>
      <c r="M828">
        <v>35.42</v>
      </c>
      <c r="N828">
        <v>0.02</v>
      </c>
      <c r="O828">
        <v>2.37</v>
      </c>
    </row>
    <row r="829" spans="1:15">
      <c r="A829" t="str">
        <f>"002315"</f>
        <v>002315</v>
      </c>
      <c r="B829" t="s">
        <v>863</v>
      </c>
      <c r="C829">
        <v>1.43</v>
      </c>
      <c r="D829">
        <v>24.8</v>
      </c>
      <c r="E829" t="s">
        <v>16</v>
      </c>
      <c r="F829" t="s">
        <v>16</v>
      </c>
      <c r="H829">
        <v>0.04</v>
      </c>
      <c r="I829">
        <v>-6.84</v>
      </c>
      <c r="J829">
        <v>-1.31</v>
      </c>
      <c r="L829">
        <v>0</v>
      </c>
      <c r="M829">
        <v>22.01</v>
      </c>
      <c r="N829">
        <v>0</v>
      </c>
      <c r="O829">
        <v>2.9</v>
      </c>
    </row>
    <row r="830" spans="1:15">
      <c r="A830" t="str">
        <f>"002316"</f>
        <v>002316</v>
      </c>
      <c r="B830" t="s">
        <v>864</v>
      </c>
      <c r="C830">
        <v>2.8</v>
      </c>
      <c r="D830">
        <v>4.4</v>
      </c>
      <c r="E830" t="s">
        <v>16</v>
      </c>
      <c r="F830" t="s">
        <v>16</v>
      </c>
      <c r="H830">
        <v>-0.22</v>
      </c>
      <c r="I830">
        <v>-8.52</v>
      </c>
      <c r="J830">
        <v>-0.68</v>
      </c>
      <c r="L830">
        <v>-1.4</v>
      </c>
      <c r="M830">
        <v>177.96</v>
      </c>
      <c r="N830">
        <v>0.13</v>
      </c>
      <c r="O830">
        <v>7.54</v>
      </c>
    </row>
    <row r="831" spans="1:15">
      <c r="A831" t="str">
        <f>"002317"</f>
        <v>002317</v>
      </c>
      <c r="B831" t="s">
        <v>865</v>
      </c>
      <c r="C831">
        <v>9.99</v>
      </c>
      <c r="D831">
        <v>22.9</v>
      </c>
      <c r="E831">
        <v>2456.03</v>
      </c>
      <c r="F831">
        <v>1</v>
      </c>
      <c r="H831">
        <v>0</v>
      </c>
      <c r="I831">
        <v>3.15</v>
      </c>
      <c r="J831">
        <v>0</v>
      </c>
      <c r="K831" t="s">
        <v>140</v>
      </c>
      <c r="L831">
        <v>0.38</v>
      </c>
      <c r="M831">
        <v>210.88</v>
      </c>
      <c r="N831">
        <v>0.02</v>
      </c>
      <c r="O831">
        <v>1.79</v>
      </c>
    </row>
    <row r="832" spans="1:15">
      <c r="A832" t="str">
        <f>"002318"</f>
        <v>002318</v>
      </c>
      <c r="B832" t="s">
        <v>866</v>
      </c>
      <c r="C832">
        <v>4.58</v>
      </c>
      <c r="D832">
        <v>25.12</v>
      </c>
      <c r="E832" t="s">
        <v>16</v>
      </c>
      <c r="F832" t="s">
        <v>16</v>
      </c>
      <c r="H832">
        <v>0.16</v>
      </c>
      <c r="I832">
        <v>10.95</v>
      </c>
      <c r="J832">
        <v>-0.16</v>
      </c>
      <c r="L832">
        <v>-0.12</v>
      </c>
      <c r="M832">
        <v>79.89</v>
      </c>
      <c r="N832">
        <v>0.01</v>
      </c>
      <c r="O832">
        <v>1.33</v>
      </c>
    </row>
    <row r="833" spans="1:15">
      <c r="A833" t="str">
        <f>"002319"</f>
        <v>002319</v>
      </c>
      <c r="B833" t="s">
        <v>867</v>
      </c>
      <c r="C833">
        <v>-2.3</v>
      </c>
      <c r="D833">
        <v>11.03</v>
      </c>
      <c r="E833" t="s">
        <v>16</v>
      </c>
      <c r="F833" t="s">
        <v>16</v>
      </c>
      <c r="H833">
        <v>-0.26</v>
      </c>
      <c r="I833">
        <v>-6.13</v>
      </c>
      <c r="J833">
        <v>-3.67</v>
      </c>
      <c r="L833">
        <v>0.09</v>
      </c>
      <c r="M833">
        <v>46.1</v>
      </c>
      <c r="N833">
        <v>0.03</v>
      </c>
      <c r="O833">
        <v>0.32</v>
      </c>
    </row>
    <row r="834" spans="1:15">
      <c r="A834" t="str">
        <f>"002320"</f>
        <v>002320</v>
      </c>
      <c r="B834" t="s">
        <v>868</v>
      </c>
      <c r="C834">
        <v>-1.31</v>
      </c>
      <c r="D834">
        <v>6.77</v>
      </c>
      <c r="E834" t="s">
        <v>16</v>
      </c>
      <c r="F834" t="s">
        <v>16</v>
      </c>
      <c r="H834">
        <v>-0.28</v>
      </c>
      <c r="I834">
        <v>-6.23</v>
      </c>
      <c r="J834">
        <v>-2.31</v>
      </c>
      <c r="L834">
        <v>-0.58</v>
      </c>
      <c r="M834">
        <v>20.66</v>
      </c>
      <c r="N834">
        <v>0</v>
      </c>
      <c r="O834">
        <v>0.35</v>
      </c>
    </row>
    <row r="835" spans="1:15">
      <c r="A835" t="str">
        <f>"002321"</f>
        <v>002321</v>
      </c>
      <c r="B835" t="s">
        <v>869</v>
      </c>
      <c r="C835">
        <v>-0.57</v>
      </c>
      <c r="D835">
        <v>1.75</v>
      </c>
      <c r="E835" t="s">
        <v>16</v>
      </c>
      <c r="F835" t="s">
        <v>16</v>
      </c>
      <c r="H835">
        <v>0</v>
      </c>
      <c r="I835">
        <v>-6.42</v>
      </c>
      <c r="J835">
        <v>-0.57</v>
      </c>
      <c r="L835">
        <v>-0.57</v>
      </c>
      <c r="M835">
        <v>10.41</v>
      </c>
      <c r="N835">
        <v>0</v>
      </c>
      <c r="O835">
        <v>1.09</v>
      </c>
    </row>
    <row r="836" spans="1:15">
      <c r="A836" t="str">
        <f>"002322"</f>
        <v>002322</v>
      </c>
      <c r="B836" t="s">
        <v>870</v>
      </c>
      <c r="C836">
        <v>-0.48</v>
      </c>
      <c r="D836">
        <v>10.26</v>
      </c>
      <c r="E836" t="s">
        <v>16</v>
      </c>
      <c r="F836" t="s">
        <v>16</v>
      </c>
      <c r="H836">
        <v>0</v>
      </c>
      <c r="I836">
        <v>-7.9</v>
      </c>
      <c r="J836">
        <v>-1.35</v>
      </c>
      <c r="L836">
        <v>0.87</v>
      </c>
      <c r="M836">
        <v>3.33</v>
      </c>
      <c r="N836">
        <v>0</v>
      </c>
      <c r="O836">
        <v>0.84</v>
      </c>
    </row>
    <row r="837" spans="1:15">
      <c r="A837" t="str">
        <f>"002323"</f>
        <v>002323</v>
      </c>
      <c r="B837" t="s">
        <v>871</v>
      </c>
      <c r="C837">
        <v>-5.11</v>
      </c>
      <c r="D837">
        <v>1.3</v>
      </c>
      <c r="E837">
        <v>405.94</v>
      </c>
      <c r="F837" t="s">
        <v>16</v>
      </c>
      <c r="H837">
        <v>0</v>
      </c>
      <c r="I837">
        <v>-13.91</v>
      </c>
      <c r="J837">
        <v>-5.11</v>
      </c>
      <c r="L837">
        <v>0</v>
      </c>
      <c r="M837">
        <v>173.04</v>
      </c>
      <c r="N837">
        <v>0.08</v>
      </c>
      <c r="O837">
        <v>0.82</v>
      </c>
    </row>
    <row r="838" spans="1:15">
      <c r="A838" t="str">
        <f>"002324"</f>
        <v>002324</v>
      </c>
      <c r="B838" t="s">
        <v>872</v>
      </c>
      <c r="C838">
        <v>-0.61</v>
      </c>
      <c r="D838">
        <v>13.1</v>
      </c>
      <c r="E838" t="s">
        <v>16</v>
      </c>
      <c r="F838" t="s">
        <v>16</v>
      </c>
      <c r="H838">
        <v>0</v>
      </c>
      <c r="I838">
        <v>11.02</v>
      </c>
      <c r="J838">
        <v>-2.6</v>
      </c>
      <c r="L838">
        <v>-0.08</v>
      </c>
      <c r="M838">
        <v>43.2</v>
      </c>
      <c r="N838">
        <v>0.01</v>
      </c>
      <c r="O838">
        <v>0.29</v>
      </c>
    </row>
    <row r="839" spans="1:15">
      <c r="A839" t="str">
        <f>"002326"</f>
        <v>002326</v>
      </c>
      <c r="B839" t="s">
        <v>873</v>
      </c>
      <c r="C839">
        <v>3.66</v>
      </c>
      <c r="D839">
        <v>23.21</v>
      </c>
      <c r="E839" t="s">
        <v>16</v>
      </c>
      <c r="F839" t="s">
        <v>16</v>
      </c>
      <c r="H839">
        <v>0.04</v>
      </c>
      <c r="I839">
        <v>5.74</v>
      </c>
      <c r="J839">
        <v>-2.19</v>
      </c>
      <c r="L839">
        <v>0.94</v>
      </c>
      <c r="M839">
        <v>476.63</v>
      </c>
      <c r="N839">
        <v>0.03</v>
      </c>
      <c r="O839">
        <v>1.81</v>
      </c>
    </row>
    <row r="840" spans="1:15">
      <c r="A840" t="str">
        <f>"002327"</f>
        <v>002327</v>
      </c>
      <c r="B840" t="s">
        <v>874</v>
      </c>
      <c r="C840">
        <v>-1.55</v>
      </c>
      <c r="D840">
        <v>6.35</v>
      </c>
      <c r="E840" t="s">
        <v>16</v>
      </c>
      <c r="F840" t="s">
        <v>16</v>
      </c>
      <c r="H840">
        <v>0</v>
      </c>
      <c r="I840">
        <v>-3.64</v>
      </c>
      <c r="J840">
        <v>-1.55</v>
      </c>
      <c r="L840">
        <v>0</v>
      </c>
      <c r="M840">
        <v>6.19</v>
      </c>
      <c r="N840">
        <v>0</v>
      </c>
      <c r="O840">
        <v>0.12</v>
      </c>
    </row>
    <row r="841" spans="1:15">
      <c r="A841" t="str">
        <f>"002328"</f>
        <v>002328</v>
      </c>
      <c r="B841" t="s">
        <v>875</v>
      </c>
      <c r="C841">
        <v>-1.49</v>
      </c>
      <c r="D841">
        <v>7.93</v>
      </c>
      <c r="E841" t="s">
        <v>16</v>
      </c>
      <c r="F841" t="s">
        <v>16</v>
      </c>
      <c r="H841">
        <v>-0.12</v>
      </c>
      <c r="I841">
        <v>-12.08</v>
      </c>
      <c r="J841">
        <v>-1.73</v>
      </c>
      <c r="L841">
        <v>-0.62</v>
      </c>
      <c r="M841">
        <v>82.88</v>
      </c>
      <c r="N841">
        <v>0.02</v>
      </c>
      <c r="O841">
        <v>1.4</v>
      </c>
    </row>
    <row r="842" spans="1:15">
      <c r="A842" t="str">
        <f>"002329"</f>
        <v>002329</v>
      </c>
      <c r="B842" t="s">
        <v>876</v>
      </c>
      <c r="C842">
        <v>-2.7</v>
      </c>
      <c r="D842">
        <v>2.88</v>
      </c>
      <c r="E842" t="s">
        <v>16</v>
      </c>
      <c r="F842" t="s">
        <v>16</v>
      </c>
      <c r="H842">
        <v>0.35</v>
      </c>
      <c r="I842">
        <v>-27.09</v>
      </c>
      <c r="J842">
        <v>-3.36</v>
      </c>
      <c r="L842">
        <v>-0.68</v>
      </c>
      <c r="M842">
        <v>38.9</v>
      </c>
      <c r="N842">
        <v>0.02</v>
      </c>
      <c r="O842">
        <v>0.69</v>
      </c>
    </row>
    <row r="843" spans="1:15">
      <c r="A843" t="str">
        <f>"002330"</f>
        <v>002330</v>
      </c>
      <c r="B843" t="s">
        <v>877</v>
      </c>
      <c r="C843">
        <v>-0.81</v>
      </c>
      <c r="D843">
        <v>3.68</v>
      </c>
      <c r="E843" t="s">
        <v>16</v>
      </c>
      <c r="F843" t="s">
        <v>16</v>
      </c>
      <c r="H843">
        <v>0</v>
      </c>
      <c r="I843">
        <v>-5.4</v>
      </c>
      <c r="J843">
        <v>-1.34</v>
      </c>
      <c r="L843">
        <v>-0.81</v>
      </c>
      <c r="M843">
        <v>5.89</v>
      </c>
      <c r="N843">
        <v>0</v>
      </c>
      <c r="O843">
        <v>1.19</v>
      </c>
    </row>
    <row r="844" spans="1:15">
      <c r="A844" t="str">
        <f>"002331"</f>
        <v>002331</v>
      </c>
      <c r="B844" t="s">
        <v>878</v>
      </c>
      <c r="C844">
        <v>1.38</v>
      </c>
      <c r="D844">
        <v>8.09</v>
      </c>
      <c r="E844" t="s">
        <v>16</v>
      </c>
      <c r="F844" t="s">
        <v>16</v>
      </c>
      <c r="H844">
        <v>-0.24</v>
      </c>
      <c r="I844">
        <v>-7.01</v>
      </c>
      <c r="J844">
        <v>-1.82</v>
      </c>
      <c r="L844">
        <v>-0.75</v>
      </c>
      <c r="M844">
        <v>10.22</v>
      </c>
      <c r="N844">
        <v>0</v>
      </c>
      <c r="O844">
        <v>1.11</v>
      </c>
    </row>
    <row r="845" spans="1:15">
      <c r="A845" t="str">
        <f>"002332"</f>
        <v>002332</v>
      </c>
      <c r="B845" t="s">
        <v>879</v>
      </c>
      <c r="C845">
        <v>-0.36</v>
      </c>
      <c r="D845">
        <v>8.28</v>
      </c>
      <c r="E845" t="s">
        <v>16</v>
      </c>
      <c r="F845" t="s">
        <v>16</v>
      </c>
      <c r="H845">
        <v>0</v>
      </c>
      <c r="I845">
        <v>0.12</v>
      </c>
      <c r="J845">
        <v>-0.96</v>
      </c>
      <c r="L845">
        <v>0</v>
      </c>
      <c r="M845">
        <v>6.56</v>
      </c>
      <c r="N845">
        <v>0</v>
      </c>
      <c r="O845">
        <v>0.23</v>
      </c>
    </row>
    <row r="846" spans="1:15">
      <c r="A846" t="str">
        <f>"002333"</f>
        <v>002333</v>
      </c>
      <c r="B846" t="s">
        <v>880</v>
      </c>
      <c r="C846">
        <v>0.2</v>
      </c>
      <c r="D846">
        <v>4.89</v>
      </c>
      <c r="E846" t="s">
        <v>16</v>
      </c>
      <c r="F846" t="s">
        <v>16</v>
      </c>
      <c r="H846">
        <v>0</v>
      </c>
      <c r="I846">
        <v>-0.61</v>
      </c>
      <c r="J846">
        <v>-0.41</v>
      </c>
      <c r="L846">
        <v>-0.41</v>
      </c>
      <c r="M846">
        <v>2.87</v>
      </c>
      <c r="N846">
        <v>0</v>
      </c>
      <c r="O846">
        <v>0.92</v>
      </c>
    </row>
    <row r="847" spans="1:15">
      <c r="A847" t="str">
        <f>"002334"</f>
        <v>002334</v>
      </c>
      <c r="B847" t="s">
        <v>881</v>
      </c>
      <c r="C847">
        <v>-0.94</v>
      </c>
      <c r="D847">
        <v>8.41</v>
      </c>
      <c r="E847" t="s">
        <v>16</v>
      </c>
      <c r="F847" t="s">
        <v>16</v>
      </c>
      <c r="H847">
        <v>0</v>
      </c>
      <c r="I847">
        <v>-11.19</v>
      </c>
      <c r="J847">
        <v>-2.66</v>
      </c>
      <c r="L847">
        <v>-0.35</v>
      </c>
      <c r="M847">
        <v>150</v>
      </c>
      <c r="N847">
        <v>0.02</v>
      </c>
      <c r="O847">
        <v>1.63</v>
      </c>
    </row>
    <row r="848" spans="1:15">
      <c r="A848" t="str">
        <f>"002335"</f>
        <v>002335</v>
      </c>
      <c r="B848" t="s">
        <v>882</v>
      </c>
      <c r="C848">
        <v>1.16</v>
      </c>
      <c r="D848">
        <v>39.38</v>
      </c>
      <c r="E848" t="s">
        <v>16</v>
      </c>
      <c r="F848" t="s">
        <v>16</v>
      </c>
      <c r="H848">
        <v>0.03</v>
      </c>
      <c r="I848">
        <v>-1.33</v>
      </c>
      <c r="J848">
        <v>-1.2</v>
      </c>
      <c r="K848" t="s">
        <v>57</v>
      </c>
      <c r="L848">
        <v>0.41</v>
      </c>
      <c r="M848">
        <v>338.13</v>
      </c>
      <c r="N848">
        <v>0.02</v>
      </c>
      <c r="O848">
        <v>0.74</v>
      </c>
    </row>
    <row r="849" spans="1:15">
      <c r="A849" t="str">
        <f>"002337"</f>
        <v>002337</v>
      </c>
      <c r="B849" t="s">
        <v>883</v>
      </c>
      <c r="C849">
        <v>0.21</v>
      </c>
      <c r="D849">
        <v>4.83</v>
      </c>
      <c r="E849" t="s">
        <v>16</v>
      </c>
      <c r="F849" t="s">
        <v>16</v>
      </c>
      <c r="H849">
        <v>0</v>
      </c>
      <c r="I849">
        <v>-6.03</v>
      </c>
      <c r="J849">
        <v>-0.82</v>
      </c>
      <c r="L849">
        <v>0.21</v>
      </c>
      <c r="M849">
        <v>20.38</v>
      </c>
      <c r="N849">
        <v>0.01</v>
      </c>
      <c r="O849">
        <v>5.02</v>
      </c>
    </row>
    <row r="850" spans="1:15">
      <c r="A850" t="str">
        <f>"002338"</f>
        <v>002338</v>
      </c>
      <c r="B850" t="s">
        <v>884</v>
      </c>
      <c r="C850">
        <v>-1.17</v>
      </c>
      <c r="D850">
        <v>54</v>
      </c>
      <c r="E850" t="s">
        <v>16</v>
      </c>
      <c r="F850" t="s">
        <v>16</v>
      </c>
      <c r="H850">
        <v>-0.17</v>
      </c>
      <c r="I850">
        <v>2.02</v>
      </c>
      <c r="J850">
        <v>-1.26</v>
      </c>
      <c r="L850">
        <v>-0.35</v>
      </c>
      <c r="M850">
        <v>112.71</v>
      </c>
      <c r="N850">
        <v>0.01</v>
      </c>
      <c r="O850">
        <v>0.42</v>
      </c>
    </row>
    <row r="851" spans="1:15">
      <c r="A851" t="str">
        <f>"002339"</f>
        <v>002339</v>
      </c>
      <c r="B851" t="s">
        <v>885</v>
      </c>
      <c r="C851">
        <v>-2.36</v>
      </c>
      <c r="D851">
        <v>7.45</v>
      </c>
      <c r="E851" t="s">
        <v>16</v>
      </c>
      <c r="F851" t="s">
        <v>16</v>
      </c>
      <c r="H851">
        <v>-0.26</v>
      </c>
      <c r="I851">
        <v>-10.35</v>
      </c>
      <c r="J851">
        <v>-2.36</v>
      </c>
      <c r="L851">
        <v>-0.52</v>
      </c>
      <c r="M851">
        <v>37.87</v>
      </c>
      <c r="N851">
        <v>0.01</v>
      </c>
      <c r="O851">
        <v>1.35</v>
      </c>
    </row>
    <row r="852" spans="1:15">
      <c r="A852" t="str">
        <f>"002340"</f>
        <v>002340</v>
      </c>
      <c r="B852" t="s">
        <v>886</v>
      </c>
      <c r="C852">
        <v>0</v>
      </c>
      <c r="D852">
        <v>7.42</v>
      </c>
      <c r="E852" t="s">
        <v>16</v>
      </c>
      <c r="F852" t="s">
        <v>16</v>
      </c>
      <c r="H852">
        <v>-0.26</v>
      </c>
      <c r="I852">
        <v>0.41</v>
      </c>
      <c r="J852">
        <v>-1.72</v>
      </c>
      <c r="L852">
        <v>-0.27</v>
      </c>
      <c r="M852">
        <v>384.5</v>
      </c>
      <c r="N852">
        <v>0.01</v>
      </c>
      <c r="O852">
        <v>1.35</v>
      </c>
    </row>
    <row r="853" spans="1:15">
      <c r="A853" t="str">
        <f>"002342"</f>
        <v>002342</v>
      </c>
      <c r="B853" t="s">
        <v>887</v>
      </c>
      <c r="C853">
        <v>-2.83</v>
      </c>
      <c r="D853">
        <v>9.97</v>
      </c>
      <c r="E853" t="s">
        <v>16</v>
      </c>
      <c r="F853" t="s">
        <v>16</v>
      </c>
      <c r="H853">
        <v>-0.19</v>
      </c>
      <c r="I853">
        <v>-9.77</v>
      </c>
      <c r="J853">
        <v>-3.39</v>
      </c>
      <c r="L853">
        <v>0.58</v>
      </c>
      <c r="M853">
        <v>564.4</v>
      </c>
      <c r="N853">
        <v>0.08</v>
      </c>
      <c r="O853">
        <v>0.98</v>
      </c>
    </row>
    <row r="854" spans="1:15">
      <c r="A854" t="str">
        <f>"002343"</f>
        <v>002343</v>
      </c>
      <c r="B854" t="s">
        <v>888</v>
      </c>
      <c r="C854">
        <v>0.42</v>
      </c>
      <c r="D854">
        <v>4.74</v>
      </c>
      <c r="E854" t="s">
        <v>16</v>
      </c>
      <c r="F854" t="s">
        <v>16</v>
      </c>
      <c r="H854">
        <v>0.21</v>
      </c>
      <c r="I854">
        <v>-3.85</v>
      </c>
      <c r="J854">
        <v>-1.46</v>
      </c>
      <c r="L854">
        <v>-0.64</v>
      </c>
      <c r="M854">
        <v>12.99</v>
      </c>
      <c r="N854">
        <v>0.01</v>
      </c>
      <c r="O854">
        <v>0.79</v>
      </c>
    </row>
    <row r="855" spans="1:15">
      <c r="A855" t="str">
        <f>"002344"</f>
        <v>002344</v>
      </c>
      <c r="B855" t="s">
        <v>889</v>
      </c>
      <c r="C855">
        <v>0</v>
      </c>
      <c r="D855">
        <v>3.71</v>
      </c>
      <c r="E855" t="s">
        <v>16</v>
      </c>
      <c r="F855" t="s">
        <v>16</v>
      </c>
      <c r="H855">
        <v>-0.26</v>
      </c>
      <c r="I855">
        <v>-4.63</v>
      </c>
      <c r="J855">
        <v>-1.33</v>
      </c>
      <c r="L855">
        <v>-0.54</v>
      </c>
      <c r="M855">
        <v>29.93</v>
      </c>
      <c r="N855">
        <v>0.01</v>
      </c>
      <c r="O855">
        <v>1.04</v>
      </c>
    </row>
    <row r="856" spans="1:15">
      <c r="A856" t="str">
        <f>"002345"</f>
        <v>002345</v>
      </c>
      <c r="B856" t="s">
        <v>890</v>
      </c>
      <c r="C856">
        <v>-2.03</v>
      </c>
      <c r="D856">
        <v>9.63</v>
      </c>
      <c r="E856" t="s">
        <v>16</v>
      </c>
      <c r="F856" t="s">
        <v>16</v>
      </c>
      <c r="H856">
        <v>0.1</v>
      </c>
      <c r="I856">
        <v>6.41</v>
      </c>
      <c r="J856">
        <v>-1.73</v>
      </c>
      <c r="L856">
        <v>-0.51</v>
      </c>
      <c r="M856">
        <v>50.07</v>
      </c>
      <c r="N856">
        <v>0.01</v>
      </c>
      <c r="O856">
        <v>0.54</v>
      </c>
    </row>
    <row r="857" spans="1:15">
      <c r="A857" t="str">
        <f>"002346"</f>
        <v>002346</v>
      </c>
      <c r="B857" t="s">
        <v>891</v>
      </c>
      <c r="C857">
        <v>0.55</v>
      </c>
      <c r="D857">
        <v>18.43</v>
      </c>
      <c r="E857" t="s">
        <v>16</v>
      </c>
      <c r="F857" t="s">
        <v>16</v>
      </c>
      <c r="H857">
        <v>-0.04</v>
      </c>
      <c r="I857">
        <v>1.77</v>
      </c>
      <c r="J857">
        <v>-3</v>
      </c>
      <c r="K857" t="s">
        <v>26</v>
      </c>
      <c r="L857">
        <v>2.29</v>
      </c>
      <c r="M857">
        <v>216.19</v>
      </c>
      <c r="N857">
        <v>0.06</v>
      </c>
      <c r="O857">
        <v>0.96</v>
      </c>
    </row>
    <row r="858" spans="1:15">
      <c r="A858" t="str">
        <f>"002347"</f>
        <v>002347</v>
      </c>
      <c r="B858" t="s">
        <v>892</v>
      </c>
      <c r="C858">
        <v>-0.47</v>
      </c>
      <c r="D858">
        <v>6.37</v>
      </c>
      <c r="E858" t="s">
        <v>16</v>
      </c>
      <c r="F858" t="s">
        <v>16</v>
      </c>
      <c r="H858">
        <v>0</v>
      </c>
      <c r="I858">
        <v>-6.19</v>
      </c>
      <c r="J858">
        <v>-1.24</v>
      </c>
      <c r="L858">
        <v>-0.78</v>
      </c>
      <c r="M858">
        <v>13.72</v>
      </c>
      <c r="N858">
        <v>0.01</v>
      </c>
      <c r="O858">
        <v>1.1</v>
      </c>
    </row>
    <row r="859" spans="1:15">
      <c r="A859" t="str">
        <f>"002348"</f>
        <v>002348</v>
      </c>
      <c r="B859" t="s">
        <v>893</v>
      </c>
      <c r="C859">
        <v>-9.78</v>
      </c>
      <c r="D859">
        <v>11.35</v>
      </c>
      <c r="E859" t="s">
        <v>16</v>
      </c>
      <c r="F859" t="s">
        <v>16</v>
      </c>
      <c r="H859">
        <v>-0.43</v>
      </c>
      <c r="I859">
        <v>-22.42</v>
      </c>
      <c r="J859">
        <v>-6.58</v>
      </c>
      <c r="L859">
        <v>-4.53</v>
      </c>
      <c r="M859">
        <v>2199.51</v>
      </c>
      <c r="N859">
        <v>0.28</v>
      </c>
      <c r="O859">
        <v>0.56</v>
      </c>
    </row>
    <row r="860" spans="1:15">
      <c r="A860" t="str">
        <f>"002349"</f>
        <v>002349</v>
      </c>
      <c r="B860" t="s">
        <v>894</v>
      </c>
      <c r="C860">
        <v>-0.63</v>
      </c>
      <c r="D860">
        <v>6.31</v>
      </c>
      <c r="E860" t="s">
        <v>16</v>
      </c>
      <c r="F860" t="s">
        <v>16</v>
      </c>
      <c r="H860">
        <v>-0.15</v>
      </c>
      <c r="I860">
        <v>-5.68</v>
      </c>
      <c r="J860">
        <v>-2.17</v>
      </c>
      <c r="L860">
        <v>-0.31</v>
      </c>
      <c r="M860">
        <v>2.85</v>
      </c>
      <c r="N860">
        <v>0</v>
      </c>
      <c r="O860">
        <v>0.29</v>
      </c>
    </row>
    <row r="861" spans="1:15">
      <c r="A861" t="str">
        <f>"002350"</f>
        <v>002350</v>
      </c>
      <c r="B861" t="s">
        <v>895</v>
      </c>
      <c r="C861">
        <v>-2.3</v>
      </c>
      <c r="D861">
        <v>14.88</v>
      </c>
      <c r="E861" t="s">
        <v>16</v>
      </c>
      <c r="F861" t="s">
        <v>16</v>
      </c>
      <c r="H861">
        <v>-0.06</v>
      </c>
      <c r="I861">
        <v>2.55</v>
      </c>
      <c r="J861">
        <v>-3.69</v>
      </c>
      <c r="L861">
        <v>-0.59</v>
      </c>
      <c r="M861">
        <v>125.21</v>
      </c>
      <c r="N861">
        <v>0.03</v>
      </c>
      <c r="O861">
        <v>0.26</v>
      </c>
    </row>
    <row r="862" spans="1:15">
      <c r="A862" t="str">
        <f>"002351"</f>
        <v>002351</v>
      </c>
      <c r="B862" t="s">
        <v>896</v>
      </c>
      <c r="C862">
        <v>-0.4</v>
      </c>
      <c r="D862">
        <v>10</v>
      </c>
      <c r="E862" t="s">
        <v>16</v>
      </c>
      <c r="F862" t="s">
        <v>16</v>
      </c>
      <c r="H862">
        <v>0</v>
      </c>
      <c r="I862">
        <v>-8.76</v>
      </c>
      <c r="J862">
        <v>-0.79</v>
      </c>
      <c r="L862">
        <v>-0.5</v>
      </c>
      <c r="M862">
        <v>33.47</v>
      </c>
      <c r="N862">
        <v>0.01</v>
      </c>
      <c r="O862">
        <v>1.02</v>
      </c>
    </row>
    <row r="863" spans="1:15">
      <c r="A863" t="str">
        <f>"002352"</f>
        <v>002352</v>
      </c>
      <c r="B863" t="s">
        <v>897</v>
      </c>
      <c r="C863">
        <v>-2.02</v>
      </c>
      <c r="D863">
        <v>31.55</v>
      </c>
      <c r="E863" t="s">
        <v>16</v>
      </c>
      <c r="F863" t="s">
        <v>16</v>
      </c>
      <c r="H863">
        <v>-0.21</v>
      </c>
      <c r="I863">
        <v>-7.88</v>
      </c>
      <c r="J863">
        <v>-1.84</v>
      </c>
      <c r="L863">
        <v>-0.19</v>
      </c>
      <c r="M863">
        <v>236.87</v>
      </c>
      <c r="N863">
        <v>0</v>
      </c>
      <c r="O863">
        <v>0.62</v>
      </c>
    </row>
    <row r="864" spans="1:15">
      <c r="A864" t="str">
        <f>"002353"</f>
        <v>002353</v>
      </c>
      <c r="B864" t="s">
        <v>898</v>
      </c>
      <c r="C864">
        <v>4.17</v>
      </c>
      <c r="D864">
        <v>164.22</v>
      </c>
      <c r="E864" t="s">
        <v>16</v>
      </c>
      <c r="F864" t="s">
        <v>16</v>
      </c>
      <c r="H864">
        <v>-0.12</v>
      </c>
      <c r="I864">
        <v>4.84</v>
      </c>
      <c r="J864">
        <v>-4.95</v>
      </c>
      <c r="L864">
        <v>1.8</v>
      </c>
      <c r="M864">
        <v>2858.33</v>
      </c>
      <c r="N864">
        <v>0.03</v>
      </c>
      <c r="O864">
        <v>1.75</v>
      </c>
    </row>
    <row r="865" spans="1:15">
      <c r="A865" t="str">
        <f>"002354"</f>
        <v>002354</v>
      </c>
      <c r="B865" t="s">
        <v>899</v>
      </c>
      <c r="C865">
        <v>9.96</v>
      </c>
      <c r="D865">
        <v>7.73</v>
      </c>
      <c r="E865">
        <v>8774.48</v>
      </c>
      <c r="F865">
        <v>1</v>
      </c>
      <c r="H865">
        <v>0</v>
      </c>
      <c r="I865">
        <v>27.77</v>
      </c>
      <c r="J865">
        <v>0</v>
      </c>
      <c r="K865" t="s">
        <v>140</v>
      </c>
      <c r="L865">
        <v>1.71</v>
      </c>
      <c r="M865">
        <v>6053.62</v>
      </c>
      <c r="N865">
        <v>0.52</v>
      </c>
      <c r="O865">
        <v>2.08</v>
      </c>
    </row>
    <row r="866" spans="1:15">
      <c r="A866" t="str">
        <f>"002355"</f>
        <v>002355</v>
      </c>
      <c r="B866" t="s">
        <v>900</v>
      </c>
      <c r="C866">
        <v>-2.49</v>
      </c>
      <c r="D866">
        <v>4.69</v>
      </c>
      <c r="E866" t="s">
        <v>16</v>
      </c>
      <c r="F866" t="s">
        <v>16</v>
      </c>
      <c r="H866">
        <v>-0.41</v>
      </c>
      <c r="I866">
        <v>-10.67</v>
      </c>
      <c r="J866">
        <v>-2.29</v>
      </c>
      <c r="L866">
        <v>-0.62</v>
      </c>
      <c r="M866">
        <v>47.66</v>
      </c>
      <c r="N866">
        <v>0.02</v>
      </c>
      <c r="O866">
        <v>1.06</v>
      </c>
    </row>
    <row r="867" spans="1:15">
      <c r="A867" t="str">
        <f>"002356"</f>
        <v>002356</v>
      </c>
      <c r="B867" t="s">
        <v>901</v>
      </c>
      <c r="C867">
        <v>-2.88</v>
      </c>
      <c r="D867">
        <v>3.04</v>
      </c>
      <c r="E867" t="s">
        <v>16</v>
      </c>
      <c r="F867" t="s">
        <v>16</v>
      </c>
      <c r="H867">
        <v>-0.32</v>
      </c>
      <c r="I867">
        <v>-5.3</v>
      </c>
      <c r="J867">
        <v>-3.49</v>
      </c>
      <c r="L867">
        <v>0</v>
      </c>
      <c r="M867">
        <v>19.5</v>
      </c>
      <c r="N867">
        <v>0.01</v>
      </c>
      <c r="O867">
        <v>0.23</v>
      </c>
    </row>
    <row r="868" spans="1:15">
      <c r="A868" t="str">
        <f>"002357"</f>
        <v>002357</v>
      </c>
      <c r="B868" t="s">
        <v>902</v>
      </c>
      <c r="C868">
        <v>4.34</v>
      </c>
      <c r="D868">
        <v>10.1</v>
      </c>
      <c r="E868" t="s">
        <v>16</v>
      </c>
      <c r="F868" t="s">
        <v>16</v>
      </c>
      <c r="H868">
        <v>0.2</v>
      </c>
      <c r="I868">
        <v>-4.54</v>
      </c>
      <c r="J868">
        <v>-1.66</v>
      </c>
      <c r="L868">
        <v>-0.41</v>
      </c>
      <c r="M868">
        <v>25.93</v>
      </c>
      <c r="N868">
        <v>0.01</v>
      </c>
      <c r="O868">
        <v>0.69</v>
      </c>
    </row>
    <row r="869" spans="1:15">
      <c r="A869" t="str">
        <f>"002358"</f>
        <v>002358</v>
      </c>
      <c r="B869" t="s">
        <v>903</v>
      </c>
      <c r="C869">
        <v>-3.16</v>
      </c>
      <c r="D869">
        <v>5.83</v>
      </c>
      <c r="E869" t="s">
        <v>16</v>
      </c>
      <c r="F869" t="s">
        <v>16</v>
      </c>
      <c r="H869">
        <v>0.17</v>
      </c>
      <c r="I869">
        <v>-6.42</v>
      </c>
      <c r="J869">
        <v>-2.67</v>
      </c>
      <c r="L869">
        <v>-0.5</v>
      </c>
      <c r="M869">
        <v>24.68</v>
      </c>
      <c r="N869">
        <v>0.01</v>
      </c>
      <c r="O869">
        <v>1.03</v>
      </c>
    </row>
    <row r="870" spans="1:15">
      <c r="A870" t="str">
        <f>"002360"</f>
        <v>002360</v>
      </c>
      <c r="B870" t="s">
        <v>904</v>
      </c>
      <c r="C870">
        <v>0.38</v>
      </c>
      <c r="D870">
        <v>5.33</v>
      </c>
      <c r="E870" t="s">
        <v>16</v>
      </c>
      <c r="F870" t="s">
        <v>16</v>
      </c>
      <c r="H870">
        <v>-0.18</v>
      </c>
      <c r="I870">
        <v>-11.61</v>
      </c>
      <c r="J870">
        <v>-1.48</v>
      </c>
      <c r="L870">
        <v>-0.56</v>
      </c>
      <c r="M870">
        <v>7.76</v>
      </c>
      <c r="N870">
        <v>0</v>
      </c>
      <c r="O870">
        <v>0.94</v>
      </c>
    </row>
    <row r="871" spans="1:15">
      <c r="A871" t="str">
        <f>"002361"</f>
        <v>002361</v>
      </c>
      <c r="B871" t="s">
        <v>905</v>
      </c>
      <c r="C871">
        <v>-2.94</v>
      </c>
      <c r="D871">
        <v>15.16</v>
      </c>
      <c r="E871" t="s">
        <v>16</v>
      </c>
      <c r="F871" t="s">
        <v>16</v>
      </c>
      <c r="H871">
        <v>-0.06</v>
      </c>
      <c r="I871">
        <v>-0.79</v>
      </c>
      <c r="J871">
        <v>-4.35</v>
      </c>
      <c r="L871">
        <v>-1.79</v>
      </c>
      <c r="M871">
        <v>1874.85</v>
      </c>
      <c r="N871">
        <v>0.17</v>
      </c>
      <c r="O871">
        <v>0.94</v>
      </c>
    </row>
    <row r="872" spans="1:15">
      <c r="A872" t="str">
        <f>"002362"</f>
        <v>002362</v>
      </c>
      <c r="B872" t="s">
        <v>906</v>
      </c>
      <c r="C872">
        <v>-7.62</v>
      </c>
      <c r="D872">
        <v>17.1</v>
      </c>
      <c r="E872" t="s">
        <v>16</v>
      </c>
      <c r="F872" t="s">
        <v>16</v>
      </c>
      <c r="H872">
        <v>0.12</v>
      </c>
      <c r="I872">
        <v>6.54</v>
      </c>
      <c r="J872">
        <v>-6.81</v>
      </c>
      <c r="L872">
        <v>-0.86</v>
      </c>
      <c r="M872">
        <v>80.37</v>
      </c>
      <c r="N872">
        <v>0.03</v>
      </c>
      <c r="O872">
        <v>1.48</v>
      </c>
    </row>
    <row r="873" spans="1:15">
      <c r="A873" t="str">
        <f>"002363"</f>
        <v>002363</v>
      </c>
      <c r="B873" t="s">
        <v>907</v>
      </c>
      <c r="C873">
        <v>-0.61</v>
      </c>
      <c r="D873">
        <v>6.53</v>
      </c>
      <c r="E873" t="s">
        <v>16</v>
      </c>
      <c r="F873" t="s">
        <v>16</v>
      </c>
      <c r="H873">
        <v>-0.14</v>
      </c>
      <c r="I873">
        <v>-5.5</v>
      </c>
      <c r="J873">
        <v>-1.36</v>
      </c>
      <c r="L873">
        <v>0</v>
      </c>
      <c r="M873">
        <v>13.27</v>
      </c>
      <c r="N873">
        <v>0.01</v>
      </c>
      <c r="O873">
        <v>2.3</v>
      </c>
    </row>
    <row r="874" spans="1:15">
      <c r="A874" t="str">
        <f>"002364"</f>
        <v>002364</v>
      </c>
      <c r="B874" t="s">
        <v>908</v>
      </c>
      <c r="C874">
        <v>4.17</v>
      </c>
      <c r="D874">
        <v>54.16</v>
      </c>
      <c r="E874" t="s">
        <v>16</v>
      </c>
      <c r="F874" t="s">
        <v>16</v>
      </c>
      <c r="H874">
        <v>0.13</v>
      </c>
      <c r="I874">
        <v>0.88</v>
      </c>
      <c r="J874">
        <v>-0.64</v>
      </c>
      <c r="K874" t="s">
        <v>57</v>
      </c>
      <c r="L874">
        <v>-0.56</v>
      </c>
      <c r="M874">
        <v>1120.34</v>
      </c>
      <c r="N874">
        <v>0.07</v>
      </c>
      <c r="O874">
        <v>0.64</v>
      </c>
    </row>
    <row r="875" spans="1:15">
      <c r="A875" t="str">
        <f>"002365"</f>
        <v>002365</v>
      </c>
      <c r="B875" t="s">
        <v>909</v>
      </c>
      <c r="C875">
        <v>-0.65</v>
      </c>
      <c r="D875">
        <v>10.67</v>
      </c>
      <c r="E875" t="s">
        <v>16</v>
      </c>
      <c r="F875" t="s">
        <v>16</v>
      </c>
      <c r="H875">
        <v>-0.36</v>
      </c>
      <c r="I875">
        <v>-6.4</v>
      </c>
      <c r="J875">
        <v>-2.2</v>
      </c>
      <c r="L875">
        <v>-0.09</v>
      </c>
      <c r="M875">
        <v>16.95</v>
      </c>
      <c r="N875">
        <v>0.01</v>
      </c>
      <c r="O875">
        <v>0.77</v>
      </c>
    </row>
    <row r="876" spans="1:15">
      <c r="A876" t="str">
        <f>"002366"</f>
        <v>002366</v>
      </c>
      <c r="B876" t="s">
        <v>910</v>
      </c>
      <c r="C876">
        <v>-2.62</v>
      </c>
      <c r="D876">
        <v>5.95</v>
      </c>
      <c r="E876" t="s">
        <v>16</v>
      </c>
      <c r="F876" t="s">
        <v>16</v>
      </c>
      <c r="H876">
        <v>0</v>
      </c>
      <c r="I876">
        <v>-4.95</v>
      </c>
      <c r="J876">
        <v>-2.62</v>
      </c>
      <c r="L876">
        <v>0</v>
      </c>
      <c r="M876">
        <v>232.18</v>
      </c>
      <c r="N876">
        <v>0.03</v>
      </c>
      <c r="O876">
        <v>1.31</v>
      </c>
    </row>
    <row r="877" spans="1:15">
      <c r="A877" t="str">
        <f>"002367"</f>
        <v>002367</v>
      </c>
      <c r="B877" t="s">
        <v>911</v>
      </c>
      <c r="C877">
        <v>3.62</v>
      </c>
      <c r="D877">
        <v>5.44</v>
      </c>
      <c r="E877" t="s">
        <v>16</v>
      </c>
      <c r="F877" t="s">
        <v>16</v>
      </c>
      <c r="H877">
        <v>0</v>
      </c>
      <c r="I877">
        <v>-3.03</v>
      </c>
      <c r="J877">
        <v>-4.73</v>
      </c>
      <c r="L877">
        <v>0</v>
      </c>
      <c r="M877">
        <v>33.39</v>
      </c>
      <c r="N877">
        <v>0.02</v>
      </c>
      <c r="O877">
        <v>2.25</v>
      </c>
    </row>
    <row r="878" spans="1:15">
      <c r="A878" t="str">
        <f>"002368"</f>
        <v>002368</v>
      </c>
      <c r="B878" t="s">
        <v>912</v>
      </c>
      <c r="C878">
        <v>0.47</v>
      </c>
      <c r="D878">
        <v>17.04</v>
      </c>
      <c r="E878" t="s">
        <v>16</v>
      </c>
      <c r="F878" t="s">
        <v>16</v>
      </c>
      <c r="H878">
        <v>-0.46</v>
      </c>
      <c r="I878">
        <v>8.12</v>
      </c>
      <c r="J878">
        <v>-2.24</v>
      </c>
      <c r="L878">
        <v>0.24</v>
      </c>
      <c r="M878">
        <v>142.12</v>
      </c>
      <c r="N878">
        <v>0.02</v>
      </c>
      <c r="O878">
        <v>1.64</v>
      </c>
    </row>
    <row r="879" spans="1:15">
      <c r="A879" t="str">
        <f>"002369"</f>
        <v>002369</v>
      </c>
      <c r="B879" t="s">
        <v>913</v>
      </c>
      <c r="C879">
        <v>-0.66</v>
      </c>
      <c r="D879">
        <v>5.98</v>
      </c>
      <c r="E879" t="s">
        <v>16</v>
      </c>
      <c r="F879" t="s">
        <v>16</v>
      </c>
      <c r="H879">
        <v>0</v>
      </c>
      <c r="I879">
        <v>-5.38</v>
      </c>
      <c r="J879">
        <v>-1.16</v>
      </c>
      <c r="L879">
        <v>-1</v>
      </c>
      <c r="M879">
        <v>24.67</v>
      </c>
      <c r="N879">
        <v>0.01</v>
      </c>
      <c r="O879">
        <v>1.02</v>
      </c>
    </row>
    <row r="880" spans="1:15">
      <c r="A880" t="str">
        <f>"002370"</f>
        <v>002370</v>
      </c>
      <c r="B880" t="s">
        <v>914</v>
      </c>
      <c r="C880">
        <v>-1.76</v>
      </c>
      <c r="D880">
        <v>5.03</v>
      </c>
      <c r="E880" t="s">
        <v>16</v>
      </c>
      <c r="F880" t="s">
        <v>16</v>
      </c>
      <c r="H880">
        <v>-0.39</v>
      </c>
      <c r="I880">
        <v>-10.82</v>
      </c>
      <c r="J880">
        <v>-2.71</v>
      </c>
      <c r="L880">
        <v>0</v>
      </c>
      <c r="M880">
        <v>2.66</v>
      </c>
      <c r="N880">
        <v>0</v>
      </c>
      <c r="O880">
        <v>0.45</v>
      </c>
    </row>
    <row r="881" spans="1:15">
      <c r="A881" t="str">
        <f>"002371"</f>
        <v>002371</v>
      </c>
      <c r="B881" t="s">
        <v>915</v>
      </c>
      <c r="C881">
        <v>2.39</v>
      </c>
      <c r="D881">
        <v>721.04</v>
      </c>
      <c r="E881" t="s">
        <v>16</v>
      </c>
      <c r="F881" t="s">
        <v>16</v>
      </c>
      <c r="H881">
        <v>-0.12</v>
      </c>
      <c r="I881">
        <v>15</v>
      </c>
      <c r="J881">
        <v>-1.75</v>
      </c>
      <c r="L881">
        <v>0.11</v>
      </c>
      <c r="M881">
        <v>6147.43</v>
      </c>
      <c r="N881">
        <v>0.02</v>
      </c>
      <c r="O881">
        <v>1.47</v>
      </c>
    </row>
    <row r="882" spans="1:15">
      <c r="A882" t="str">
        <f>"002372"</f>
        <v>002372</v>
      </c>
      <c r="B882" t="s">
        <v>916</v>
      </c>
      <c r="C882">
        <v>-0.69</v>
      </c>
      <c r="D882">
        <v>8.64</v>
      </c>
      <c r="E882" t="s">
        <v>16</v>
      </c>
      <c r="F882" t="s">
        <v>16</v>
      </c>
      <c r="H882">
        <v>-0.11</v>
      </c>
      <c r="I882">
        <v>-8.28</v>
      </c>
      <c r="J882">
        <v>-1.37</v>
      </c>
      <c r="L882">
        <v>0.11</v>
      </c>
      <c r="M882">
        <v>2.79</v>
      </c>
      <c r="N882">
        <v>0</v>
      </c>
      <c r="O882">
        <v>0.05</v>
      </c>
    </row>
    <row r="883" spans="1:15">
      <c r="A883" t="str">
        <f>"002373"</f>
        <v>002373</v>
      </c>
      <c r="B883" t="s">
        <v>917</v>
      </c>
      <c r="C883">
        <v>1.84</v>
      </c>
      <c r="D883">
        <v>7.76</v>
      </c>
      <c r="E883" t="s">
        <v>16</v>
      </c>
      <c r="F883" t="s">
        <v>16</v>
      </c>
      <c r="H883">
        <v>-0.5</v>
      </c>
      <c r="I883">
        <v>1.97</v>
      </c>
      <c r="J883">
        <v>-3.96</v>
      </c>
      <c r="L883">
        <v>2.1</v>
      </c>
      <c r="M883">
        <v>264.44</v>
      </c>
      <c r="N883">
        <v>0.03</v>
      </c>
      <c r="O883">
        <v>12.45</v>
      </c>
    </row>
    <row r="884" spans="1:15">
      <c r="A884" t="str">
        <f>"002374"</f>
        <v>002374</v>
      </c>
      <c r="B884" t="s">
        <v>918</v>
      </c>
      <c r="C884">
        <v>0.96</v>
      </c>
      <c r="D884">
        <v>3.16</v>
      </c>
      <c r="E884" t="s">
        <v>16</v>
      </c>
      <c r="F884" t="s">
        <v>16</v>
      </c>
      <c r="H884">
        <v>0</v>
      </c>
      <c r="I884">
        <v>-10.23</v>
      </c>
      <c r="J884">
        <v>-1.25</v>
      </c>
      <c r="L884">
        <v>2.24</v>
      </c>
      <c r="M884">
        <v>250.59</v>
      </c>
      <c r="N884">
        <v>0.09</v>
      </c>
      <c r="O884">
        <v>30.35</v>
      </c>
    </row>
    <row r="885" spans="1:15">
      <c r="A885" t="str">
        <f>"002375"</f>
        <v>002375</v>
      </c>
      <c r="B885" t="s">
        <v>919</v>
      </c>
      <c r="C885">
        <v>-1.64</v>
      </c>
      <c r="D885">
        <v>3.6</v>
      </c>
      <c r="E885" t="s">
        <v>16</v>
      </c>
      <c r="F885" t="s">
        <v>16</v>
      </c>
      <c r="H885">
        <v>0</v>
      </c>
      <c r="I885">
        <v>-10.22</v>
      </c>
      <c r="J885">
        <v>-1.91</v>
      </c>
      <c r="L885">
        <v>-0.27</v>
      </c>
      <c r="M885">
        <v>26.06</v>
      </c>
      <c r="N885">
        <v>0.01</v>
      </c>
      <c r="O885">
        <v>1.5</v>
      </c>
    </row>
    <row r="886" spans="1:15">
      <c r="A886" t="str">
        <f>"002376"</f>
        <v>002376</v>
      </c>
      <c r="B886" t="s">
        <v>920</v>
      </c>
      <c r="C886">
        <v>-0.33</v>
      </c>
      <c r="D886">
        <v>6.05</v>
      </c>
      <c r="E886" t="s">
        <v>16</v>
      </c>
      <c r="F886" t="s">
        <v>16</v>
      </c>
      <c r="H886">
        <v>0</v>
      </c>
      <c r="I886">
        <v>-5.62</v>
      </c>
      <c r="J886">
        <v>-1.63</v>
      </c>
      <c r="L886">
        <v>0</v>
      </c>
      <c r="M886">
        <v>8.32</v>
      </c>
      <c r="N886">
        <v>0</v>
      </c>
      <c r="O886">
        <v>0.25</v>
      </c>
    </row>
    <row r="887" spans="1:15">
      <c r="A887" t="str">
        <f>"002377"</f>
        <v>002377</v>
      </c>
      <c r="B887" t="s">
        <v>921</v>
      </c>
      <c r="C887">
        <v>2.27</v>
      </c>
      <c r="D887">
        <v>2.7</v>
      </c>
      <c r="E887" t="s">
        <v>16</v>
      </c>
      <c r="F887" t="s">
        <v>16</v>
      </c>
      <c r="H887">
        <v>-1.09</v>
      </c>
      <c r="I887">
        <v>-4.26</v>
      </c>
      <c r="J887">
        <v>-1.46</v>
      </c>
      <c r="L887">
        <v>-0.38</v>
      </c>
      <c r="M887">
        <v>21.12</v>
      </c>
      <c r="N887">
        <v>0.01</v>
      </c>
      <c r="O887">
        <v>1.41</v>
      </c>
    </row>
    <row r="888" spans="1:15">
      <c r="A888" t="str">
        <f>"002378"</f>
        <v>002378</v>
      </c>
      <c r="B888" t="s">
        <v>922</v>
      </c>
      <c r="C888">
        <v>6.39</v>
      </c>
      <c r="D888">
        <v>37.11</v>
      </c>
      <c r="E888" t="s">
        <v>16</v>
      </c>
      <c r="F888" t="s">
        <v>16</v>
      </c>
      <c r="H888">
        <v>-0.04</v>
      </c>
      <c r="I888">
        <v>19.59</v>
      </c>
      <c r="J888">
        <v>-1.85</v>
      </c>
      <c r="L888">
        <v>-2.35</v>
      </c>
      <c r="M888">
        <v>4210.5</v>
      </c>
      <c r="N888">
        <v>0.24</v>
      </c>
      <c r="O888">
        <v>1.36</v>
      </c>
    </row>
    <row r="889" spans="1:15">
      <c r="A889" t="str">
        <f>"002379"</f>
        <v>002379</v>
      </c>
      <c r="B889" t="s">
        <v>923</v>
      </c>
      <c r="C889">
        <v>-1.7</v>
      </c>
      <c r="D889">
        <v>16.72</v>
      </c>
      <c r="E889" t="s">
        <v>16</v>
      </c>
      <c r="F889" t="s">
        <v>16</v>
      </c>
      <c r="H889">
        <v>-0.64</v>
      </c>
      <c r="I889">
        <v>-13.99</v>
      </c>
      <c r="J889">
        <v>-4.24</v>
      </c>
      <c r="L889">
        <v>-0.88</v>
      </c>
      <c r="M889">
        <v>268.8</v>
      </c>
      <c r="N889">
        <v>0.02</v>
      </c>
      <c r="O889">
        <v>1.65</v>
      </c>
    </row>
    <row r="890" spans="1:15">
      <c r="A890" t="str">
        <f>"002380"</f>
        <v>002380</v>
      </c>
      <c r="B890" t="s">
        <v>924</v>
      </c>
      <c r="C890">
        <v>2.48</v>
      </c>
      <c r="D890">
        <v>38.48</v>
      </c>
      <c r="E890" t="s">
        <v>16</v>
      </c>
      <c r="F890" t="s">
        <v>16</v>
      </c>
      <c r="H890">
        <v>-0.15</v>
      </c>
      <c r="I890">
        <v>0.18</v>
      </c>
      <c r="J890">
        <v>-4.04</v>
      </c>
      <c r="L890">
        <v>1.41</v>
      </c>
      <c r="M890">
        <v>135.56</v>
      </c>
      <c r="N890">
        <v>0.03</v>
      </c>
      <c r="O890">
        <v>2.8</v>
      </c>
    </row>
    <row r="891" spans="1:15">
      <c r="A891" t="str">
        <f>"002381"</f>
        <v>002381</v>
      </c>
      <c r="B891" t="s">
        <v>925</v>
      </c>
      <c r="C891">
        <v>-0.56</v>
      </c>
      <c r="D891">
        <v>5.35</v>
      </c>
      <c r="E891" t="s">
        <v>16</v>
      </c>
      <c r="F891" t="s">
        <v>16</v>
      </c>
      <c r="H891">
        <v>-0.36</v>
      </c>
      <c r="I891">
        <v>-3.95</v>
      </c>
      <c r="J891">
        <v>-2.01</v>
      </c>
      <c r="L891">
        <v>-0.37</v>
      </c>
      <c r="M891">
        <v>12.76</v>
      </c>
      <c r="N891">
        <v>0.01</v>
      </c>
      <c r="O891">
        <v>1.83</v>
      </c>
    </row>
    <row r="892" spans="1:15">
      <c r="A892" t="str">
        <f>"002382"</f>
        <v>002382</v>
      </c>
      <c r="B892" t="s">
        <v>926</v>
      </c>
      <c r="C892">
        <v>2.56</v>
      </c>
      <c r="D892">
        <v>5.6</v>
      </c>
      <c r="E892" t="s">
        <v>16</v>
      </c>
      <c r="F892" t="s">
        <v>16</v>
      </c>
      <c r="H892">
        <v>0</v>
      </c>
      <c r="I892">
        <v>-10.97</v>
      </c>
      <c r="J892">
        <v>-1.06</v>
      </c>
      <c r="L892">
        <v>0</v>
      </c>
      <c r="M892">
        <v>41.77</v>
      </c>
      <c r="N892">
        <v>0.01</v>
      </c>
      <c r="O892">
        <v>1.55</v>
      </c>
    </row>
    <row r="893" spans="1:15">
      <c r="A893" t="str">
        <f>"002383"</f>
        <v>002383</v>
      </c>
      <c r="B893" t="s">
        <v>927</v>
      </c>
      <c r="C893">
        <v>-1.25</v>
      </c>
      <c r="D893">
        <v>7.09</v>
      </c>
      <c r="E893" t="s">
        <v>16</v>
      </c>
      <c r="F893" t="s">
        <v>16</v>
      </c>
      <c r="H893">
        <v>-0.13</v>
      </c>
      <c r="I893">
        <v>-7.68</v>
      </c>
      <c r="J893">
        <v>-1.94</v>
      </c>
      <c r="L893">
        <v>-0.42</v>
      </c>
      <c r="M893">
        <v>13.01</v>
      </c>
      <c r="N893">
        <v>0</v>
      </c>
      <c r="O893">
        <v>0.56</v>
      </c>
    </row>
    <row r="894" spans="1:15">
      <c r="A894" t="str">
        <f>"002384"</f>
        <v>002384</v>
      </c>
      <c r="B894" t="s">
        <v>928</v>
      </c>
      <c r="C894">
        <v>6.26</v>
      </c>
      <c r="D894">
        <v>273</v>
      </c>
      <c r="E894" t="s">
        <v>16</v>
      </c>
      <c r="F894" t="s">
        <v>16</v>
      </c>
      <c r="H894">
        <v>0.79</v>
      </c>
      <c r="I894">
        <v>14.8</v>
      </c>
      <c r="J894">
        <v>-1.66</v>
      </c>
      <c r="K894" t="s">
        <v>57</v>
      </c>
      <c r="L894">
        <v>0</v>
      </c>
      <c r="M894">
        <v>25185.87</v>
      </c>
      <c r="N894">
        <v>0.08</v>
      </c>
      <c r="O894">
        <v>0.36</v>
      </c>
    </row>
    <row r="895" spans="1:15">
      <c r="A895" t="str">
        <f>"002385"</f>
        <v>002385</v>
      </c>
      <c r="B895" t="s">
        <v>929</v>
      </c>
      <c r="C895">
        <v>-2.03</v>
      </c>
      <c r="D895">
        <v>2.89</v>
      </c>
      <c r="E895" t="s">
        <v>16</v>
      </c>
      <c r="F895" t="s">
        <v>16</v>
      </c>
      <c r="H895">
        <v>-0.33</v>
      </c>
      <c r="I895">
        <v>-12.42</v>
      </c>
      <c r="J895">
        <v>-1.7</v>
      </c>
      <c r="L895">
        <v>-0.68</v>
      </c>
      <c r="M895">
        <v>44.1</v>
      </c>
      <c r="N895">
        <v>0</v>
      </c>
      <c r="O895">
        <v>0.29</v>
      </c>
    </row>
    <row r="896" spans="1:15">
      <c r="A896" t="str">
        <f>"002386"</f>
        <v>002386</v>
      </c>
      <c r="B896" t="s">
        <v>930</v>
      </c>
      <c r="C896">
        <v>-2.3</v>
      </c>
      <c r="D896">
        <v>5.51</v>
      </c>
      <c r="E896" t="s">
        <v>16</v>
      </c>
      <c r="F896" t="s">
        <v>16</v>
      </c>
      <c r="H896">
        <v>0</v>
      </c>
      <c r="I896">
        <v>-4.17</v>
      </c>
      <c r="J896">
        <v>-1.96</v>
      </c>
      <c r="L896">
        <v>-0.35</v>
      </c>
      <c r="M896">
        <v>24.5</v>
      </c>
      <c r="N896">
        <v>0</v>
      </c>
      <c r="O896">
        <v>2.16</v>
      </c>
    </row>
    <row r="897" spans="1:15">
      <c r="A897" t="str">
        <f>"002387"</f>
        <v>002387</v>
      </c>
      <c r="B897" t="s">
        <v>931</v>
      </c>
      <c r="C897">
        <v>-5.79</v>
      </c>
      <c r="D897">
        <v>8.3</v>
      </c>
      <c r="E897" t="s">
        <v>16</v>
      </c>
      <c r="F897" t="s">
        <v>16</v>
      </c>
      <c r="H897">
        <v>0.24</v>
      </c>
      <c r="I897">
        <v>-1.43</v>
      </c>
      <c r="J897">
        <v>-5.25</v>
      </c>
      <c r="L897">
        <v>-0.68</v>
      </c>
      <c r="M897">
        <v>210.09</v>
      </c>
      <c r="N897">
        <v>0.03</v>
      </c>
      <c r="O897">
        <v>3.89</v>
      </c>
    </row>
    <row r="898" spans="1:15">
      <c r="A898" t="str">
        <f>"002388"</f>
        <v>002388</v>
      </c>
      <c r="B898" t="s">
        <v>932</v>
      </c>
      <c r="C898">
        <v>0.37</v>
      </c>
      <c r="D898">
        <v>5.47</v>
      </c>
      <c r="E898" t="s">
        <v>16</v>
      </c>
      <c r="F898" t="s">
        <v>16</v>
      </c>
      <c r="H898">
        <v>0.18</v>
      </c>
      <c r="I898">
        <v>-0.36</v>
      </c>
      <c r="J898">
        <v>-1.26</v>
      </c>
      <c r="L898">
        <v>-0.92</v>
      </c>
      <c r="M898">
        <v>15.34</v>
      </c>
      <c r="N898">
        <v>0.01</v>
      </c>
      <c r="O898">
        <v>0.14</v>
      </c>
    </row>
    <row r="899" spans="1:15">
      <c r="A899" t="str">
        <f>"002389"</f>
        <v>002389</v>
      </c>
      <c r="B899" t="s">
        <v>933</v>
      </c>
      <c r="C899">
        <v>-2.21</v>
      </c>
      <c r="D899">
        <v>18.61</v>
      </c>
      <c r="E899" t="s">
        <v>16</v>
      </c>
      <c r="F899" t="s">
        <v>16</v>
      </c>
      <c r="H899">
        <v>0.22</v>
      </c>
      <c r="I899">
        <v>-1.53</v>
      </c>
      <c r="J899">
        <v>-2.21</v>
      </c>
      <c r="L899">
        <v>-0.63</v>
      </c>
      <c r="M899">
        <v>34.04</v>
      </c>
      <c r="N899">
        <v>0</v>
      </c>
      <c r="O899">
        <v>0.49</v>
      </c>
    </row>
    <row r="900" spans="1:15">
      <c r="A900" t="str">
        <f>"002390"</f>
        <v>002390</v>
      </c>
      <c r="B900" t="s">
        <v>934</v>
      </c>
      <c r="C900">
        <v>-1.43</v>
      </c>
      <c r="D900">
        <v>2.76</v>
      </c>
      <c r="E900" t="s">
        <v>16</v>
      </c>
      <c r="F900" t="s">
        <v>16</v>
      </c>
      <c r="H900">
        <v>-0.35</v>
      </c>
      <c r="I900">
        <v>-6.44</v>
      </c>
      <c r="J900">
        <v>-1.78</v>
      </c>
      <c r="L900">
        <v>-0.71</v>
      </c>
      <c r="M900">
        <v>76.59</v>
      </c>
      <c r="N900">
        <v>0.02</v>
      </c>
      <c r="O900">
        <v>3.78</v>
      </c>
    </row>
    <row r="901" spans="1:15">
      <c r="A901" t="str">
        <f>"002391"</f>
        <v>002391</v>
      </c>
      <c r="B901" t="s">
        <v>935</v>
      </c>
      <c r="C901">
        <v>-1.36</v>
      </c>
      <c r="D901">
        <v>5.08</v>
      </c>
      <c r="E901" t="s">
        <v>16</v>
      </c>
      <c r="F901" t="s">
        <v>16</v>
      </c>
      <c r="H901">
        <v>0</v>
      </c>
      <c r="I901">
        <v>-2.87</v>
      </c>
      <c r="J901">
        <v>-0.97</v>
      </c>
      <c r="L901">
        <v>-0.58</v>
      </c>
      <c r="M901">
        <v>1.54</v>
      </c>
      <c r="N901">
        <v>0</v>
      </c>
      <c r="O901">
        <v>0.38</v>
      </c>
    </row>
    <row r="902" spans="1:15">
      <c r="A902" t="str">
        <f>"002392"</f>
        <v>002392</v>
      </c>
      <c r="B902" t="s">
        <v>936</v>
      </c>
      <c r="C902">
        <v>9.99</v>
      </c>
      <c r="D902">
        <v>8.81</v>
      </c>
      <c r="E902">
        <v>6819.29</v>
      </c>
      <c r="F902">
        <v>1</v>
      </c>
      <c r="H902">
        <v>0</v>
      </c>
      <c r="I902">
        <v>13.09</v>
      </c>
      <c r="J902">
        <v>0</v>
      </c>
      <c r="K902" t="s">
        <v>140</v>
      </c>
      <c r="L902">
        <v>0</v>
      </c>
      <c r="M902">
        <v>24.75</v>
      </c>
      <c r="N902">
        <v>0</v>
      </c>
      <c r="O902">
        <v>0.8</v>
      </c>
    </row>
    <row r="903" spans="1:15">
      <c r="A903" t="str">
        <f>"002393"</f>
        <v>002393</v>
      </c>
      <c r="B903" t="s">
        <v>937</v>
      </c>
      <c r="C903">
        <v>-0.21</v>
      </c>
      <c r="D903">
        <v>14.15</v>
      </c>
      <c r="E903" t="s">
        <v>16</v>
      </c>
      <c r="F903" t="s">
        <v>16</v>
      </c>
      <c r="H903">
        <v>0.07</v>
      </c>
      <c r="I903">
        <v>-1.39</v>
      </c>
      <c r="J903">
        <v>-1.26</v>
      </c>
      <c r="L903">
        <v>-0.14</v>
      </c>
      <c r="M903">
        <v>2.41</v>
      </c>
      <c r="N903">
        <v>0</v>
      </c>
      <c r="O903">
        <v>0.16</v>
      </c>
    </row>
    <row r="904" spans="1:15">
      <c r="A904" t="str">
        <f>"002394"</f>
        <v>002394</v>
      </c>
      <c r="B904" t="s">
        <v>938</v>
      </c>
      <c r="C904">
        <v>1.85</v>
      </c>
      <c r="D904">
        <v>9.35</v>
      </c>
      <c r="E904" t="s">
        <v>16</v>
      </c>
      <c r="F904" t="s">
        <v>16</v>
      </c>
      <c r="H904">
        <v>0.54</v>
      </c>
      <c r="I904">
        <v>-7.15</v>
      </c>
      <c r="J904">
        <v>-0.85</v>
      </c>
      <c r="L904">
        <v>-0.33</v>
      </c>
      <c r="M904">
        <v>2.56</v>
      </c>
      <c r="N904">
        <v>0</v>
      </c>
      <c r="O904">
        <v>0.13</v>
      </c>
    </row>
    <row r="905" spans="1:15">
      <c r="A905" t="str">
        <f>"002395"</f>
        <v>002395</v>
      </c>
      <c r="B905" t="s">
        <v>939</v>
      </c>
      <c r="C905">
        <v>-0.23</v>
      </c>
      <c r="D905">
        <v>12.97</v>
      </c>
      <c r="E905" t="s">
        <v>16</v>
      </c>
      <c r="F905" t="s">
        <v>16</v>
      </c>
      <c r="H905">
        <v>-0.22</v>
      </c>
      <c r="I905">
        <v>-15.78</v>
      </c>
      <c r="J905">
        <v>-1.07</v>
      </c>
      <c r="L905">
        <v>-0.31</v>
      </c>
      <c r="M905">
        <v>10.89</v>
      </c>
      <c r="N905">
        <v>0.01</v>
      </c>
      <c r="O905">
        <v>0.7</v>
      </c>
    </row>
    <row r="906" spans="1:15">
      <c r="A906" t="str">
        <f>"002396"</f>
        <v>002396</v>
      </c>
      <c r="B906" t="s">
        <v>940</v>
      </c>
      <c r="C906">
        <v>0.55</v>
      </c>
      <c r="D906">
        <v>19.94</v>
      </c>
      <c r="E906" t="s">
        <v>16</v>
      </c>
      <c r="F906" t="s">
        <v>16</v>
      </c>
      <c r="H906">
        <v>-0.04</v>
      </c>
      <c r="I906">
        <v>-6.74</v>
      </c>
      <c r="J906">
        <v>-4.09</v>
      </c>
      <c r="L906">
        <v>-0.2</v>
      </c>
      <c r="M906">
        <v>331.68</v>
      </c>
      <c r="N906">
        <v>0.03</v>
      </c>
      <c r="O906">
        <v>3.49</v>
      </c>
    </row>
    <row r="907" spans="1:15">
      <c r="A907" t="str">
        <f>"002397"</f>
        <v>002397</v>
      </c>
      <c r="B907" t="s">
        <v>941</v>
      </c>
      <c r="C907">
        <v>-1.64</v>
      </c>
      <c r="D907">
        <v>4.21</v>
      </c>
      <c r="E907" t="s">
        <v>16</v>
      </c>
      <c r="F907" t="s">
        <v>16</v>
      </c>
      <c r="H907">
        <v>-0.23</v>
      </c>
      <c r="I907">
        <v>-8.08</v>
      </c>
      <c r="J907">
        <v>-3</v>
      </c>
      <c r="L907">
        <v>0.47</v>
      </c>
      <c r="M907">
        <v>12.6</v>
      </c>
      <c r="N907">
        <v>0.01</v>
      </c>
      <c r="O907">
        <v>0.55</v>
      </c>
    </row>
    <row r="908" spans="1:15">
      <c r="A908" t="str">
        <f>"002398"</f>
        <v>002398</v>
      </c>
      <c r="B908" t="s">
        <v>942</v>
      </c>
      <c r="C908">
        <v>-1.48</v>
      </c>
      <c r="D908">
        <v>3.99</v>
      </c>
      <c r="E908" t="s">
        <v>16</v>
      </c>
      <c r="F908" t="s">
        <v>16</v>
      </c>
      <c r="H908">
        <v>0</v>
      </c>
      <c r="I908">
        <v>-6.78</v>
      </c>
      <c r="J908">
        <v>-1.24</v>
      </c>
      <c r="L908">
        <v>-0.74</v>
      </c>
      <c r="M908">
        <v>13.99</v>
      </c>
      <c r="N908">
        <v>0.01</v>
      </c>
      <c r="O908">
        <v>0.73</v>
      </c>
    </row>
    <row r="909" spans="1:15">
      <c r="A909" t="str">
        <f>"002399"</f>
        <v>002399</v>
      </c>
      <c r="B909" t="s">
        <v>943</v>
      </c>
      <c r="C909">
        <v>-1.68</v>
      </c>
      <c r="D909">
        <v>8.77</v>
      </c>
      <c r="E909" t="s">
        <v>16</v>
      </c>
      <c r="F909" t="s">
        <v>16</v>
      </c>
      <c r="H909">
        <v>0.11</v>
      </c>
      <c r="I909">
        <v>-5.7</v>
      </c>
      <c r="J909">
        <v>-3.09</v>
      </c>
      <c r="L909">
        <v>-0.22</v>
      </c>
      <c r="M909">
        <v>16.29</v>
      </c>
      <c r="N909">
        <v>0.01</v>
      </c>
      <c r="O909">
        <v>0.51</v>
      </c>
    </row>
    <row r="910" spans="1:15">
      <c r="A910" t="str">
        <f>"002400"</f>
        <v>002400</v>
      </c>
      <c r="B910" t="s">
        <v>944</v>
      </c>
      <c r="C910">
        <v>-0.29</v>
      </c>
      <c r="D910">
        <v>6.99</v>
      </c>
      <c r="E910" t="s">
        <v>16</v>
      </c>
      <c r="F910" t="s">
        <v>16</v>
      </c>
      <c r="H910">
        <v>-0.13</v>
      </c>
      <c r="I910">
        <v>-8.03</v>
      </c>
      <c r="J910">
        <v>-1.83</v>
      </c>
      <c r="L910">
        <v>-0.14</v>
      </c>
      <c r="M910">
        <v>62.37</v>
      </c>
      <c r="N910">
        <v>0.01</v>
      </c>
      <c r="O910">
        <v>0.77</v>
      </c>
    </row>
    <row r="911" spans="1:15">
      <c r="A911" t="str">
        <f>"002401"</f>
        <v>002401</v>
      </c>
      <c r="B911" t="s">
        <v>945</v>
      </c>
      <c r="C911">
        <v>-0.99</v>
      </c>
      <c r="D911">
        <v>12.99</v>
      </c>
      <c r="E911" t="s">
        <v>16</v>
      </c>
      <c r="F911" t="s">
        <v>16</v>
      </c>
      <c r="H911">
        <v>0</v>
      </c>
      <c r="I911">
        <v>3.51</v>
      </c>
      <c r="J911">
        <v>-2.11</v>
      </c>
      <c r="L911">
        <v>-0.53</v>
      </c>
      <c r="M911">
        <v>38.5</v>
      </c>
      <c r="N911">
        <v>0.02</v>
      </c>
      <c r="O911">
        <v>1.2</v>
      </c>
    </row>
    <row r="912" spans="1:15">
      <c r="A912" t="str">
        <f>"002402"</f>
        <v>002402</v>
      </c>
      <c r="B912" t="s">
        <v>946</v>
      </c>
      <c r="C912">
        <v>-0.96</v>
      </c>
      <c r="D912">
        <v>24.78</v>
      </c>
      <c r="E912" t="s">
        <v>16</v>
      </c>
      <c r="F912" t="s">
        <v>16</v>
      </c>
      <c r="H912">
        <v>-0.07</v>
      </c>
      <c r="I912">
        <v>-3.32</v>
      </c>
      <c r="J912">
        <v>-1.47</v>
      </c>
      <c r="L912">
        <v>-0.08</v>
      </c>
      <c r="M912">
        <v>190.25</v>
      </c>
      <c r="N912">
        <v>0.01</v>
      </c>
      <c r="O912">
        <v>1.41</v>
      </c>
    </row>
    <row r="913" spans="1:15">
      <c r="A913" t="str">
        <f>"002403"</f>
        <v>002403</v>
      </c>
      <c r="B913" t="s">
        <v>947</v>
      </c>
      <c r="C913">
        <v>-3.02</v>
      </c>
      <c r="D913">
        <v>9.65</v>
      </c>
      <c r="E913" t="s">
        <v>16</v>
      </c>
      <c r="F913" t="s">
        <v>16</v>
      </c>
      <c r="H913">
        <v>0.1</v>
      </c>
      <c r="I913">
        <v>-3.6</v>
      </c>
      <c r="J913">
        <v>-3.88</v>
      </c>
      <c r="L913">
        <v>-0.6</v>
      </c>
      <c r="M913">
        <v>31.35</v>
      </c>
      <c r="N913">
        <v>0.02</v>
      </c>
      <c r="O913">
        <v>3.27</v>
      </c>
    </row>
    <row r="914" spans="1:15">
      <c r="A914" t="str">
        <f>"002404"</f>
        <v>002404</v>
      </c>
      <c r="B914" t="s">
        <v>948</v>
      </c>
      <c r="C914">
        <v>-9.94</v>
      </c>
      <c r="D914">
        <v>6.16</v>
      </c>
      <c r="E914" t="s">
        <v>16</v>
      </c>
      <c r="F914" t="s">
        <v>16</v>
      </c>
      <c r="H914">
        <v>-0.15</v>
      </c>
      <c r="I914">
        <v>-17.09</v>
      </c>
      <c r="J914">
        <v>-8.88</v>
      </c>
      <c r="K914" t="s">
        <v>54</v>
      </c>
      <c r="L914">
        <v>-1.75</v>
      </c>
      <c r="M914">
        <v>866.34</v>
      </c>
      <c r="N914">
        <v>0.43</v>
      </c>
      <c r="O914">
        <v>2.8</v>
      </c>
    </row>
    <row r="915" spans="1:15">
      <c r="A915" t="str">
        <f>"002405"</f>
        <v>002405</v>
      </c>
      <c r="B915" t="s">
        <v>949</v>
      </c>
      <c r="C915">
        <v>-1.53</v>
      </c>
      <c r="D915">
        <v>7.1</v>
      </c>
      <c r="E915" t="s">
        <v>16</v>
      </c>
      <c r="F915" t="s">
        <v>16</v>
      </c>
      <c r="H915">
        <v>-0.27</v>
      </c>
      <c r="I915">
        <v>-10.01</v>
      </c>
      <c r="J915">
        <v>-1.93</v>
      </c>
      <c r="L915">
        <v>-0.42</v>
      </c>
      <c r="M915">
        <v>114.49</v>
      </c>
      <c r="N915">
        <v>0.01</v>
      </c>
      <c r="O915">
        <v>0.38</v>
      </c>
    </row>
    <row r="916" spans="1:15">
      <c r="A916" t="str">
        <f>"002406"</f>
        <v>002406</v>
      </c>
      <c r="B916" t="s">
        <v>950</v>
      </c>
      <c r="C916">
        <v>-1.37</v>
      </c>
      <c r="D916">
        <v>7.21</v>
      </c>
      <c r="E916" t="s">
        <v>16</v>
      </c>
      <c r="F916" t="s">
        <v>16</v>
      </c>
      <c r="H916">
        <v>0.14</v>
      </c>
      <c r="I916">
        <v>-4.88</v>
      </c>
      <c r="J916">
        <v>-1.77</v>
      </c>
      <c r="L916">
        <v>-0.14</v>
      </c>
      <c r="M916">
        <v>106.73</v>
      </c>
      <c r="N916">
        <v>0.03</v>
      </c>
      <c r="O916">
        <v>5.73</v>
      </c>
    </row>
    <row r="917" spans="1:15">
      <c r="A917" t="str">
        <f>"002407"</f>
        <v>002407</v>
      </c>
      <c r="B917" t="s">
        <v>951</v>
      </c>
      <c r="C917">
        <v>0.81</v>
      </c>
      <c r="D917">
        <v>38.78</v>
      </c>
      <c r="E917" t="s">
        <v>16</v>
      </c>
      <c r="F917" t="s">
        <v>16</v>
      </c>
      <c r="H917">
        <v>0</v>
      </c>
      <c r="I917">
        <v>18.38</v>
      </c>
      <c r="J917">
        <v>-0.67</v>
      </c>
      <c r="L917">
        <v>-0.86</v>
      </c>
      <c r="M917">
        <v>1934.46</v>
      </c>
      <c r="N917">
        <v>0.05</v>
      </c>
      <c r="O917">
        <v>0.28</v>
      </c>
    </row>
    <row r="918" spans="1:15">
      <c r="A918" t="str">
        <f>"002408"</f>
        <v>002408</v>
      </c>
      <c r="B918" t="s">
        <v>952</v>
      </c>
      <c r="C918">
        <v>-0.98</v>
      </c>
      <c r="D918">
        <v>5.05</v>
      </c>
      <c r="E918" t="s">
        <v>16</v>
      </c>
      <c r="F918" t="s">
        <v>16</v>
      </c>
      <c r="H918">
        <v>0.2</v>
      </c>
      <c r="I918">
        <v>-0.98</v>
      </c>
      <c r="J918">
        <v>-1.94</v>
      </c>
      <c r="L918">
        <v>-0.39</v>
      </c>
      <c r="M918">
        <v>64.01</v>
      </c>
      <c r="N918">
        <v>0.01</v>
      </c>
      <c r="O918">
        <v>1.59</v>
      </c>
    </row>
    <row r="919" spans="1:15">
      <c r="A919" t="str">
        <f>"002409"</f>
        <v>002409</v>
      </c>
      <c r="B919" t="s">
        <v>953</v>
      </c>
      <c r="C919">
        <v>1.51</v>
      </c>
      <c r="D919">
        <v>150.16</v>
      </c>
      <c r="E919" t="s">
        <v>16</v>
      </c>
      <c r="F919" t="s">
        <v>16</v>
      </c>
      <c r="H919">
        <v>0.11</v>
      </c>
      <c r="I919">
        <v>27.49</v>
      </c>
      <c r="J919">
        <v>-0.95</v>
      </c>
      <c r="L919">
        <v>-1</v>
      </c>
      <c r="M919">
        <v>3923.13</v>
      </c>
      <c r="N919">
        <v>0.1</v>
      </c>
      <c r="O919">
        <v>0.62</v>
      </c>
    </row>
    <row r="920" spans="1:15">
      <c r="A920" t="str">
        <f>"002410"</f>
        <v>002410</v>
      </c>
      <c r="B920" t="s">
        <v>954</v>
      </c>
      <c r="C920">
        <v>-0.79</v>
      </c>
      <c r="D920">
        <v>8.78</v>
      </c>
      <c r="E920" t="s">
        <v>16</v>
      </c>
      <c r="F920" t="s">
        <v>16</v>
      </c>
      <c r="H920">
        <v>0</v>
      </c>
      <c r="I920">
        <v>-6.3</v>
      </c>
      <c r="J920">
        <v>-1.57</v>
      </c>
      <c r="L920">
        <v>-0.79</v>
      </c>
      <c r="M920">
        <v>99.3</v>
      </c>
      <c r="N920">
        <v>0.01</v>
      </c>
      <c r="O920">
        <v>1.28</v>
      </c>
    </row>
    <row r="921" spans="1:15">
      <c r="A921" t="str">
        <f>"002412"</f>
        <v>002412</v>
      </c>
      <c r="B921" t="s">
        <v>955</v>
      </c>
      <c r="C921">
        <v>0.51</v>
      </c>
      <c r="D921">
        <v>5.93</v>
      </c>
      <c r="E921" t="s">
        <v>16</v>
      </c>
      <c r="F921" t="s">
        <v>16</v>
      </c>
      <c r="H921">
        <v>-0.16</v>
      </c>
      <c r="I921">
        <v>-2.95</v>
      </c>
      <c r="J921">
        <v>-0.5</v>
      </c>
      <c r="L921">
        <v>0</v>
      </c>
      <c r="M921">
        <v>17.11</v>
      </c>
      <c r="N921">
        <v>0.01</v>
      </c>
      <c r="O921">
        <v>1.32</v>
      </c>
    </row>
    <row r="922" spans="1:15">
      <c r="A922" t="str">
        <f>"002413"</f>
        <v>002413</v>
      </c>
      <c r="B922" t="s">
        <v>956</v>
      </c>
      <c r="C922">
        <v>-0.49</v>
      </c>
      <c r="D922">
        <v>10.23</v>
      </c>
      <c r="E922" t="s">
        <v>16</v>
      </c>
      <c r="F922" t="s">
        <v>16</v>
      </c>
      <c r="H922">
        <v>0.2</v>
      </c>
      <c r="I922">
        <v>-1.25</v>
      </c>
      <c r="J922">
        <v>-1.45</v>
      </c>
      <c r="L922">
        <v>-0.58</v>
      </c>
      <c r="M922">
        <v>190.81</v>
      </c>
      <c r="N922">
        <v>0.01</v>
      </c>
      <c r="O922">
        <v>1.22</v>
      </c>
    </row>
    <row r="923" spans="1:15">
      <c r="A923" t="str">
        <f>"002414"</f>
        <v>002414</v>
      </c>
      <c r="B923" t="s">
        <v>957</v>
      </c>
      <c r="C923">
        <v>0.07</v>
      </c>
      <c r="D923">
        <v>13.66</v>
      </c>
      <c r="E923" t="s">
        <v>16</v>
      </c>
      <c r="F923" t="s">
        <v>16</v>
      </c>
      <c r="H923">
        <v>-0.14</v>
      </c>
      <c r="I923">
        <v>6.97</v>
      </c>
      <c r="J923">
        <v>-1.66</v>
      </c>
      <c r="L923">
        <v>-0.59</v>
      </c>
      <c r="M923">
        <v>152.66</v>
      </c>
      <c r="N923">
        <v>0.01</v>
      </c>
      <c r="O923">
        <v>0.79</v>
      </c>
    </row>
    <row r="924" spans="1:15">
      <c r="A924" t="str">
        <f>"002415"</f>
        <v>002415</v>
      </c>
      <c r="B924" t="s">
        <v>958</v>
      </c>
      <c r="C924">
        <v>-0.19</v>
      </c>
      <c r="D924">
        <v>32.3</v>
      </c>
      <c r="E924" t="s">
        <v>16</v>
      </c>
      <c r="F924" t="s">
        <v>16</v>
      </c>
      <c r="H924">
        <v>0.09</v>
      </c>
      <c r="I924">
        <v>5.45</v>
      </c>
      <c r="J924">
        <v>-1.34</v>
      </c>
      <c r="L924">
        <v>-0.9</v>
      </c>
      <c r="M924">
        <v>961.46</v>
      </c>
      <c r="N924">
        <v>0.01</v>
      </c>
      <c r="O924">
        <v>0.39</v>
      </c>
    </row>
    <row r="925" spans="1:15">
      <c r="A925" t="str">
        <f>"002416"</f>
        <v>002416</v>
      </c>
      <c r="B925" t="s">
        <v>959</v>
      </c>
      <c r="C925">
        <v>-1.02</v>
      </c>
      <c r="D925">
        <v>10.69</v>
      </c>
      <c r="E925" t="s">
        <v>16</v>
      </c>
      <c r="F925" t="s">
        <v>16</v>
      </c>
      <c r="H925">
        <v>-0.08</v>
      </c>
      <c r="I925">
        <v>3.38</v>
      </c>
      <c r="J925">
        <v>-1.75</v>
      </c>
      <c r="L925">
        <v>-0.19</v>
      </c>
      <c r="M925">
        <v>226.06</v>
      </c>
      <c r="N925">
        <v>0.03</v>
      </c>
      <c r="O925">
        <v>4.26</v>
      </c>
    </row>
    <row r="926" spans="1:15">
      <c r="A926" t="str">
        <f>"002418"</f>
        <v>002418</v>
      </c>
      <c r="B926" t="s">
        <v>960</v>
      </c>
      <c r="C926">
        <v>0.24</v>
      </c>
      <c r="D926">
        <v>4.24</v>
      </c>
      <c r="E926" t="s">
        <v>16</v>
      </c>
      <c r="F926" t="s">
        <v>16</v>
      </c>
      <c r="H926">
        <v>-0.46</v>
      </c>
      <c r="I926">
        <v>-6.19</v>
      </c>
      <c r="J926">
        <v>-2.53</v>
      </c>
      <c r="L926">
        <v>-0.71</v>
      </c>
      <c r="M926">
        <v>96.94</v>
      </c>
      <c r="N926">
        <v>0.03</v>
      </c>
      <c r="O926">
        <v>0.85</v>
      </c>
    </row>
    <row r="927" spans="1:15">
      <c r="A927" t="str">
        <f>"002419"</f>
        <v>002419</v>
      </c>
      <c r="B927" t="s">
        <v>961</v>
      </c>
      <c r="C927">
        <v>3.14</v>
      </c>
      <c r="D927">
        <v>4.6</v>
      </c>
      <c r="E927" t="s">
        <v>16</v>
      </c>
      <c r="F927" t="s">
        <v>16</v>
      </c>
      <c r="H927">
        <v>0</v>
      </c>
      <c r="I927">
        <v>-1.92</v>
      </c>
      <c r="J927">
        <v>-4.76</v>
      </c>
      <c r="L927">
        <v>0</v>
      </c>
      <c r="M927">
        <v>37.69</v>
      </c>
      <c r="N927">
        <v>0.01</v>
      </c>
      <c r="O927">
        <v>8.05</v>
      </c>
    </row>
    <row r="928" spans="1:15">
      <c r="A928" t="str">
        <f>"002420"</f>
        <v>002420</v>
      </c>
      <c r="B928" t="s">
        <v>962</v>
      </c>
      <c r="C928">
        <v>-1.27</v>
      </c>
      <c r="D928">
        <v>5.44</v>
      </c>
      <c r="E928" t="s">
        <v>16</v>
      </c>
      <c r="F928" t="s">
        <v>16</v>
      </c>
      <c r="H928">
        <v>-0.36</v>
      </c>
      <c r="I928">
        <v>-4.56</v>
      </c>
      <c r="J928">
        <v>-1.27</v>
      </c>
      <c r="L928">
        <v>-0.91</v>
      </c>
      <c r="M928">
        <v>20.69</v>
      </c>
      <c r="N928">
        <v>0.01</v>
      </c>
      <c r="O928">
        <v>1.37</v>
      </c>
    </row>
    <row r="929" spans="1:15">
      <c r="A929" t="str">
        <f>"002421"</f>
        <v>002421</v>
      </c>
      <c r="B929" t="s">
        <v>963</v>
      </c>
      <c r="C929">
        <v>0</v>
      </c>
      <c r="D929">
        <v>3.83</v>
      </c>
      <c r="E929" t="s">
        <v>16</v>
      </c>
      <c r="F929" t="s">
        <v>16</v>
      </c>
      <c r="H929">
        <v>0</v>
      </c>
      <c r="I929">
        <v>-19.2</v>
      </c>
      <c r="J929">
        <v>-2.05</v>
      </c>
      <c r="L929">
        <v>-0.52</v>
      </c>
      <c r="M929">
        <v>1404.14</v>
      </c>
      <c r="N929">
        <v>0.22</v>
      </c>
      <c r="O929">
        <v>0.43</v>
      </c>
    </row>
    <row r="930" spans="1:15">
      <c r="A930" t="str">
        <f>"002422"</f>
        <v>002422</v>
      </c>
      <c r="B930" t="s">
        <v>964</v>
      </c>
      <c r="C930">
        <v>0.84</v>
      </c>
      <c r="D930">
        <v>35.92</v>
      </c>
      <c r="E930" t="s">
        <v>16</v>
      </c>
      <c r="F930" t="s">
        <v>16</v>
      </c>
      <c r="H930">
        <v>-0.35</v>
      </c>
      <c r="I930">
        <v>6.02</v>
      </c>
      <c r="J930">
        <v>-4.16</v>
      </c>
      <c r="L930">
        <v>-0.53</v>
      </c>
      <c r="M930">
        <v>36.14</v>
      </c>
      <c r="N930">
        <v>0</v>
      </c>
      <c r="O930">
        <v>0.22</v>
      </c>
    </row>
    <row r="931" spans="1:15">
      <c r="A931" t="str">
        <f>"002423"</f>
        <v>002423</v>
      </c>
      <c r="B931" t="s">
        <v>965</v>
      </c>
      <c r="C931">
        <v>-2.54</v>
      </c>
      <c r="D931">
        <v>8.81</v>
      </c>
      <c r="E931" t="s">
        <v>16</v>
      </c>
      <c r="F931" t="s">
        <v>16</v>
      </c>
      <c r="H931">
        <v>-0.1</v>
      </c>
      <c r="I931">
        <v>-2.44</v>
      </c>
      <c r="J931">
        <v>-2.44</v>
      </c>
      <c r="L931">
        <v>-0.22</v>
      </c>
      <c r="M931">
        <v>10.91</v>
      </c>
      <c r="N931">
        <v>0</v>
      </c>
      <c r="O931">
        <v>0.98</v>
      </c>
    </row>
    <row r="932" spans="1:15">
      <c r="A932" t="str">
        <f>"002424"</f>
        <v>002424</v>
      </c>
      <c r="B932" t="s">
        <v>966</v>
      </c>
      <c r="C932">
        <v>-1.84</v>
      </c>
      <c r="D932">
        <v>4.26</v>
      </c>
      <c r="E932" t="s">
        <v>16</v>
      </c>
      <c r="F932" t="s">
        <v>16</v>
      </c>
      <c r="H932">
        <v>-0.22</v>
      </c>
      <c r="I932">
        <v>-7.79</v>
      </c>
      <c r="J932">
        <v>-1.39</v>
      </c>
      <c r="L932">
        <v>-0.69</v>
      </c>
      <c r="M932">
        <v>21.72</v>
      </c>
      <c r="N932">
        <v>0</v>
      </c>
      <c r="O932">
        <v>0.52</v>
      </c>
    </row>
    <row r="933" spans="1:15">
      <c r="A933" t="str">
        <f>"002425"</f>
        <v>002425</v>
      </c>
      <c r="B933" t="s">
        <v>967</v>
      </c>
      <c r="C933">
        <v>0.74</v>
      </c>
      <c r="D933">
        <v>2.74</v>
      </c>
      <c r="E933" t="s">
        <v>16</v>
      </c>
      <c r="F933" t="s">
        <v>16</v>
      </c>
      <c r="H933">
        <v>0.37</v>
      </c>
      <c r="I933">
        <v>-4.86</v>
      </c>
      <c r="J933">
        <v>-0.72</v>
      </c>
      <c r="L933">
        <v>-0.37</v>
      </c>
      <c r="M933">
        <v>15.56</v>
      </c>
      <c r="N933">
        <v>0.01</v>
      </c>
      <c r="O933">
        <v>2.77</v>
      </c>
    </row>
    <row r="934" spans="1:15">
      <c r="A934" t="str">
        <f>"002426"</f>
        <v>002426</v>
      </c>
      <c r="B934" t="s">
        <v>968</v>
      </c>
      <c r="C934">
        <v>0.98</v>
      </c>
      <c r="D934">
        <v>4.13</v>
      </c>
      <c r="E934" t="s">
        <v>16</v>
      </c>
      <c r="F934" t="s">
        <v>16</v>
      </c>
      <c r="H934">
        <v>-0.23</v>
      </c>
      <c r="I934">
        <v>13.77</v>
      </c>
      <c r="J934">
        <v>-0.48</v>
      </c>
      <c r="K934" t="s">
        <v>57</v>
      </c>
      <c r="L934">
        <v>0</v>
      </c>
      <c r="M934">
        <v>345.03</v>
      </c>
      <c r="N934">
        <v>0.03</v>
      </c>
      <c r="O934">
        <v>0.16</v>
      </c>
    </row>
    <row r="935" spans="1:15">
      <c r="A935" t="str">
        <f>"002427"</f>
        <v>002427</v>
      </c>
      <c r="B935" t="s">
        <v>969</v>
      </c>
      <c r="C935">
        <v>-2.75</v>
      </c>
      <c r="D935">
        <v>4.24</v>
      </c>
      <c r="E935" t="s">
        <v>16</v>
      </c>
      <c r="F935" t="s">
        <v>16</v>
      </c>
      <c r="H935">
        <v>-0.23</v>
      </c>
      <c r="I935">
        <v>-6.61</v>
      </c>
      <c r="J935">
        <v>-2.53</v>
      </c>
      <c r="L935">
        <v>-0.46</v>
      </c>
      <c r="M935">
        <v>55.68</v>
      </c>
      <c r="N935">
        <v>0.03</v>
      </c>
      <c r="O935">
        <v>1.46</v>
      </c>
    </row>
    <row r="936" spans="1:15">
      <c r="A936" t="str">
        <f>"002428"</f>
        <v>002428</v>
      </c>
      <c r="B936" t="s">
        <v>970</v>
      </c>
      <c r="C936">
        <v>1.19</v>
      </c>
      <c r="D936">
        <v>100.44</v>
      </c>
      <c r="E936" t="s">
        <v>16</v>
      </c>
      <c r="F936" t="s">
        <v>16</v>
      </c>
      <c r="H936">
        <v>0.07</v>
      </c>
      <c r="I936">
        <v>13.35</v>
      </c>
      <c r="J936">
        <v>-3.24</v>
      </c>
      <c r="K936" t="s">
        <v>971</v>
      </c>
      <c r="L936">
        <v>0</v>
      </c>
      <c r="M936">
        <v>7646.99</v>
      </c>
      <c r="N936">
        <v>0.15</v>
      </c>
      <c r="O936">
        <v>0.39</v>
      </c>
    </row>
    <row r="937" spans="1:15">
      <c r="A937" t="str">
        <f>"002429"</f>
        <v>002429</v>
      </c>
      <c r="B937" t="s">
        <v>972</v>
      </c>
      <c r="C937">
        <v>0.17</v>
      </c>
      <c r="D937">
        <v>11.88</v>
      </c>
      <c r="E937" t="s">
        <v>16</v>
      </c>
      <c r="F937" t="s">
        <v>16</v>
      </c>
      <c r="H937">
        <v>0</v>
      </c>
      <c r="I937">
        <v>-2.86</v>
      </c>
      <c r="J937">
        <v>-1.82</v>
      </c>
      <c r="L937">
        <v>-0.51</v>
      </c>
      <c r="M937">
        <v>227.86</v>
      </c>
      <c r="N937">
        <v>0.01</v>
      </c>
      <c r="O937">
        <v>0.17</v>
      </c>
    </row>
    <row r="938" spans="1:15">
      <c r="A938" t="str">
        <f>"002430"</f>
        <v>002430</v>
      </c>
      <c r="B938" t="s">
        <v>973</v>
      </c>
      <c r="C938">
        <v>-1.74</v>
      </c>
      <c r="D938">
        <v>26</v>
      </c>
      <c r="E938" t="s">
        <v>16</v>
      </c>
      <c r="F938" t="s">
        <v>16</v>
      </c>
      <c r="H938">
        <v>0.04</v>
      </c>
      <c r="I938">
        <v>4.33</v>
      </c>
      <c r="J938">
        <v>-1.74</v>
      </c>
      <c r="L938">
        <v>0</v>
      </c>
      <c r="M938">
        <v>248.46</v>
      </c>
      <c r="N938">
        <v>0.02</v>
      </c>
      <c r="O938">
        <v>0.4</v>
      </c>
    </row>
    <row r="939" spans="1:15">
      <c r="A939" t="str">
        <f>"002431"</f>
        <v>002431</v>
      </c>
      <c r="B939" t="s">
        <v>974</v>
      </c>
      <c r="C939">
        <v>-4.7</v>
      </c>
      <c r="D939">
        <v>1.42</v>
      </c>
      <c r="E939">
        <v>6.25</v>
      </c>
      <c r="F939" t="s">
        <v>16</v>
      </c>
      <c r="H939">
        <v>0</v>
      </c>
      <c r="I939">
        <v>-13.94</v>
      </c>
      <c r="J939">
        <v>-3.4</v>
      </c>
      <c r="L939">
        <v>-2.01</v>
      </c>
      <c r="M939">
        <v>48.88</v>
      </c>
      <c r="N939">
        <v>0.03</v>
      </c>
      <c r="O939">
        <v>1.19</v>
      </c>
    </row>
    <row r="940" spans="1:15">
      <c r="A940" t="str">
        <f>"002432"</f>
        <v>002432</v>
      </c>
      <c r="B940" t="s">
        <v>975</v>
      </c>
      <c r="C940">
        <v>10</v>
      </c>
      <c r="D940">
        <v>73.51</v>
      </c>
      <c r="E940">
        <v>23488.65</v>
      </c>
      <c r="F940">
        <v>1</v>
      </c>
      <c r="H940">
        <v>0</v>
      </c>
      <c r="I940">
        <v>-0.55</v>
      </c>
      <c r="J940">
        <v>0</v>
      </c>
      <c r="K940" t="s">
        <v>220</v>
      </c>
      <c r="L940">
        <v>-0.09</v>
      </c>
      <c r="M940">
        <v>1235.91</v>
      </c>
      <c r="N940">
        <v>0.05</v>
      </c>
      <c r="O940">
        <v>0.58</v>
      </c>
    </row>
    <row r="941" spans="1:15">
      <c r="A941" t="str">
        <f>"002434"</f>
        <v>002434</v>
      </c>
      <c r="B941" t="s">
        <v>976</v>
      </c>
      <c r="C941">
        <v>-1.74</v>
      </c>
      <c r="D941">
        <v>6.78</v>
      </c>
      <c r="E941" t="s">
        <v>16</v>
      </c>
      <c r="F941" t="s">
        <v>16</v>
      </c>
      <c r="H941">
        <v>-0.14</v>
      </c>
      <c r="I941">
        <v>-5.7</v>
      </c>
      <c r="J941">
        <v>-3.14</v>
      </c>
      <c r="L941">
        <v>-0.29</v>
      </c>
      <c r="M941">
        <v>52.49</v>
      </c>
      <c r="N941">
        <v>0.01</v>
      </c>
      <c r="O941">
        <v>3.1</v>
      </c>
    </row>
    <row r="942" spans="1:15">
      <c r="A942" t="str">
        <f>"002436"</f>
        <v>002436</v>
      </c>
      <c r="B942" t="s">
        <v>977</v>
      </c>
      <c r="C942">
        <v>8.91</v>
      </c>
      <c r="D942">
        <v>52.06</v>
      </c>
      <c r="E942" t="s">
        <v>16</v>
      </c>
      <c r="F942" t="s">
        <v>16</v>
      </c>
      <c r="H942">
        <v>0.27</v>
      </c>
      <c r="I942">
        <v>27.38</v>
      </c>
      <c r="J942">
        <v>-0.99</v>
      </c>
      <c r="K942" t="s">
        <v>26</v>
      </c>
      <c r="L942">
        <v>-1.88</v>
      </c>
      <c r="M942">
        <v>19268.87</v>
      </c>
      <c r="N942">
        <v>0.28</v>
      </c>
      <c r="O942">
        <v>1.07</v>
      </c>
    </row>
    <row r="943" spans="1:15">
      <c r="A943" t="str">
        <f>"002437"</f>
        <v>002437</v>
      </c>
      <c r="B943" t="s">
        <v>978</v>
      </c>
      <c r="C943">
        <v>0.39</v>
      </c>
      <c r="D943">
        <v>2.58</v>
      </c>
      <c r="E943" t="s">
        <v>16</v>
      </c>
      <c r="F943" t="s">
        <v>16</v>
      </c>
      <c r="H943">
        <v>0</v>
      </c>
      <c r="I943">
        <v>-9.47</v>
      </c>
      <c r="J943">
        <v>-1.53</v>
      </c>
      <c r="L943">
        <v>-0.39</v>
      </c>
      <c r="M943">
        <v>25.88</v>
      </c>
      <c r="N943">
        <v>0.01</v>
      </c>
      <c r="O943">
        <v>1.63</v>
      </c>
    </row>
    <row r="944" spans="1:15">
      <c r="A944" t="str">
        <f>"002438"</f>
        <v>002438</v>
      </c>
      <c r="B944" t="s">
        <v>979</v>
      </c>
      <c r="C944">
        <v>-2.21</v>
      </c>
      <c r="D944">
        <v>15.46</v>
      </c>
      <c r="E944" t="s">
        <v>16</v>
      </c>
      <c r="F944" t="s">
        <v>16</v>
      </c>
      <c r="H944">
        <v>-0.18</v>
      </c>
      <c r="I944">
        <v>-7.15</v>
      </c>
      <c r="J944">
        <v>-3.07</v>
      </c>
      <c r="L944">
        <v>-1.33</v>
      </c>
      <c r="M944">
        <v>25.74</v>
      </c>
      <c r="N944">
        <v>0</v>
      </c>
      <c r="O944">
        <v>0.31</v>
      </c>
    </row>
    <row r="945" spans="1:15">
      <c r="A945" t="str">
        <f>"002439"</f>
        <v>002439</v>
      </c>
      <c r="B945" t="s">
        <v>980</v>
      </c>
      <c r="C945">
        <v>-0.15</v>
      </c>
      <c r="D945">
        <v>12.96</v>
      </c>
      <c r="E945" t="s">
        <v>16</v>
      </c>
      <c r="F945" t="s">
        <v>16</v>
      </c>
      <c r="H945">
        <v>0.15</v>
      </c>
      <c r="I945">
        <v>-6.56</v>
      </c>
      <c r="J945">
        <v>-1.14</v>
      </c>
      <c r="L945">
        <v>-0.23</v>
      </c>
      <c r="M945">
        <v>52.19</v>
      </c>
      <c r="N945">
        <v>0.01</v>
      </c>
      <c r="O945">
        <v>0.17</v>
      </c>
    </row>
    <row r="946" spans="1:15">
      <c r="A946" t="str">
        <f>"002440"</f>
        <v>002440</v>
      </c>
      <c r="B946" t="s">
        <v>981</v>
      </c>
      <c r="C946">
        <v>-2.44</v>
      </c>
      <c r="D946">
        <v>9.99</v>
      </c>
      <c r="E946" t="s">
        <v>16</v>
      </c>
      <c r="F946" t="s">
        <v>16</v>
      </c>
      <c r="H946">
        <v>1.42</v>
      </c>
      <c r="I946">
        <v>13.78</v>
      </c>
      <c r="J946">
        <v>-1.96</v>
      </c>
      <c r="K946" t="s">
        <v>57</v>
      </c>
      <c r="L946">
        <v>-0.98</v>
      </c>
      <c r="M946">
        <v>358.25</v>
      </c>
      <c r="N946">
        <v>0.06</v>
      </c>
      <c r="O946">
        <v>0.92</v>
      </c>
    </row>
    <row r="947" spans="1:15">
      <c r="A947" t="str">
        <f>"002441"</f>
        <v>002441</v>
      </c>
      <c r="B947" t="s">
        <v>982</v>
      </c>
      <c r="C947">
        <v>-1.04</v>
      </c>
      <c r="D947">
        <v>8.59</v>
      </c>
      <c r="E947" t="s">
        <v>16</v>
      </c>
      <c r="F947" t="s">
        <v>16</v>
      </c>
      <c r="H947">
        <v>0</v>
      </c>
      <c r="I947">
        <v>-3.81</v>
      </c>
      <c r="J947">
        <v>-2.83</v>
      </c>
      <c r="L947">
        <v>-0.46</v>
      </c>
      <c r="M947">
        <v>28.6</v>
      </c>
      <c r="N947">
        <v>0.01</v>
      </c>
      <c r="O947">
        <v>4.8</v>
      </c>
    </row>
    <row r="948" spans="1:15">
      <c r="A948" t="str">
        <f>"002442"</f>
        <v>002442</v>
      </c>
      <c r="B948" t="s">
        <v>983</v>
      </c>
      <c r="C948">
        <v>10.04</v>
      </c>
      <c r="D948">
        <v>5.48</v>
      </c>
      <c r="E948">
        <v>5341.85</v>
      </c>
      <c r="F948">
        <v>1</v>
      </c>
      <c r="H948">
        <v>0</v>
      </c>
      <c r="I948">
        <v>-0.18</v>
      </c>
      <c r="J948">
        <v>0</v>
      </c>
      <c r="K948" t="s">
        <v>140</v>
      </c>
      <c r="L948">
        <v>0</v>
      </c>
      <c r="M948">
        <v>135.41</v>
      </c>
      <c r="N948">
        <v>0.1</v>
      </c>
      <c r="O948">
        <v>4.49</v>
      </c>
    </row>
    <row r="949" spans="1:15">
      <c r="A949" t="str">
        <f>"002443"</f>
        <v>002443</v>
      </c>
      <c r="B949" t="s">
        <v>984</v>
      </c>
      <c r="C949">
        <v>-1.71</v>
      </c>
      <c r="D949">
        <v>11.47</v>
      </c>
      <c r="E949" t="s">
        <v>16</v>
      </c>
      <c r="F949" t="s">
        <v>16</v>
      </c>
      <c r="H949">
        <v>-0.16</v>
      </c>
      <c r="I949">
        <v>0.7</v>
      </c>
      <c r="J949">
        <v>-2.13</v>
      </c>
      <c r="L949">
        <v>-0.6</v>
      </c>
      <c r="M949">
        <v>92.34</v>
      </c>
      <c r="N949">
        <v>0.02</v>
      </c>
      <c r="O949">
        <v>0.15</v>
      </c>
    </row>
    <row r="950" spans="1:15">
      <c r="A950" t="str">
        <f>"002444"</f>
        <v>002444</v>
      </c>
      <c r="B950" t="s">
        <v>985</v>
      </c>
      <c r="C950">
        <v>-0.6</v>
      </c>
      <c r="D950">
        <v>29.58</v>
      </c>
      <c r="E950" t="s">
        <v>16</v>
      </c>
      <c r="F950" t="s">
        <v>16</v>
      </c>
      <c r="H950">
        <v>0</v>
      </c>
      <c r="I950">
        <v>-7.16</v>
      </c>
      <c r="J950">
        <v>-1.47</v>
      </c>
      <c r="L950">
        <v>0.24</v>
      </c>
      <c r="M950">
        <v>103.51</v>
      </c>
      <c r="N950">
        <v>0.01</v>
      </c>
      <c r="O950">
        <v>3.51</v>
      </c>
    </row>
    <row r="951" spans="1:15">
      <c r="A951" t="str">
        <f>"002445"</f>
        <v>002445</v>
      </c>
      <c r="B951" t="s">
        <v>986</v>
      </c>
      <c r="C951">
        <v>-0.31</v>
      </c>
      <c r="D951">
        <v>3.18</v>
      </c>
      <c r="E951" t="s">
        <v>16</v>
      </c>
      <c r="F951" t="s">
        <v>16</v>
      </c>
      <c r="H951">
        <v>0</v>
      </c>
      <c r="I951">
        <v>-11.91</v>
      </c>
      <c r="J951">
        <v>-0.62</v>
      </c>
      <c r="L951">
        <v>-0.63</v>
      </c>
      <c r="M951">
        <v>94.4</v>
      </c>
      <c r="N951">
        <v>0.02</v>
      </c>
      <c r="O951">
        <v>1.71</v>
      </c>
    </row>
    <row r="952" spans="1:15">
      <c r="A952" t="str">
        <f>"002446"</f>
        <v>002446</v>
      </c>
      <c r="B952" t="s">
        <v>987</v>
      </c>
      <c r="C952">
        <v>0.17</v>
      </c>
      <c r="D952">
        <v>11.72</v>
      </c>
      <c r="E952" t="s">
        <v>16</v>
      </c>
      <c r="F952" t="s">
        <v>16</v>
      </c>
      <c r="H952">
        <v>0</v>
      </c>
      <c r="I952">
        <v>19.84</v>
      </c>
      <c r="J952">
        <v>-2.58</v>
      </c>
      <c r="K952" t="s">
        <v>26</v>
      </c>
      <c r="L952">
        <v>1.03</v>
      </c>
      <c r="M952">
        <v>1249.26</v>
      </c>
      <c r="N952">
        <v>0.13</v>
      </c>
      <c r="O952">
        <v>0.33</v>
      </c>
    </row>
    <row r="953" spans="1:15">
      <c r="A953" t="str">
        <f>"002448"</f>
        <v>002448</v>
      </c>
      <c r="B953" t="s">
        <v>988</v>
      </c>
      <c r="C953">
        <v>2.24</v>
      </c>
      <c r="D953">
        <v>13.25</v>
      </c>
      <c r="E953" t="s">
        <v>16</v>
      </c>
      <c r="F953" t="s">
        <v>16</v>
      </c>
      <c r="H953">
        <v>-0.07</v>
      </c>
      <c r="I953">
        <v>3.6</v>
      </c>
      <c r="J953">
        <v>-1.56</v>
      </c>
      <c r="L953">
        <v>0.69</v>
      </c>
      <c r="M953">
        <v>74.78</v>
      </c>
      <c r="N953">
        <v>0.01</v>
      </c>
      <c r="O953">
        <v>4.01</v>
      </c>
    </row>
    <row r="954" spans="1:15">
      <c r="A954" t="str">
        <f>"002449"</f>
        <v>002449</v>
      </c>
      <c r="B954" t="s">
        <v>989</v>
      </c>
      <c r="C954">
        <v>-1.24</v>
      </c>
      <c r="D954">
        <v>7.98</v>
      </c>
      <c r="E954" t="s">
        <v>16</v>
      </c>
      <c r="F954" t="s">
        <v>16</v>
      </c>
      <c r="H954">
        <v>-0.24</v>
      </c>
      <c r="I954">
        <v>-5.23</v>
      </c>
      <c r="J954">
        <v>-1.36</v>
      </c>
      <c r="K954" t="s">
        <v>26</v>
      </c>
      <c r="L954">
        <v>0</v>
      </c>
      <c r="M954">
        <v>509.93</v>
      </c>
      <c r="N954">
        <v>0.13</v>
      </c>
      <c r="O954">
        <v>0.32</v>
      </c>
    </row>
    <row r="955" spans="1:15">
      <c r="A955" t="str">
        <f>"002451"</f>
        <v>002451</v>
      </c>
      <c r="B955" t="s">
        <v>990</v>
      </c>
      <c r="C955">
        <v>-0.91</v>
      </c>
      <c r="D955">
        <v>7.63</v>
      </c>
      <c r="E955" t="s">
        <v>16</v>
      </c>
      <c r="F955" t="s">
        <v>16</v>
      </c>
      <c r="H955">
        <v>0</v>
      </c>
      <c r="I955">
        <v>-6.38</v>
      </c>
      <c r="J955">
        <v>-1.42</v>
      </c>
      <c r="L955">
        <v>0</v>
      </c>
      <c r="M955">
        <v>5.24</v>
      </c>
      <c r="N955">
        <v>0</v>
      </c>
      <c r="O955">
        <v>0.6</v>
      </c>
    </row>
    <row r="956" spans="1:15">
      <c r="A956" t="str">
        <f>"002452"</f>
        <v>002452</v>
      </c>
      <c r="B956" t="s">
        <v>991</v>
      </c>
      <c r="C956">
        <v>-1.52</v>
      </c>
      <c r="D956">
        <v>11.05</v>
      </c>
      <c r="E956" t="s">
        <v>16</v>
      </c>
      <c r="F956" t="s">
        <v>16</v>
      </c>
      <c r="H956">
        <v>-0.08</v>
      </c>
      <c r="I956">
        <v>-0.18</v>
      </c>
      <c r="J956">
        <v>-2.39</v>
      </c>
      <c r="L956">
        <v>-0.62</v>
      </c>
      <c r="M956">
        <v>9.14</v>
      </c>
      <c r="N956">
        <v>0</v>
      </c>
      <c r="O956">
        <v>0.55</v>
      </c>
    </row>
    <row r="957" spans="1:15">
      <c r="A957" t="str">
        <f>"002453"</f>
        <v>002453</v>
      </c>
      <c r="B957" t="s">
        <v>992</v>
      </c>
      <c r="C957">
        <v>-1.78</v>
      </c>
      <c r="D957">
        <v>4.98</v>
      </c>
      <c r="E957" t="s">
        <v>16</v>
      </c>
      <c r="F957" t="s">
        <v>16</v>
      </c>
      <c r="H957">
        <v>0</v>
      </c>
      <c r="I957">
        <v>-11.23</v>
      </c>
      <c r="J957">
        <v>-1.78</v>
      </c>
      <c r="L957">
        <v>0</v>
      </c>
      <c r="M957">
        <v>25.15</v>
      </c>
      <c r="N957">
        <v>0.01</v>
      </c>
      <c r="O957">
        <v>3.42</v>
      </c>
    </row>
    <row r="958" spans="1:15">
      <c r="A958" t="str">
        <f>"002454"</f>
        <v>002454</v>
      </c>
      <c r="B958" t="s">
        <v>993</v>
      </c>
      <c r="C958">
        <v>-2.03</v>
      </c>
      <c r="D958">
        <v>5.32</v>
      </c>
      <c r="E958" t="s">
        <v>16</v>
      </c>
      <c r="F958" t="s">
        <v>16</v>
      </c>
      <c r="H958">
        <v>0.19</v>
      </c>
      <c r="I958">
        <v>-6.01</v>
      </c>
      <c r="J958">
        <v>-2.39</v>
      </c>
      <c r="L958">
        <v>-0.55</v>
      </c>
      <c r="M958">
        <v>7.02</v>
      </c>
      <c r="N958">
        <v>0</v>
      </c>
      <c r="O958">
        <v>0.31</v>
      </c>
    </row>
    <row r="959" spans="1:15">
      <c r="A959" t="str">
        <f>"002455"</f>
        <v>002455</v>
      </c>
      <c r="B959" t="s">
        <v>994</v>
      </c>
      <c r="C959">
        <v>-3.86</v>
      </c>
      <c r="D959">
        <v>7.73</v>
      </c>
      <c r="E959" t="s">
        <v>16</v>
      </c>
      <c r="F959" t="s">
        <v>16</v>
      </c>
      <c r="H959">
        <v>-0.12</v>
      </c>
      <c r="I959">
        <v>-7.09</v>
      </c>
      <c r="J959">
        <v>-3.01</v>
      </c>
      <c r="L959">
        <v>-1.24</v>
      </c>
      <c r="M959">
        <v>416.45</v>
      </c>
      <c r="N959">
        <v>0.08</v>
      </c>
      <c r="O959">
        <v>2.96</v>
      </c>
    </row>
    <row r="960" spans="1:15">
      <c r="A960" t="str">
        <f>"002456"</f>
        <v>002456</v>
      </c>
      <c r="B960" t="s">
        <v>995</v>
      </c>
      <c r="C960">
        <v>-3.33</v>
      </c>
      <c r="D960">
        <v>9.3</v>
      </c>
      <c r="E960" t="s">
        <v>16</v>
      </c>
      <c r="F960" t="s">
        <v>16</v>
      </c>
      <c r="H960">
        <v>0</v>
      </c>
      <c r="I960">
        <v>-7.46</v>
      </c>
      <c r="J960">
        <v>-2.62</v>
      </c>
      <c r="L960">
        <v>-1.14</v>
      </c>
      <c r="M960">
        <v>636.03</v>
      </c>
      <c r="N960">
        <v>0.02</v>
      </c>
      <c r="O960">
        <v>0.88</v>
      </c>
    </row>
    <row r="961" spans="1:15">
      <c r="A961" t="str">
        <f>"002457"</f>
        <v>002457</v>
      </c>
      <c r="B961" t="s">
        <v>996</v>
      </c>
      <c r="C961">
        <v>-2.89</v>
      </c>
      <c r="D961">
        <v>13.09</v>
      </c>
      <c r="E961" t="s">
        <v>16</v>
      </c>
      <c r="F961" t="s">
        <v>16</v>
      </c>
      <c r="H961">
        <v>-0.29</v>
      </c>
      <c r="I961">
        <v>10</v>
      </c>
      <c r="J961">
        <v>-2.31</v>
      </c>
      <c r="L961">
        <v>-1.63</v>
      </c>
      <c r="M961">
        <v>195.85</v>
      </c>
      <c r="N961">
        <v>0.06</v>
      </c>
      <c r="O961">
        <v>0.43</v>
      </c>
    </row>
    <row r="962" spans="1:15">
      <c r="A962" t="str">
        <f>"002458"</f>
        <v>002458</v>
      </c>
      <c r="B962" t="s">
        <v>997</v>
      </c>
      <c r="C962">
        <v>0.61</v>
      </c>
      <c r="D962">
        <v>8.2</v>
      </c>
      <c r="E962" t="s">
        <v>16</v>
      </c>
      <c r="F962" t="s">
        <v>16</v>
      </c>
      <c r="H962">
        <v>0.12</v>
      </c>
      <c r="I962">
        <v>4.06</v>
      </c>
      <c r="J962">
        <v>-1.44</v>
      </c>
      <c r="L962">
        <v>-0.37</v>
      </c>
      <c r="M962">
        <v>215.5</v>
      </c>
      <c r="N962">
        <v>0.03</v>
      </c>
      <c r="O962">
        <v>6.06</v>
      </c>
    </row>
    <row r="963" spans="1:15">
      <c r="A963" t="str">
        <f>"002459"</f>
        <v>002459</v>
      </c>
      <c r="B963" t="s">
        <v>998</v>
      </c>
      <c r="C963">
        <v>-1.65</v>
      </c>
      <c r="D963">
        <v>8.33</v>
      </c>
      <c r="E963" t="s">
        <v>16</v>
      </c>
      <c r="F963" t="s">
        <v>16</v>
      </c>
      <c r="H963">
        <v>0.24</v>
      </c>
      <c r="I963">
        <v>-3.36</v>
      </c>
      <c r="J963">
        <v>-2.12</v>
      </c>
      <c r="L963">
        <v>0.47</v>
      </c>
      <c r="M963">
        <v>419.2</v>
      </c>
      <c r="N963">
        <v>0.03</v>
      </c>
      <c r="O963">
        <v>1.41</v>
      </c>
    </row>
    <row r="964" spans="1:15">
      <c r="A964" t="str">
        <f>"002460"</f>
        <v>002460</v>
      </c>
      <c r="B964" t="s">
        <v>999</v>
      </c>
      <c r="C964">
        <v>-2.75</v>
      </c>
      <c r="D964">
        <v>69.36</v>
      </c>
      <c r="E964" t="s">
        <v>16</v>
      </c>
      <c r="F964" t="s">
        <v>16</v>
      </c>
      <c r="H964">
        <v>-0.13</v>
      </c>
      <c r="I964">
        <v>3.85</v>
      </c>
      <c r="J964">
        <v>-3.21</v>
      </c>
      <c r="L964">
        <v>-1.15</v>
      </c>
      <c r="M964">
        <v>3928.87</v>
      </c>
      <c r="N964">
        <v>0.05</v>
      </c>
      <c r="O964">
        <v>2.49</v>
      </c>
    </row>
    <row r="965" spans="1:15">
      <c r="A965" t="str">
        <f>"002461"</f>
        <v>002461</v>
      </c>
      <c r="B965" t="s">
        <v>1000</v>
      </c>
      <c r="C965">
        <v>-4.29</v>
      </c>
      <c r="D965">
        <v>8.25</v>
      </c>
      <c r="E965" t="s">
        <v>16</v>
      </c>
      <c r="F965" t="s">
        <v>16</v>
      </c>
      <c r="H965">
        <v>-0.23</v>
      </c>
      <c r="I965">
        <v>-9.74</v>
      </c>
      <c r="J965">
        <v>-3.85</v>
      </c>
      <c r="L965">
        <v>-0.46</v>
      </c>
      <c r="M965">
        <v>21.62</v>
      </c>
      <c r="N965">
        <v>0.01</v>
      </c>
      <c r="O965">
        <v>0.39</v>
      </c>
    </row>
    <row r="966" spans="1:15">
      <c r="A966" t="str">
        <f>"002462"</f>
        <v>002462</v>
      </c>
      <c r="B966" t="s">
        <v>1001</v>
      </c>
      <c r="C966">
        <v>-6.49</v>
      </c>
      <c r="D966">
        <v>12.54</v>
      </c>
      <c r="E966" t="s">
        <v>16</v>
      </c>
      <c r="F966" t="s">
        <v>16</v>
      </c>
      <c r="H966">
        <v>0</v>
      </c>
      <c r="I966">
        <v>-7.45</v>
      </c>
      <c r="J966">
        <v>-6.63</v>
      </c>
      <c r="L966">
        <v>0.15</v>
      </c>
      <c r="M966">
        <v>25.11</v>
      </c>
      <c r="N966">
        <v>0.01</v>
      </c>
      <c r="O966">
        <v>8.13</v>
      </c>
    </row>
    <row r="967" spans="1:15">
      <c r="A967" t="str">
        <f>"002463"</f>
        <v>002463</v>
      </c>
      <c r="B967" t="s">
        <v>1002</v>
      </c>
      <c r="C967">
        <v>0.92</v>
      </c>
      <c r="D967">
        <v>147.9</v>
      </c>
      <c r="E967" t="s">
        <v>16</v>
      </c>
      <c r="F967" t="s">
        <v>16</v>
      </c>
      <c r="H967">
        <v>-0.04</v>
      </c>
      <c r="I967">
        <v>5.03</v>
      </c>
      <c r="J967">
        <v>-0.98</v>
      </c>
      <c r="L967">
        <v>-0.38</v>
      </c>
      <c r="M967">
        <v>7635.8</v>
      </c>
      <c r="N967">
        <v>0.04</v>
      </c>
      <c r="O967">
        <v>0.71</v>
      </c>
    </row>
    <row r="968" spans="1:15">
      <c r="A968" t="str">
        <f>"002465"</f>
        <v>002465</v>
      </c>
      <c r="B968" t="s">
        <v>1003</v>
      </c>
      <c r="C968">
        <v>-1.23</v>
      </c>
      <c r="D968">
        <v>13.68</v>
      </c>
      <c r="E968" t="s">
        <v>16</v>
      </c>
      <c r="F968" t="s">
        <v>16</v>
      </c>
      <c r="H968">
        <v>-0.14</v>
      </c>
      <c r="I968">
        <v>-8.25</v>
      </c>
      <c r="J968">
        <v>-2.01</v>
      </c>
      <c r="L968">
        <v>-1.73</v>
      </c>
      <c r="M968">
        <v>792.51</v>
      </c>
      <c r="N968">
        <v>0.03</v>
      </c>
      <c r="O968">
        <v>1.76</v>
      </c>
    </row>
    <row r="969" spans="1:15">
      <c r="A969" t="str">
        <f>"002466"</f>
        <v>002466</v>
      </c>
      <c r="B969" t="s">
        <v>1004</v>
      </c>
      <c r="C969">
        <v>-2.9</v>
      </c>
      <c r="D969">
        <v>62.18</v>
      </c>
      <c r="E969" t="s">
        <v>16</v>
      </c>
      <c r="F969" t="s">
        <v>16</v>
      </c>
      <c r="H969">
        <v>-0.02</v>
      </c>
      <c r="I969">
        <v>4.57</v>
      </c>
      <c r="J969">
        <v>-2.98</v>
      </c>
      <c r="L969">
        <v>-1.91</v>
      </c>
      <c r="M969">
        <v>3323.81</v>
      </c>
      <c r="N969">
        <v>0.05</v>
      </c>
      <c r="O969">
        <v>1.04</v>
      </c>
    </row>
    <row r="970" spans="1:15">
      <c r="A970" t="str">
        <f>"002467"</f>
        <v>002467</v>
      </c>
      <c r="B970" t="s">
        <v>1005</v>
      </c>
      <c r="C970">
        <v>0.19</v>
      </c>
      <c r="D970">
        <v>5.19</v>
      </c>
      <c r="E970" t="s">
        <v>16</v>
      </c>
      <c r="F970" t="s">
        <v>16</v>
      </c>
      <c r="H970">
        <v>-0.18</v>
      </c>
      <c r="I970">
        <v>-6.65</v>
      </c>
      <c r="J970">
        <v>-0.38</v>
      </c>
      <c r="L970">
        <v>-0.19</v>
      </c>
      <c r="M970">
        <v>60.44</v>
      </c>
      <c r="N970">
        <v>0.01</v>
      </c>
      <c r="O970">
        <v>2.13</v>
      </c>
    </row>
    <row r="971" spans="1:15">
      <c r="A971" t="str">
        <f>"002468"</f>
        <v>002468</v>
      </c>
      <c r="B971" t="s">
        <v>1006</v>
      </c>
      <c r="C971">
        <v>-2.28</v>
      </c>
      <c r="D971">
        <v>13.28</v>
      </c>
      <c r="E971" t="s">
        <v>16</v>
      </c>
      <c r="F971" t="s">
        <v>16</v>
      </c>
      <c r="H971">
        <v>-0.14</v>
      </c>
      <c r="I971">
        <v>-2.57</v>
      </c>
      <c r="J971">
        <v>-1.85</v>
      </c>
      <c r="L971">
        <v>-0.81</v>
      </c>
      <c r="M971">
        <v>100.7</v>
      </c>
      <c r="N971">
        <v>0.01</v>
      </c>
      <c r="O971">
        <v>0.74</v>
      </c>
    </row>
    <row r="972" spans="1:15">
      <c r="A972" t="str">
        <f>"002469"</f>
        <v>002469</v>
      </c>
      <c r="B972" t="s">
        <v>1007</v>
      </c>
      <c r="C972">
        <v>-6.13</v>
      </c>
      <c r="D972">
        <v>6.43</v>
      </c>
      <c r="E972" t="s">
        <v>16</v>
      </c>
      <c r="F972" t="s">
        <v>16</v>
      </c>
      <c r="H972">
        <v>0.16</v>
      </c>
      <c r="I972">
        <v>2.06</v>
      </c>
      <c r="J972">
        <v>-5.3</v>
      </c>
      <c r="L972">
        <v>-0.88</v>
      </c>
      <c r="M972">
        <v>48.82</v>
      </c>
      <c r="N972">
        <v>0.01</v>
      </c>
      <c r="O972">
        <v>1.4</v>
      </c>
    </row>
    <row r="973" spans="1:15">
      <c r="A973" t="str">
        <f>"002470"</f>
        <v>002470</v>
      </c>
      <c r="B973" t="s">
        <v>1008</v>
      </c>
      <c r="C973">
        <v>-2.82</v>
      </c>
      <c r="D973">
        <v>2.07</v>
      </c>
      <c r="E973" t="s">
        <v>16</v>
      </c>
      <c r="F973" t="s">
        <v>16</v>
      </c>
      <c r="H973">
        <v>0.49</v>
      </c>
      <c r="I973">
        <v>-8.81</v>
      </c>
      <c r="J973">
        <v>-2.36</v>
      </c>
      <c r="L973">
        <v>-0.94</v>
      </c>
      <c r="M973">
        <v>127.68</v>
      </c>
      <c r="N973">
        <v>0.03</v>
      </c>
      <c r="O973">
        <v>0.25</v>
      </c>
    </row>
    <row r="974" spans="1:15">
      <c r="A974" t="str">
        <f>"002471"</f>
        <v>002471</v>
      </c>
      <c r="B974" t="s">
        <v>1009</v>
      </c>
      <c r="C974">
        <v>0.29</v>
      </c>
      <c r="D974">
        <v>6.89</v>
      </c>
      <c r="E974" t="s">
        <v>16</v>
      </c>
      <c r="F974" t="s">
        <v>16</v>
      </c>
      <c r="H974">
        <v>0.15</v>
      </c>
      <c r="I974">
        <v>-4.7</v>
      </c>
      <c r="J974">
        <v>-1.57</v>
      </c>
      <c r="L974">
        <v>1.16</v>
      </c>
      <c r="M974">
        <v>223.79</v>
      </c>
      <c r="N974">
        <v>0.03</v>
      </c>
      <c r="O974">
        <v>1.2</v>
      </c>
    </row>
    <row r="975" spans="1:15">
      <c r="A975" t="str">
        <f>"002472"</f>
        <v>002472</v>
      </c>
      <c r="B975" t="s">
        <v>1010</v>
      </c>
      <c r="C975">
        <v>4.84</v>
      </c>
      <c r="D975">
        <v>43.78</v>
      </c>
      <c r="E975" t="s">
        <v>16</v>
      </c>
      <c r="F975" t="s">
        <v>16</v>
      </c>
      <c r="H975">
        <v>0.32</v>
      </c>
      <c r="I975">
        <v>5.77</v>
      </c>
      <c r="J975">
        <v>-2.39</v>
      </c>
      <c r="L975">
        <v>-0.38</v>
      </c>
      <c r="M975">
        <v>435.14</v>
      </c>
      <c r="N975">
        <v>0.02</v>
      </c>
      <c r="O975">
        <v>0.61</v>
      </c>
    </row>
    <row r="976" spans="1:15">
      <c r="A976" t="str">
        <f>"002474"</f>
        <v>002474</v>
      </c>
      <c r="B976" t="s">
        <v>1011</v>
      </c>
      <c r="C976">
        <v>-5.82</v>
      </c>
      <c r="D976">
        <v>6.31</v>
      </c>
      <c r="E976" t="s">
        <v>16</v>
      </c>
      <c r="F976" t="s">
        <v>16</v>
      </c>
      <c r="H976">
        <v>-0.15</v>
      </c>
      <c r="I976">
        <v>-10.75</v>
      </c>
      <c r="J976">
        <v>-6.38</v>
      </c>
      <c r="L976">
        <v>-0.15</v>
      </c>
      <c r="M976">
        <v>39.14</v>
      </c>
      <c r="N976">
        <v>0.01</v>
      </c>
      <c r="O976">
        <v>1.27</v>
      </c>
    </row>
    <row r="977" spans="1:15">
      <c r="A977" t="str">
        <f>"002475"</f>
        <v>002475</v>
      </c>
      <c r="B977" t="s">
        <v>1012</v>
      </c>
      <c r="C977">
        <v>3.88</v>
      </c>
      <c r="D977">
        <v>69.93</v>
      </c>
      <c r="E977" t="s">
        <v>16</v>
      </c>
      <c r="F977" t="s">
        <v>16</v>
      </c>
      <c r="H977">
        <v>-0.02</v>
      </c>
      <c r="I977">
        <v>-6.25</v>
      </c>
      <c r="J977">
        <v>-1.19</v>
      </c>
      <c r="L977">
        <v>-0.48</v>
      </c>
      <c r="M977">
        <v>3895.38</v>
      </c>
      <c r="N977">
        <v>0.01</v>
      </c>
      <c r="O977">
        <v>1.12</v>
      </c>
    </row>
    <row r="978" spans="1:15">
      <c r="A978" t="str">
        <f>"002476"</f>
        <v>002476</v>
      </c>
      <c r="B978" t="s">
        <v>1013</v>
      </c>
      <c r="C978">
        <v>-2.59</v>
      </c>
      <c r="D978">
        <v>5.27</v>
      </c>
      <c r="E978" t="s">
        <v>16</v>
      </c>
      <c r="F978" t="s">
        <v>16</v>
      </c>
      <c r="H978">
        <v>0</v>
      </c>
      <c r="I978">
        <v>1.35</v>
      </c>
      <c r="J978">
        <v>-3.48</v>
      </c>
      <c r="L978">
        <v>-0.37</v>
      </c>
      <c r="M978">
        <v>20.64</v>
      </c>
      <c r="N978">
        <v>0.01</v>
      </c>
      <c r="O978">
        <v>0.47</v>
      </c>
    </row>
    <row r="979" spans="1:15">
      <c r="A979" t="str">
        <f>"002478"</f>
        <v>002478</v>
      </c>
      <c r="B979" t="s">
        <v>1014</v>
      </c>
      <c r="C979">
        <v>-1.7</v>
      </c>
      <c r="D979">
        <v>6.92</v>
      </c>
      <c r="E979" t="s">
        <v>16</v>
      </c>
      <c r="F979" t="s">
        <v>16</v>
      </c>
      <c r="H979">
        <v>-0.28</v>
      </c>
      <c r="I979">
        <v>-5.08</v>
      </c>
      <c r="J979">
        <v>-3.49</v>
      </c>
      <c r="L979">
        <v>0.14</v>
      </c>
      <c r="M979">
        <v>19.18</v>
      </c>
      <c r="N979">
        <v>0</v>
      </c>
      <c r="O979">
        <v>0.44</v>
      </c>
    </row>
    <row r="980" spans="1:15">
      <c r="A980" t="str">
        <f>"002479"</f>
        <v>002479</v>
      </c>
      <c r="B980" t="s">
        <v>1015</v>
      </c>
      <c r="C980">
        <v>-3.38</v>
      </c>
      <c r="D980">
        <v>4.58</v>
      </c>
      <c r="E980" t="s">
        <v>16</v>
      </c>
      <c r="F980" t="s">
        <v>16</v>
      </c>
      <c r="H980">
        <v>-0.42</v>
      </c>
      <c r="I980">
        <v>-14.55</v>
      </c>
      <c r="J980">
        <v>-3.17</v>
      </c>
      <c r="L980">
        <v>-0.63</v>
      </c>
      <c r="M980">
        <v>14.88</v>
      </c>
      <c r="N980">
        <v>0.01</v>
      </c>
      <c r="O980">
        <v>0.36</v>
      </c>
    </row>
    <row r="981" spans="1:15">
      <c r="A981" t="str">
        <f>"002480"</f>
        <v>002480</v>
      </c>
      <c r="B981" t="s">
        <v>1016</v>
      </c>
      <c r="C981">
        <v>3.08</v>
      </c>
      <c r="D981">
        <v>5.69</v>
      </c>
      <c r="E981" t="s">
        <v>16</v>
      </c>
      <c r="F981" t="s">
        <v>16</v>
      </c>
      <c r="H981">
        <v>0.35</v>
      </c>
      <c r="I981">
        <v>-11.23</v>
      </c>
      <c r="J981">
        <v>-4.05</v>
      </c>
      <c r="L981">
        <v>1.99</v>
      </c>
      <c r="M981">
        <v>124.7</v>
      </c>
      <c r="N981">
        <v>0.04</v>
      </c>
      <c r="O981">
        <v>13.11</v>
      </c>
    </row>
    <row r="982" spans="1:15">
      <c r="A982" t="str">
        <f>"002481"</f>
        <v>002481</v>
      </c>
      <c r="B982" t="s">
        <v>1017</v>
      </c>
      <c r="C982">
        <v>2.33</v>
      </c>
      <c r="D982">
        <v>3.96</v>
      </c>
      <c r="E982" t="s">
        <v>16</v>
      </c>
      <c r="F982" t="s">
        <v>16</v>
      </c>
      <c r="H982">
        <v>-0.24</v>
      </c>
      <c r="I982">
        <v>-1.25</v>
      </c>
      <c r="J982">
        <v>-6.6</v>
      </c>
      <c r="L982">
        <v>0.78</v>
      </c>
      <c r="M982">
        <v>29.64</v>
      </c>
      <c r="N982">
        <v>0.01</v>
      </c>
      <c r="O982">
        <v>5.63</v>
      </c>
    </row>
    <row r="983" spans="1:15">
      <c r="A983" t="str">
        <f>"002482"</f>
        <v>002482</v>
      </c>
      <c r="B983" t="s">
        <v>1018</v>
      </c>
      <c r="C983">
        <v>0.73</v>
      </c>
      <c r="D983">
        <v>1.38</v>
      </c>
      <c r="E983" t="s">
        <v>16</v>
      </c>
      <c r="F983" t="s">
        <v>16</v>
      </c>
      <c r="H983">
        <v>0</v>
      </c>
      <c r="I983">
        <v>-6.12</v>
      </c>
      <c r="J983">
        <v>-6.76</v>
      </c>
      <c r="L983">
        <v>0</v>
      </c>
      <c r="M983">
        <v>74.86</v>
      </c>
      <c r="N983">
        <v>0.03</v>
      </c>
      <c r="O983">
        <v>0.61</v>
      </c>
    </row>
    <row r="984" spans="1:15">
      <c r="A984" t="str">
        <f>"002483"</f>
        <v>002483</v>
      </c>
      <c r="B984" t="s">
        <v>1019</v>
      </c>
      <c r="C984">
        <v>-1.13</v>
      </c>
      <c r="D984">
        <v>5.24</v>
      </c>
      <c r="E984" t="s">
        <v>16</v>
      </c>
      <c r="F984" t="s">
        <v>16</v>
      </c>
      <c r="H984">
        <v>0</v>
      </c>
      <c r="I984">
        <v>-10.88</v>
      </c>
      <c r="J984">
        <v>-1.5</v>
      </c>
      <c r="L984">
        <v>-0.94</v>
      </c>
      <c r="M984">
        <v>4.1</v>
      </c>
      <c r="N984">
        <v>0</v>
      </c>
      <c r="O984">
        <v>0.53</v>
      </c>
    </row>
    <row r="985" spans="1:15">
      <c r="A985" t="str">
        <f>"002484"</f>
        <v>002484</v>
      </c>
      <c r="B985" t="s">
        <v>1020</v>
      </c>
      <c r="C985">
        <v>2.98</v>
      </c>
      <c r="D985">
        <v>108.06</v>
      </c>
      <c r="E985" t="s">
        <v>16</v>
      </c>
      <c r="F985" t="s">
        <v>16</v>
      </c>
      <c r="H985">
        <v>-0.14</v>
      </c>
      <c r="I985">
        <v>12.15</v>
      </c>
      <c r="J985">
        <v>-2.75</v>
      </c>
      <c r="K985" t="s">
        <v>26</v>
      </c>
      <c r="L985">
        <v>-0.88</v>
      </c>
      <c r="M985">
        <v>9214.75</v>
      </c>
      <c r="N985">
        <v>0.17</v>
      </c>
      <c r="O985">
        <v>0.98</v>
      </c>
    </row>
    <row r="986" spans="1:15">
      <c r="A986" t="str">
        <f>"002485"</f>
        <v>002485</v>
      </c>
      <c r="B986" t="s">
        <v>1021</v>
      </c>
      <c r="C986">
        <v>4.91</v>
      </c>
      <c r="D986">
        <v>4.91</v>
      </c>
      <c r="E986">
        <v>596.86</v>
      </c>
      <c r="F986">
        <v>1</v>
      </c>
      <c r="H986">
        <v>0</v>
      </c>
      <c r="I986">
        <v>5.82</v>
      </c>
      <c r="J986">
        <v>0</v>
      </c>
      <c r="K986" t="s">
        <v>140</v>
      </c>
      <c r="L986">
        <v>0.43</v>
      </c>
      <c r="M986">
        <v>16.4</v>
      </c>
      <c r="N986">
        <v>0.03</v>
      </c>
      <c r="O986">
        <v>1.04</v>
      </c>
    </row>
    <row r="987" spans="1:15">
      <c r="A987" t="str">
        <f>"002486"</f>
        <v>002486</v>
      </c>
      <c r="B987" t="s">
        <v>1022</v>
      </c>
      <c r="C987">
        <v>6.7</v>
      </c>
      <c r="D987">
        <v>2.39</v>
      </c>
      <c r="E987" t="s">
        <v>16</v>
      </c>
      <c r="F987" t="s">
        <v>16</v>
      </c>
      <c r="H987">
        <v>-0.41</v>
      </c>
      <c r="I987">
        <v>-0.83</v>
      </c>
      <c r="J987">
        <v>-2.85</v>
      </c>
      <c r="L987">
        <v>-0.89</v>
      </c>
      <c r="M987">
        <v>52.19</v>
      </c>
      <c r="N987">
        <v>0.04</v>
      </c>
      <c r="O987">
        <v>2.76</v>
      </c>
    </row>
    <row r="988" spans="1:15">
      <c r="A988" t="str">
        <f>"002487"</f>
        <v>002487</v>
      </c>
      <c r="B988" t="s">
        <v>1023</v>
      </c>
      <c r="C988">
        <v>-3.71</v>
      </c>
      <c r="D988">
        <v>58.32</v>
      </c>
      <c r="E988" t="s">
        <v>16</v>
      </c>
      <c r="F988" t="s">
        <v>16</v>
      </c>
      <c r="H988">
        <v>-0.31</v>
      </c>
      <c r="I988">
        <v>-13.7</v>
      </c>
      <c r="J988">
        <v>-4.36</v>
      </c>
      <c r="L988">
        <v>-0.94</v>
      </c>
      <c r="M988">
        <v>342.66</v>
      </c>
      <c r="N988">
        <v>0.02</v>
      </c>
      <c r="O988">
        <v>0.68</v>
      </c>
    </row>
    <row r="989" spans="1:15">
      <c r="A989" t="str">
        <f>"002488"</f>
        <v>002488</v>
      </c>
      <c r="B989" t="s">
        <v>1024</v>
      </c>
      <c r="C989">
        <v>-1.87</v>
      </c>
      <c r="D989">
        <v>9.45</v>
      </c>
      <c r="E989" t="s">
        <v>16</v>
      </c>
      <c r="F989" t="s">
        <v>16</v>
      </c>
      <c r="H989">
        <v>-0.1</v>
      </c>
      <c r="I989">
        <v>-10.17</v>
      </c>
      <c r="J989">
        <v>-2.58</v>
      </c>
      <c r="L989">
        <v>-0.52</v>
      </c>
      <c r="M989">
        <v>55.85</v>
      </c>
      <c r="N989">
        <v>0.01</v>
      </c>
      <c r="O989">
        <v>2.41</v>
      </c>
    </row>
    <row r="990" spans="1:15">
      <c r="A990" t="str">
        <f>"002489"</f>
        <v>002489</v>
      </c>
      <c r="B990" t="s">
        <v>1025</v>
      </c>
      <c r="C990">
        <v>-5</v>
      </c>
      <c r="D990">
        <v>3.04</v>
      </c>
      <c r="E990" t="s">
        <v>16</v>
      </c>
      <c r="F990" t="s">
        <v>16</v>
      </c>
      <c r="H990">
        <v>0</v>
      </c>
      <c r="I990">
        <v>-17.84</v>
      </c>
      <c r="J990">
        <v>-4.4</v>
      </c>
      <c r="L990">
        <v>-0.62</v>
      </c>
      <c r="M990">
        <v>63.63</v>
      </c>
      <c r="N990">
        <v>0.02</v>
      </c>
      <c r="O990">
        <v>2.38</v>
      </c>
    </row>
    <row r="991" spans="1:15">
      <c r="A991" t="str">
        <f>"002490"</f>
        <v>002490</v>
      </c>
      <c r="B991" t="s">
        <v>1026</v>
      </c>
      <c r="C991">
        <v>-5.26</v>
      </c>
      <c r="D991">
        <v>7.03</v>
      </c>
      <c r="E991" t="s">
        <v>16</v>
      </c>
      <c r="F991" t="s">
        <v>16</v>
      </c>
      <c r="H991">
        <v>0</v>
      </c>
      <c r="I991">
        <v>-9.29</v>
      </c>
      <c r="J991">
        <v>-3.57</v>
      </c>
      <c r="L991">
        <v>-1.89</v>
      </c>
      <c r="M991">
        <v>307.14</v>
      </c>
      <c r="N991">
        <v>0.14</v>
      </c>
      <c r="O991">
        <v>0.99</v>
      </c>
    </row>
    <row r="992" spans="1:15">
      <c r="A992" t="str">
        <f>"002491"</f>
        <v>002491</v>
      </c>
      <c r="B992" t="s">
        <v>1027</v>
      </c>
      <c r="C992">
        <v>10</v>
      </c>
      <c r="D992">
        <v>31.58</v>
      </c>
      <c r="E992">
        <v>23235.3</v>
      </c>
      <c r="F992">
        <v>2</v>
      </c>
      <c r="H992">
        <v>0</v>
      </c>
      <c r="I992">
        <v>17.7</v>
      </c>
      <c r="J992">
        <v>0</v>
      </c>
      <c r="K992" t="s">
        <v>530</v>
      </c>
      <c r="L992">
        <v>4.53</v>
      </c>
      <c r="M992">
        <v>12399.53</v>
      </c>
      <c r="N992">
        <v>0.53</v>
      </c>
      <c r="O992">
        <v>1.08</v>
      </c>
    </row>
    <row r="993" spans="1:15">
      <c r="A993" t="str">
        <f>"002492"</f>
        <v>002492</v>
      </c>
      <c r="B993" t="s">
        <v>1028</v>
      </c>
      <c r="C993">
        <v>0</v>
      </c>
      <c r="D993">
        <v>5.63</v>
      </c>
      <c r="E993" t="s">
        <v>16</v>
      </c>
      <c r="F993" t="s">
        <v>16</v>
      </c>
      <c r="H993">
        <v>-0.7</v>
      </c>
      <c r="I993">
        <v>-5.22</v>
      </c>
      <c r="J993">
        <v>-0.88</v>
      </c>
      <c r="L993">
        <v>-0.53</v>
      </c>
      <c r="M993">
        <v>29.51</v>
      </c>
      <c r="N993">
        <v>0.02</v>
      </c>
      <c r="O993">
        <v>1.54</v>
      </c>
    </row>
    <row r="994" spans="1:15">
      <c r="A994" t="str">
        <f>"002493"</f>
        <v>002493</v>
      </c>
      <c r="B994" t="s">
        <v>1029</v>
      </c>
      <c r="C994">
        <v>-5.8</v>
      </c>
      <c r="D994">
        <v>11.21</v>
      </c>
      <c r="E994" t="s">
        <v>16</v>
      </c>
      <c r="F994" t="s">
        <v>16</v>
      </c>
      <c r="H994">
        <v>-0.26</v>
      </c>
      <c r="I994">
        <v>1.91</v>
      </c>
      <c r="J994">
        <v>-7.74</v>
      </c>
      <c r="L994">
        <v>-0.5</v>
      </c>
      <c r="M994">
        <v>220.57</v>
      </c>
      <c r="N994">
        <v>0.01</v>
      </c>
      <c r="O994">
        <v>2.17</v>
      </c>
    </row>
    <row r="995" spans="1:15">
      <c r="A995" t="str">
        <f>"002494"</f>
        <v>002494</v>
      </c>
      <c r="B995" t="s">
        <v>1030</v>
      </c>
      <c r="C995">
        <v>-0.42</v>
      </c>
      <c r="D995">
        <v>4.7</v>
      </c>
      <c r="E995" t="s">
        <v>16</v>
      </c>
      <c r="F995" t="s">
        <v>16</v>
      </c>
      <c r="H995">
        <v>0</v>
      </c>
      <c r="I995">
        <v>-7.66</v>
      </c>
      <c r="J995">
        <v>-1.05</v>
      </c>
      <c r="L995">
        <v>-0.85</v>
      </c>
      <c r="M995">
        <v>165.48</v>
      </c>
      <c r="N995">
        <v>0.14</v>
      </c>
      <c r="O995">
        <v>9.82</v>
      </c>
    </row>
    <row r="996" spans="1:15">
      <c r="A996" t="str">
        <f>"002495"</f>
        <v>002495</v>
      </c>
      <c r="B996" t="s">
        <v>1031</v>
      </c>
      <c r="C996">
        <v>-0.46</v>
      </c>
      <c r="D996">
        <v>2.18</v>
      </c>
      <c r="E996" t="s">
        <v>16</v>
      </c>
      <c r="F996" t="s">
        <v>16</v>
      </c>
      <c r="H996">
        <v>0.46</v>
      </c>
      <c r="I996">
        <v>-7.23</v>
      </c>
      <c r="J996">
        <v>-0.91</v>
      </c>
      <c r="L996">
        <v>-0.46</v>
      </c>
      <c r="M996">
        <v>40.85</v>
      </c>
      <c r="N996">
        <v>0.03</v>
      </c>
      <c r="O996">
        <v>1.43</v>
      </c>
    </row>
    <row r="997" spans="1:15">
      <c r="A997" t="str">
        <f>"002496"</f>
        <v>002496</v>
      </c>
      <c r="B997" t="s">
        <v>1032</v>
      </c>
      <c r="C997">
        <v>-5.93</v>
      </c>
      <c r="D997">
        <v>2.22</v>
      </c>
      <c r="E997" t="s">
        <v>16</v>
      </c>
      <c r="F997" t="s">
        <v>16</v>
      </c>
      <c r="H997">
        <v>0.45</v>
      </c>
      <c r="I997">
        <v>-6.72</v>
      </c>
      <c r="J997">
        <v>-11.55</v>
      </c>
      <c r="K997" t="s">
        <v>57</v>
      </c>
      <c r="L997">
        <v>2.97</v>
      </c>
      <c r="M997">
        <v>1101.64</v>
      </c>
      <c r="N997">
        <v>0.42</v>
      </c>
      <c r="O997">
        <v>36.89</v>
      </c>
    </row>
    <row r="998" spans="1:15">
      <c r="A998" t="str">
        <f>"002497"</f>
        <v>002497</v>
      </c>
      <c r="B998" t="s">
        <v>1033</v>
      </c>
      <c r="C998">
        <v>-3.27</v>
      </c>
      <c r="D998">
        <v>22.18</v>
      </c>
      <c r="E998" t="s">
        <v>16</v>
      </c>
      <c r="F998" t="s">
        <v>16</v>
      </c>
      <c r="H998">
        <v>0</v>
      </c>
      <c r="I998">
        <v>4.87</v>
      </c>
      <c r="J998">
        <v>-3.57</v>
      </c>
      <c r="L998">
        <v>-0.78</v>
      </c>
      <c r="M998">
        <v>206.34</v>
      </c>
      <c r="N998">
        <v>0.01</v>
      </c>
      <c r="O998">
        <v>0.59</v>
      </c>
    </row>
    <row r="999" spans="1:15">
      <c r="A999" t="str">
        <f>"002498"</f>
        <v>002498</v>
      </c>
      <c r="B999" t="s">
        <v>1034</v>
      </c>
      <c r="C999">
        <v>-1.85</v>
      </c>
      <c r="D999">
        <v>7.43</v>
      </c>
      <c r="E999" t="s">
        <v>16</v>
      </c>
      <c r="F999" t="s">
        <v>16</v>
      </c>
      <c r="H999">
        <v>-0.12</v>
      </c>
      <c r="I999">
        <v>-9.28</v>
      </c>
      <c r="J999">
        <v>-1.72</v>
      </c>
      <c r="L999">
        <v>-0.92</v>
      </c>
      <c r="M999">
        <v>109.35</v>
      </c>
      <c r="N999">
        <v>0.01</v>
      </c>
      <c r="O999">
        <v>0.57</v>
      </c>
    </row>
    <row r="1000" spans="1:15">
      <c r="A1000" t="str">
        <f>"002500"</f>
        <v>002500</v>
      </c>
      <c r="B1000" t="s">
        <v>1035</v>
      </c>
      <c r="C1000">
        <v>-2.87</v>
      </c>
      <c r="D1000">
        <v>5.08</v>
      </c>
      <c r="E1000" t="s">
        <v>16</v>
      </c>
      <c r="F1000" t="s">
        <v>16</v>
      </c>
      <c r="H1000">
        <v>0.4</v>
      </c>
      <c r="I1000">
        <v>0.4</v>
      </c>
      <c r="J1000">
        <v>-2.87</v>
      </c>
      <c r="L1000">
        <v>-0.38</v>
      </c>
      <c r="M1000">
        <v>55.71</v>
      </c>
      <c r="N1000">
        <v>0.01</v>
      </c>
      <c r="O1000">
        <v>1.95</v>
      </c>
    </row>
    <row r="1001" spans="1:15">
      <c r="A1001" t="str">
        <f>"002501"</f>
        <v>002501</v>
      </c>
      <c r="B1001" t="s">
        <v>1036</v>
      </c>
      <c r="C1001">
        <v>-3.47</v>
      </c>
      <c r="D1001">
        <v>1.39</v>
      </c>
      <c r="E1001" t="s">
        <v>16</v>
      </c>
      <c r="F1001" t="s">
        <v>16</v>
      </c>
      <c r="H1001">
        <v>-0.7</v>
      </c>
      <c r="I1001">
        <v>-16.27</v>
      </c>
      <c r="J1001">
        <v>-4.14</v>
      </c>
      <c r="L1001">
        <v>-0.69</v>
      </c>
      <c r="M1001">
        <v>59.07</v>
      </c>
      <c r="N1001">
        <v>0.02</v>
      </c>
      <c r="O1001">
        <v>3.63</v>
      </c>
    </row>
    <row r="1002" spans="1:15">
      <c r="A1002" t="str">
        <f>"002506"</f>
        <v>002506</v>
      </c>
      <c r="B1002" t="s">
        <v>1037</v>
      </c>
      <c r="C1002">
        <v>-4.36</v>
      </c>
      <c r="D1002">
        <v>3.07</v>
      </c>
      <c r="E1002" t="s">
        <v>16</v>
      </c>
      <c r="F1002" t="s">
        <v>16</v>
      </c>
      <c r="H1002">
        <v>-0.31</v>
      </c>
      <c r="I1002">
        <v>-12.03</v>
      </c>
      <c r="J1002">
        <v>-3.15</v>
      </c>
      <c r="L1002">
        <v>-1.56</v>
      </c>
      <c r="M1002">
        <v>496.88</v>
      </c>
      <c r="N1002">
        <v>0.04</v>
      </c>
      <c r="O1002">
        <v>0.62</v>
      </c>
    </row>
    <row r="1003" spans="1:15">
      <c r="A1003" t="str">
        <f>"002507"</f>
        <v>002507</v>
      </c>
      <c r="B1003" t="s">
        <v>1038</v>
      </c>
      <c r="C1003">
        <v>-1.21</v>
      </c>
      <c r="D1003">
        <v>11.41</v>
      </c>
      <c r="E1003" t="s">
        <v>16</v>
      </c>
      <c r="F1003" t="s">
        <v>16</v>
      </c>
      <c r="H1003">
        <v>0.09</v>
      </c>
      <c r="I1003">
        <v>-0.52</v>
      </c>
      <c r="J1003">
        <v>-1.21</v>
      </c>
      <c r="L1003">
        <v>0</v>
      </c>
      <c r="M1003">
        <v>10.86</v>
      </c>
      <c r="N1003">
        <v>0</v>
      </c>
      <c r="O1003">
        <v>1.77</v>
      </c>
    </row>
    <row r="1004" spans="1:15">
      <c r="A1004" t="str">
        <f>"002508"</f>
        <v>002508</v>
      </c>
      <c r="B1004" t="s">
        <v>1039</v>
      </c>
      <c r="C1004">
        <v>-0.64</v>
      </c>
      <c r="D1004">
        <v>15.52</v>
      </c>
      <c r="E1004" t="s">
        <v>16</v>
      </c>
      <c r="F1004" t="s">
        <v>16</v>
      </c>
      <c r="H1004">
        <v>-0.25</v>
      </c>
      <c r="I1004">
        <v>-3.9</v>
      </c>
      <c r="J1004">
        <v>-0.89</v>
      </c>
      <c r="L1004">
        <v>-0.06</v>
      </c>
      <c r="M1004">
        <v>10.15</v>
      </c>
      <c r="N1004">
        <v>0</v>
      </c>
      <c r="O1004">
        <v>0.6</v>
      </c>
    </row>
    <row r="1005" spans="1:15">
      <c r="A1005" t="str">
        <f>"002510"</f>
        <v>002510</v>
      </c>
      <c r="B1005" t="s">
        <v>1040</v>
      </c>
      <c r="C1005">
        <v>1.15</v>
      </c>
      <c r="D1005">
        <v>6.18</v>
      </c>
      <c r="E1005" t="s">
        <v>16</v>
      </c>
      <c r="F1005" t="s">
        <v>16</v>
      </c>
      <c r="H1005">
        <v>-0.31</v>
      </c>
      <c r="I1005">
        <v>0</v>
      </c>
      <c r="J1005">
        <v>-1.9</v>
      </c>
      <c r="L1005">
        <v>-0.82</v>
      </c>
      <c r="M1005">
        <v>27.51</v>
      </c>
      <c r="N1005">
        <v>0.01</v>
      </c>
      <c r="O1005">
        <v>0.56</v>
      </c>
    </row>
    <row r="1006" spans="1:15">
      <c r="A1006" t="str">
        <f>"002511"</f>
        <v>002511</v>
      </c>
      <c r="B1006" t="s">
        <v>1041</v>
      </c>
      <c r="C1006">
        <v>-0.58</v>
      </c>
      <c r="D1006">
        <v>6.83</v>
      </c>
      <c r="E1006" t="s">
        <v>16</v>
      </c>
      <c r="F1006" t="s">
        <v>16</v>
      </c>
      <c r="H1006">
        <v>-0.14</v>
      </c>
      <c r="I1006">
        <v>-2.71</v>
      </c>
      <c r="J1006">
        <v>-1.44</v>
      </c>
      <c r="L1006">
        <v>0.15</v>
      </c>
      <c r="M1006">
        <v>5.78</v>
      </c>
      <c r="N1006">
        <v>0</v>
      </c>
      <c r="O1006">
        <v>0.43</v>
      </c>
    </row>
    <row r="1007" spans="1:15">
      <c r="A1007" t="str">
        <f>"002512"</f>
        <v>002512</v>
      </c>
      <c r="B1007" t="s">
        <v>1042</v>
      </c>
      <c r="C1007">
        <v>-3.17</v>
      </c>
      <c r="D1007">
        <v>3.97</v>
      </c>
      <c r="E1007" t="s">
        <v>16</v>
      </c>
      <c r="F1007" t="s">
        <v>16</v>
      </c>
      <c r="H1007">
        <v>-0.49</v>
      </c>
      <c r="I1007">
        <v>-7.67</v>
      </c>
      <c r="J1007">
        <v>-3.64</v>
      </c>
      <c r="L1007">
        <v>-0.98</v>
      </c>
      <c r="M1007">
        <v>155.54</v>
      </c>
      <c r="N1007">
        <v>0.05</v>
      </c>
      <c r="O1007">
        <v>0.55</v>
      </c>
    </row>
    <row r="1008" spans="1:15">
      <c r="A1008" t="str">
        <f>"002513"</f>
        <v>002513</v>
      </c>
      <c r="B1008" t="s">
        <v>1043</v>
      </c>
      <c r="C1008">
        <v>-0.77</v>
      </c>
      <c r="D1008">
        <v>5.16</v>
      </c>
      <c r="E1008" t="s">
        <v>16</v>
      </c>
      <c r="F1008" t="s">
        <v>16</v>
      </c>
      <c r="H1008">
        <v>0.19</v>
      </c>
      <c r="I1008">
        <v>-6.52</v>
      </c>
      <c r="J1008">
        <v>-0.96</v>
      </c>
      <c r="L1008">
        <v>-0.96</v>
      </c>
      <c r="M1008">
        <v>65.61</v>
      </c>
      <c r="N1008">
        <v>0.06</v>
      </c>
      <c r="O1008">
        <v>1.99</v>
      </c>
    </row>
    <row r="1009" spans="1:15">
      <c r="A1009" t="str">
        <f>"002514"</f>
        <v>002514</v>
      </c>
      <c r="B1009" t="s">
        <v>1044</v>
      </c>
      <c r="C1009">
        <v>-4.92</v>
      </c>
      <c r="D1009">
        <v>2.9</v>
      </c>
      <c r="E1009" t="s">
        <v>16</v>
      </c>
      <c r="F1009" t="s">
        <v>16</v>
      </c>
      <c r="H1009">
        <v>0</v>
      </c>
      <c r="I1009">
        <v>-30.12</v>
      </c>
      <c r="J1009">
        <v>-4.92</v>
      </c>
      <c r="K1009" t="s">
        <v>26</v>
      </c>
      <c r="L1009">
        <v>-1.31</v>
      </c>
      <c r="M1009">
        <v>700.07</v>
      </c>
      <c r="N1009">
        <v>0.53</v>
      </c>
      <c r="O1009">
        <v>0.64</v>
      </c>
    </row>
    <row r="1010" spans="1:15">
      <c r="A1010" t="str">
        <f>"002515"</f>
        <v>002515</v>
      </c>
      <c r="B1010" t="s">
        <v>1045</v>
      </c>
      <c r="C1010">
        <v>1.69</v>
      </c>
      <c r="D1010">
        <v>9.63</v>
      </c>
      <c r="E1010" t="s">
        <v>16</v>
      </c>
      <c r="F1010" t="s">
        <v>16</v>
      </c>
      <c r="H1010">
        <v>0</v>
      </c>
      <c r="I1010">
        <v>39.16</v>
      </c>
      <c r="J1010">
        <v>-0.52</v>
      </c>
      <c r="K1010" t="s">
        <v>38</v>
      </c>
      <c r="L1010">
        <v>-4.86</v>
      </c>
      <c r="M1010">
        <v>1840.56</v>
      </c>
      <c r="N1010">
        <v>0.21</v>
      </c>
      <c r="O1010">
        <v>0.54</v>
      </c>
    </row>
    <row r="1011" spans="1:15">
      <c r="A1011" t="str">
        <f>"002516"</f>
        <v>002516</v>
      </c>
      <c r="B1011" t="s">
        <v>1046</v>
      </c>
      <c r="C1011">
        <v>-0.33</v>
      </c>
      <c r="D1011">
        <v>6.08</v>
      </c>
      <c r="E1011" t="s">
        <v>16</v>
      </c>
      <c r="F1011" t="s">
        <v>16</v>
      </c>
      <c r="H1011">
        <v>0.16</v>
      </c>
      <c r="I1011">
        <v>2.7</v>
      </c>
      <c r="J1011">
        <v>-3.49</v>
      </c>
      <c r="L1011">
        <v>-0.49</v>
      </c>
      <c r="M1011">
        <v>116.24</v>
      </c>
      <c r="N1011">
        <v>0.03</v>
      </c>
      <c r="O1011">
        <v>3.85</v>
      </c>
    </row>
    <row r="1012" spans="1:15">
      <c r="A1012" t="str">
        <f>"002517"</f>
        <v>002517</v>
      </c>
      <c r="B1012" t="s">
        <v>1047</v>
      </c>
      <c r="C1012">
        <v>-0.55</v>
      </c>
      <c r="D1012">
        <v>14.5</v>
      </c>
      <c r="E1012" t="s">
        <v>16</v>
      </c>
      <c r="F1012" t="s">
        <v>16</v>
      </c>
      <c r="H1012">
        <v>-0.33</v>
      </c>
      <c r="I1012">
        <v>-4.16</v>
      </c>
      <c r="J1012">
        <v>-3.2</v>
      </c>
      <c r="L1012">
        <v>-0.14</v>
      </c>
      <c r="M1012">
        <v>95.95</v>
      </c>
      <c r="N1012">
        <v>0</v>
      </c>
      <c r="O1012">
        <v>0.85</v>
      </c>
    </row>
    <row r="1013" spans="1:15">
      <c r="A1013" t="str">
        <f>"002518"</f>
        <v>002518</v>
      </c>
      <c r="B1013" t="s">
        <v>1048</v>
      </c>
      <c r="C1013">
        <v>0</v>
      </c>
      <c r="D1013">
        <v>52.18</v>
      </c>
      <c r="E1013" t="s">
        <v>16</v>
      </c>
      <c r="F1013" t="s">
        <v>16</v>
      </c>
      <c r="H1013">
        <v>0</v>
      </c>
      <c r="I1013">
        <v>1.85</v>
      </c>
      <c r="J1013">
        <v>-0.8</v>
      </c>
      <c r="L1013">
        <v>-0.21</v>
      </c>
      <c r="M1013">
        <v>403.54</v>
      </c>
      <c r="N1013">
        <v>0.03</v>
      </c>
      <c r="O1013">
        <v>1.51</v>
      </c>
    </row>
    <row r="1014" spans="1:15">
      <c r="A1014" t="str">
        <f>"002519"</f>
        <v>002519</v>
      </c>
      <c r="B1014" t="s">
        <v>1049</v>
      </c>
      <c r="C1014">
        <v>-1.1</v>
      </c>
      <c r="D1014">
        <v>6.27</v>
      </c>
      <c r="E1014" t="s">
        <v>16</v>
      </c>
      <c r="F1014" t="s">
        <v>16</v>
      </c>
      <c r="H1014">
        <v>-0.15</v>
      </c>
      <c r="I1014">
        <v>-2.94</v>
      </c>
      <c r="J1014">
        <v>-2.18</v>
      </c>
      <c r="L1014">
        <v>-0.47</v>
      </c>
      <c r="M1014">
        <v>35.59</v>
      </c>
      <c r="N1014">
        <v>0.01</v>
      </c>
      <c r="O1014">
        <v>0.54</v>
      </c>
    </row>
    <row r="1015" spans="1:15">
      <c r="A1015" t="str">
        <f>"002520"</f>
        <v>002520</v>
      </c>
      <c r="B1015" t="s">
        <v>1050</v>
      </c>
      <c r="C1015">
        <v>1.31</v>
      </c>
      <c r="D1015">
        <v>6.98</v>
      </c>
      <c r="E1015" t="s">
        <v>16</v>
      </c>
      <c r="F1015" t="s">
        <v>16</v>
      </c>
      <c r="H1015">
        <v>-0.13</v>
      </c>
      <c r="I1015">
        <v>11.5</v>
      </c>
      <c r="J1015">
        <v>-0.99</v>
      </c>
      <c r="L1015">
        <v>-0.44</v>
      </c>
      <c r="M1015">
        <v>51.38</v>
      </c>
      <c r="N1015">
        <v>0.01</v>
      </c>
      <c r="O1015">
        <v>0.35</v>
      </c>
    </row>
    <row r="1016" spans="1:15">
      <c r="A1016" t="str">
        <f>"002521"</f>
        <v>002521</v>
      </c>
      <c r="B1016" t="s">
        <v>1051</v>
      </c>
      <c r="C1016">
        <v>-2</v>
      </c>
      <c r="D1016">
        <v>6.87</v>
      </c>
      <c r="E1016" t="s">
        <v>16</v>
      </c>
      <c r="F1016" t="s">
        <v>16</v>
      </c>
      <c r="H1016">
        <v>0</v>
      </c>
      <c r="I1016">
        <v>-7.79</v>
      </c>
      <c r="J1016">
        <v>-2.41</v>
      </c>
      <c r="L1016">
        <v>-0.57</v>
      </c>
      <c r="M1016">
        <v>20.28</v>
      </c>
      <c r="N1016">
        <v>0.01</v>
      </c>
      <c r="O1016">
        <v>1.46</v>
      </c>
    </row>
    <row r="1017" spans="1:15">
      <c r="A1017" t="str">
        <f>"002522"</f>
        <v>002522</v>
      </c>
      <c r="B1017" t="s">
        <v>1052</v>
      </c>
      <c r="C1017">
        <v>-2.77</v>
      </c>
      <c r="D1017">
        <v>7.02</v>
      </c>
      <c r="E1017" t="s">
        <v>16</v>
      </c>
      <c r="F1017" t="s">
        <v>16</v>
      </c>
      <c r="H1017">
        <v>0</v>
      </c>
      <c r="I1017">
        <v>-0.85</v>
      </c>
      <c r="J1017">
        <v>-2.36</v>
      </c>
      <c r="L1017">
        <v>-0.42</v>
      </c>
      <c r="M1017">
        <v>105.62</v>
      </c>
      <c r="N1017">
        <v>0.02</v>
      </c>
      <c r="O1017">
        <v>0.23</v>
      </c>
    </row>
    <row r="1018" spans="1:15">
      <c r="A1018" t="str">
        <f>"002523"</f>
        <v>002523</v>
      </c>
      <c r="B1018" t="s">
        <v>1053</v>
      </c>
      <c r="C1018">
        <v>1.87</v>
      </c>
      <c r="D1018">
        <v>3.26</v>
      </c>
      <c r="E1018" t="s">
        <v>16</v>
      </c>
      <c r="F1018" t="s">
        <v>16</v>
      </c>
      <c r="H1018">
        <v>-0.3</v>
      </c>
      <c r="I1018">
        <v>-6.59</v>
      </c>
      <c r="J1018">
        <v>-2.4</v>
      </c>
      <c r="L1018">
        <v>0</v>
      </c>
      <c r="M1018">
        <v>6.66</v>
      </c>
      <c r="N1018">
        <v>0</v>
      </c>
      <c r="O1018">
        <v>1.89</v>
      </c>
    </row>
    <row r="1019" spans="1:15">
      <c r="A1019" t="str">
        <f>"002524"</f>
        <v>002524</v>
      </c>
      <c r="B1019" t="s">
        <v>1054</v>
      </c>
      <c r="C1019">
        <v>0</v>
      </c>
      <c r="D1019">
        <v>3.4</v>
      </c>
      <c r="E1019" t="s">
        <v>16</v>
      </c>
      <c r="F1019" t="s">
        <v>16</v>
      </c>
      <c r="H1019">
        <v>0.3</v>
      </c>
      <c r="I1019">
        <v>-8.36</v>
      </c>
      <c r="J1019">
        <v>-1.45</v>
      </c>
      <c r="L1019">
        <v>0</v>
      </c>
      <c r="M1019">
        <v>43.89</v>
      </c>
      <c r="N1019">
        <v>0.03</v>
      </c>
      <c r="O1019">
        <v>2.08</v>
      </c>
    </row>
    <row r="1020" spans="1:15">
      <c r="A1020" t="str">
        <f>"002526"</f>
        <v>002526</v>
      </c>
      <c r="B1020" t="s">
        <v>1055</v>
      </c>
      <c r="C1020">
        <v>-2.82</v>
      </c>
      <c r="D1020">
        <v>2.76</v>
      </c>
      <c r="E1020" t="s">
        <v>16</v>
      </c>
      <c r="F1020" t="s">
        <v>16</v>
      </c>
      <c r="H1020">
        <v>0.36</v>
      </c>
      <c r="I1020">
        <v>-7.38</v>
      </c>
      <c r="J1020">
        <v>-2.47</v>
      </c>
      <c r="L1020">
        <v>-0.7</v>
      </c>
      <c r="M1020">
        <v>14.52</v>
      </c>
      <c r="N1020">
        <v>0</v>
      </c>
      <c r="O1020">
        <v>1.08</v>
      </c>
    </row>
    <row r="1021" spans="1:15">
      <c r="A1021" t="str">
        <f>"002527"</f>
        <v>002527</v>
      </c>
      <c r="B1021" t="s">
        <v>1056</v>
      </c>
      <c r="C1021">
        <v>5.93</v>
      </c>
      <c r="D1021">
        <v>14.65</v>
      </c>
      <c r="E1021" t="s">
        <v>16</v>
      </c>
      <c r="F1021" t="s">
        <v>16</v>
      </c>
      <c r="H1021">
        <v>0.14</v>
      </c>
      <c r="I1021">
        <v>-1.61</v>
      </c>
      <c r="J1021">
        <v>-3.62</v>
      </c>
      <c r="L1021">
        <v>-0.29</v>
      </c>
      <c r="M1021">
        <v>124.8</v>
      </c>
      <c r="N1021">
        <v>0.02</v>
      </c>
      <c r="O1021">
        <v>1.34</v>
      </c>
    </row>
    <row r="1022" spans="1:15">
      <c r="A1022" t="str">
        <f>"002528"</f>
        <v>002528</v>
      </c>
      <c r="B1022" t="s">
        <v>1057</v>
      </c>
      <c r="C1022">
        <v>0.86</v>
      </c>
      <c r="D1022">
        <v>4.71</v>
      </c>
      <c r="E1022" t="s">
        <v>16</v>
      </c>
      <c r="F1022" t="s">
        <v>16</v>
      </c>
      <c r="H1022">
        <v>0</v>
      </c>
      <c r="I1022">
        <v>-1.88</v>
      </c>
      <c r="J1022">
        <v>-1.88</v>
      </c>
      <c r="L1022">
        <v>-1.71</v>
      </c>
      <c r="M1022">
        <v>25.47</v>
      </c>
      <c r="N1022">
        <v>0.01</v>
      </c>
      <c r="O1022">
        <v>3.05</v>
      </c>
    </row>
    <row r="1023" spans="1:15">
      <c r="A1023" t="str">
        <f>"002529"</f>
        <v>002529</v>
      </c>
      <c r="B1023" t="s">
        <v>1058</v>
      </c>
      <c r="C1023">
        <v>-5.58</v>
      </c>
      <c r="D1023">
        <v>7.78</v>
      </c>
      <c r="E1023" t="s">
        <v>16</v>
      </c>
      <c r="F1023" t="s">
        <v>16</v>
      </c>
      <c r="H1023">
        <v>-0.5</v>
      </c>
      <c r="I1023">
        <v>0.52</v>
      </c>
      <c r="J1023">
        <v>-6.83</v>
      </c>
      <c r="L1023">
        <v>-0.85</v>
      </c>
      <c r="M1023">
        <v>42.48</v>
      </c>
      <c r="N1023">
        <v>0.02</v>
      </c>
      <c r="O1023">
        <v>0.22</v>
      </c>
    </row>
    <row r="1024" spans="1:15">
      <c r="A1024" t="str">
        <f>"002530"</f>
        <v>002530</v>
      </c>
      <c r="B1024" t="s">
        <v>1059</v>
      </c>
      <c r="C1024">
        <v>-1.77</v>
      </c>
      <c r="D1024">
        <v>7.22</v>
      </c>
      <c r="E1024" t="s">
        <v>16</v>
      </c>
      <c r="F1024" t="s">
        <v>16</v>
      </c>
      <c r="H1024">
        <v>0</v>
      </c>
      <c r="I1024">
        <v>-5.99</v>
      </c>
      <c r="J1024">
        <v>-2.83</v>
      </c>
      <c r="L1024">
        <v>-0.14</v>
      </c>
      <c r="M1024">
        <v>35.31</v>
      </c>
      <c r="N1024">
        <v>0.01</v>
      </c>
      <c r="O1024">
        <v>1.12</v>
      </c>
    </row>
    <row r="1025" spans="1:15">
      <c r="A1025" t="str">
        <f>"002531"</f>
        <v>002531</v>
      </c>
      <c r="B1025" t="s">
        <v>1060</v>
      </c>
      <c r="C1025">
        <v>-1.41</v>
      </c>
      <c r="D1025">
        <v>9.07</v>
      </c>
      <c r="E1025" t="s">
        <v>16</v>
      </c>
      <c r="F1025" t="s">
        <v>16</v>
      </c>
      <c r="H1025">
        <v>0</v>
      </c>
      <c r="I1025">
        <v>-9.21</v>
      </c>
      <c r="J1025">
        <v>-2.68</v>
      </c>
      <c r="L1025">
        <v>-0.43</v>
      </c>
      <c r="M1025">
        <v>59.27</v>
      </c>
      <c r="N1025">
        <v>0.01</v>
      </c>
      <c r="O1025">
        <v>1.11</v>
      </c>
    </row>
    <row r="1026" spans="1:15">
      <c r="A1026" t="str">
        <f>"002532"</f>
        <v>002532</v>
      </c>
      <c r="B1026" t="s">
        <v>1061</v>
      </c>
      <c r="C1026">
        <v>-3.98</v>
      </c>
      <c r="D1026">
        <v>12.05</v>
      </c>
      <c r="E1026" t="s">
        <v>16</v>
      </c>
      <c r="F1026" t="s">
        <v>16</v>
      </c>
      <c r="H1026">
        <v>-0.16</v>
      </c>
      <c r="I1026">
        <v>-16.03</v>
      </c>
      <c r="J1026">
        <v>-4.29</v>
      </c>
      <c r="L1026">
        <v>-0.72</v>
      </c>
      <c r="M1026">
        <v>596.04</v>
      </c>
      <c r="N1026">
        <v>0.02</v>
      </c>
      <c r="O1026">
        <v>0.83</v>
      </c>
    </row>
    <row r="1027" spans="1:15">
      <c r="A1027" t="str">
        <f>"002533"</f>
        <v>002533</v>
      </c>
      <c r="B1027" t="s">
        <v>1062</v>
      </c>
      <c r="C1027">
        <v>-1.23</v>
      </c>
      <c r="D1027">
        <v>11.24</v>
      </c>
      <c r="E1027" t="s">
        <v>16</v>
      </c>
      <c r="F1027" t="s">
        <v>16</v>
      </c>
      <c r="H1027">
        <v>-0.08</v>
      </c>
      <c r="I1027">
        <v>-7.34</v>
      </c>
      <c r="J1027">
        <v>-2.09</v>
      </c>
      <c r="L1027">
        <v>0.18</v>
      </c>
      <c r="M1027">
        <v>45.37</v>
      </c>
      <c r="N1027">
        <v>0.01</v>
      </c>
      <c r="O1027">
        <v>2.53</v>
      </c>
    </row>
    <row r="1028" spans="1:15">
      <c r="A1028" t="str">
        <f>"002534"</f>
        <v>002534</v>
      </c>
      <c r="B1028" t="s">
        <v>1063</v>
      </c>
      <c r="C1028">
        <v>1.45</v>
      </c>
      <c r="D1028">
        <v>21.71</v>
      </c>
      <c r="E1028" t="s">
        <v>16</v>
      </c>
      <c r="F1028" t="s">
        <v>16</v>
      </c>
      <c r="H1028">
        <v>-0.17</v>
      </c>
      <c r="I1028">
        <v>8.39</v>
      </c>
      <c r="J1028">
        <v>-0.41</v>
      </c>
      <c r="L1028">
        <v>0</v>
      </c>
      <c r="M1028">
        <v>126.9</v>
      </c>
      <c r="N1028">
        <v>0.02</v>
      </c>
      <c r="O1028">
        <v>1.46</v>
      </c>
    </row>
    <row r="1029" spans="1:15">
      <c r="A1029" t="str">
        <f>"002535"</f>
        <v>002535</v>
      </c>
      <c r="B1029" t="s">
        <v>1064</v>
      </c>
      <c r="C1029">
        <v>-0.84</v>
      </c>
      <c r="D1029">
        <v>2.35</v>
      </c>
      <c r="E1029" t="s">
        <v>16</v>
      </c>
      <c r="F1029" t="s">
        <v>16</v>
      </c>
      <c r="H1029">
        <v>-0.41</v>
      </c>
      <c r="I1029">
        <v>-9.62</v>
      </c>
      <c r="J1029">
        <v>-0.84</v>
      </c>
      <c r="L1029">
        <v>-0.84</v>
      </c>
      <c r="M1029">
        <v>32.36</v>
      </c>
      <c r="N1029">
        <v>0.03</v>
      </c>
      <c r="O1029">
        <v>0.64</v>
      </c>
    </row>
    <row r="1030" spans="1:15">
      <c r="A1030" t="str">
        <f>"002536"</f>
        <v>002536</v>
      </c>
      <c r="B1030" t="s">
        <v>1065</v>
      </c>
      <c r="C1030">
        <v>2.88</v>
      </c>
      <c r="D1030">
        <v>45.71</v>
      </c>
      <c r="E1030" t="s">
        <v>16</v>
      </c>
      <c r="F1030" t="s">
        <v>16</v>
      </c>
      <c r="H1030">
        <v>0.26</v>
      </c>
      <c r="I1030">
        <v>11.22</v>
      </c>
      <c r="J1030">
        <v>-2.39</v>
      </c>
      <c r="L1030">
        <v>0.95</v>
      </c>
      <c r="M1030">
        <v>459.26</v>
      </c>
      <c r="N1030">
        <v>0.03</v>
      </c>
      <c r="O1030">
        <v>1.1</v>
      </c>
    </row>
    <row r="1031" spans="1:15">
      <c r="A1031" t="str">
        <f>"002537"</f>
        <v>002537</v>
      </c>
      <c r="B1031" t="s">
        <v>1066</v>
      </c>
      <c r="C1031">
        <v>-2.52</v>
      </c>
      <c r="D1031">
        <v>5.8</v>
      </c>
      <c r="E1031" t="s">
        <v>16</v>
      </c>
      <c r="F1031" t="s">
        <v>16</v>
      </c>
      <c r="H1031">
        <v>-0.16</v>
      </c>
      <c r="I1031">
        <v>-5.07</v>
      </c>
      <c r="J1031">
        <v>-2.36</v>
      </c>
      <c r="L1031">
        <v>-0.84</v>
      </c>
      <c r="M1031">
        <v>310.52</v>
      </c>
      <c r="N1031">
        <v>0.06</v>
      </c>
      <c r="O1031">
        <v>3.76</v>
      </c>
    </row>
    <row r="1032" spans="1:15">
      <c r="A1032" t="str">
        <f>"002538"</f>
        <v>002538</v>
      </c>
      <c r="B1032" t="s">
        <v>1067</v>
      </c>
      <c r="C1032">
        <v>-3.42</v>
      </c>
      <c r="D1032">
        <v>5.64</v>
      </c>
      <c r="E1032" t="s">
        <v>16</v>
      </c>
      <c r="F1032" t="s">
        <v>16</v>
      </c>
      <c r="H1032">
        <v>-0.52</v>
      </c>
      <c r="I1032">
        <v>-7.08</v>
      </c>
      <c r="J1032">
        <v>-3.59</v>
      </c>
      <c r="L1032">
        <v>-0.68</v>
      </c>
      <c r="M1032">
        <v>95.76</v>
      </c>
      <c r="N1032">
        <v>0.03</v>
      </c>
      <c r="O1032">
        <v>2.67</v>
      </c>
    </row>
    <row r="1033" spans="1:15">
      <c r="A1033" t="str">
        <f>"002539"</f>
        <v>002539</v>
      </c>
      <c r="B1033" t="s">
        <v>1068</v>
      </c>
      <c r="C1033">
        <v>-3.78</v>
      </c>
      <c r="D1033">
        <v>11.45</v>
      </c>
      <c r="E1033" t="s">
        <v>16</v>
      </c>
      <c r="F1033" t="s">
        <v>16</v>
      </c>
      <c r="H1033">
        <v>0.18</v>
      </c>
      <c r="I1033">
        <v>-4.02</v>
      </c>
      <c r="J1033">
        <v>-4.66</v>
      </c>
      <c r="L1033">
        <v>-1.09</v>
      </c>
      <c r="M1033">
        <v>155.25</v>
      </c>
      <c r="N1033">
        <v>0.02</v>
      </c>
      <c r="O1033">
        <v>2.74</v>
      </c>
    </row>
    <row r="1034" spans="1:15">
      <c r="A1034" t="str">
        <f>"002540"</f>
        <v>002540</v>
      </c>
      <c r="B1034" t="s">
        <v>1069</v>
      </c>
      <c r="C1034">
        <v>0.79</v>
      </c>
      <c r="D1034">
        <v>5.08</v>
      </c>
      <c r="E1034" t="s">
        <v>16</v>
      </c>
      <c r="F1034" t="s">
        <v>16</v>
      </c>
      <c r="H1034">
        <v>0</v>
      </c>
      <c r="I1034">
        <v>-4.15</v>
      </c>
      <c r="J1034">
        <v>-0.59</v>
      </c>
      <c r="L1034">
        <v>0</v>
      </c>
      <c r="M1034">
        <v>8.27</v>
      </c>
      <c r="N1034">
        <v>0</v>
      </c>
      <c r="O1034">
        <v>2.93</v>
      </c>
    </row>
    <row r="1035" spans="1:15">
      <c r="A1035" t="str">
        <f>"002541"</f>
        <v>002541</v>
      </c>
      <c r="B1035" t="s">
        <v>1070</v>
      </c>
      <c r="C1035">
        <v>0</v>
      </c>
      <c r="D1035">
        <v>16.6</v>
      </c>
      <c r="E1035" t="s">
        <v>16</v>
      </c>
      <c r="F1035" t="s">
        <v>16</v>
      </c>
      <c r="H1035">
        <v>0.12</v>
      </c>
      <c r="I1035">
        <v>-14.87</v>
      </c>
      <c r="J1035">
        <v>-1.72</v>
      </c>
      <c r="L1035">
        <v>-0.6</v>
      </c>
      <c r="M1035">
        <v>17.49</v>
      </c>
      <c r="N1035">
        <v>0</v>
      </c>
      <c r="O1035">
        <v>0.41</v>
      </c>
    </row>
    <row r="1036" spans="1:15">
      <c r="A1036" t="str">
        <f>"002542"</f>
        <v>002542</v>
      </c>
      <c r="B1036" t="s">
        <v>1071</v>
      </c>
      <c r="C1036">
        <v>-4.76</v>
      </c>
      <c r="D1036">
        <v>1.4</v>
      </c>
      <c r="E1036" t="s">
        <v>16</v>
      </c>
      <c r="F1036" t="s">
        <v>16</v>
      </c>
      <c r="H1036">
        <v>-0.7</v>
      </c>
      <c r="I1036">
        <v>-11.95</v>
      </c>
      <c r="J1036">
        <v>-5.41</v>
      </c>
      <c r="L1036">
        <v>0.68</v>
      </c>
      <c r="M1036">
        <v>25.84</v>
      </c>
      <c r="N1036">
        <v>0.02</v>
      </c>
      <c r="O1036">
        <v>0.27</v>
      </c>
    </row>
    <row r="1037" spans="1:15">
      <c r="A1037" t="str">
        <f>"002543"</f>
        <v>002543</v>
      </c>
      <c r="B1037" t="s">
        <v>1072</v>
      </c>
      <c r="C1037">
        <v>-1.51</v>
      </c>
      <c r="D1037">
        <v>6.51</v>
      </c>
      <c r="E1037" t="s">
        <v>16</v>
      </c>
      <c r="F1037" t="s">
        <v>16</v>
      </c>
      <c r="H1037">
        <v>-0.14</v>
      </c>
      <c r="I1037">
        <v>-6.73</v>
      </c>
      <c r="J1037">
        <v>-1.51</v>
      </c>
      <c r="L1037">
        <v>0</v>
      </c>
      <c r="M1037">
        <v>4.77</v>
      </c>
      <c r="N1037">
        <v>0</v>
      </c>
      <c r="O1037">
        <v>1.24</v>
      </c>
    </row>
    <row r="1038" spans="1:15">
      <c r="A1038" t="str">
        <f>"002544"</f>
        <v>002544</v>
      </c>
      <c r="B1038" t="s">
        <v>1073</v>
      </c>
      <c r="C1038">
        <v>-2.01</v>
      </c>
      <c r="D1038">
        <v>19.53</v>
      </c>
      <c r="E1038" t="s">
        <v>16</v>
      </c>
      <c r="F1038" t="s">
        <v>16</v>
      </c>
      <c r="H1038">
        <v>0</v>
      </c>
      <c r="I1038">
        <v>-3.89</v>
      </c>
      <c r="J1038">
        <v>-2.5</v>
      </c>
      <c r="L1038">
        <v>-0.95</v>
      </c>
      <c r="M1038">
        <v>79.95</v>
      </c>
      <c r="N1038">
        <v>0.01</v>
      </c>
      <c r="O1038">
        <v>1.14</v>
      </c>
    </row>
    <row r="1039" spans="1:15">
      <c r="A1039" t="str">
        <f>"002545"</f>
        <v>002545</v>
      </c>
      <c r="B1039" t="s">
        <v>1074</v>
      </c>
      <c r="C1039">
        <v>-0.43</v>
      </c>
      <c r="D1039">
        <v>18.47</v>
      </c>
      <c r="E1039" t="s">
        <v>16</v>
      </c>
      <c r="F1039" t="s">
        <v>16</v>
      </c>
      <c r="H1039">
        <v>0</v>
      </c>
      <c r="I1039">
        <v>-10.34</v>
      </c>
      <c r="J1039">
        <v>-3.3</v>
      </c>
      <c r="L1039">
        <v>-0.97</v>
      </c>
      <c r="M1039">
        <v>206.3</v>
      </c>
      <c r="N1039">
        <v>0.02</v>
      </c>
      <c r="O1039">
        <v>2.18</v>
      </c>
    </row>
    <row r="1040" spans="1:15">
      <c r="A1040" t="str">
        <f>"002546"</f>
        <v>002546</v>
      </c>
      <c r="B1040" t="s">
        <v>1075</v>
      </c>
      <c r="C1040">
        <v>-1.62</v>
      </c>
      <c r="D1040">
        <v>6.7</v>
      </c>
      <c r="E1040" t="s">
        <v>16</v>
      </c>
      <c r="F1040" t="s">
        <v>16</v>
      </c>
      <c r="H1040">
        <v>-0.14</v>
      </c>
      <c r="I1040">
        <v>-6.03</v>
      </c>
      <c r="J1040">
        <v>-1.76</v>
      </c>
      <c r="L1040">
        <v>-0.88</v>
      </c>
      <c r="M1040">
        <v>20.52</v>
      </c>
      <c r="N1040">
        <v>0.01</v>
      </c>
      <c r="O1040">
        <v>0.37</v>
      </c>
    </row>
    <row r="1041" spans="1:15">
      <c r="A1041" t="str">
        <f>"002547"</f>
        <v>002547</v>
      </c>
      <c r="B1041" t="s">
        <v>1076</v>
      </c>
      <c r="C1041">
        <v>-4.87</v>
      </c>
      <c r="D1041">
        <v>2.93</v>
      </c>
      <c r="E1041">
        <v>829.78</v>
      </c>
      <c r="F1041" t="s">
        <v>16</v>
      </c>
      <c r="H1041">
        <v>0</v>
      </c>
      <c r="I1041">
        <v>-15.32</v>
      </c>
      <c r="J1041">
        <v>-4.87</v>
      </c>
      <c r="L1041">
        <v>-0.97</v>
      </c>
      <c r="M1041">
        <v>236.59</v>
      </c>
      <c r="N1041">
        <v>0.1</v>
      </c>
      <c r="O1041">
        <v>1.92</v>
      </c>
    </row>
    <row r="1042" spans="1:15">
      <c r="A1042" t="str">
        <f>"002548"</f>
        <v>002548</v>
      </c>
      <c r="B1042" t="s">
        <v>1077</v>
      </c>
      <c r="C1042">
        <v>-2.05</v>
      </c>
      <c r="D1042">
        <v>3.83</v>
      </c>
      <c r="E1042" t="s">
        <v>16</v>
      </c>
      <c r="F1042" t="s">
        <v>16</v>
      </c>
      <c r="H1042">
        <v>0.26</v>
      </c>
      <c r="I1042">
        <v>-3.53</v>
      </c>
      <c r="J1042">
        <v>-1.79</v>
      </c>
      <c r="L1042">
        <v>-0.77</v>
      </c>
      <c r="M1042">
        <v>16.53</v>
      </c>
      <c r="N1042">
        <v>0.01</v>
      </c>
      <c r="O1042">
        <v>0.94</v>
      </c>
    </row>
    <row r="1043" spans="1:15">
      <c r="A1043" t="str">
        <f>"002549"</f>
        <v>002549</v>
      </c>
      <c r="B1043" t="s">
        <v>1078</v>
      </c>
      <c r="C1043">
        <v>-5.26</v>
      </c>
      <c r="D1043">
        <v>16.22</v>
      </c>
      <c r="E1043" t="s">
        <v>16</v>
      </c>
      <c r="F1043" t="s">
        <v>16</v>
      </c>
      <c r="H1043">
        <v>-0.11</v>
      </c>
      <c r="I1043">
        <v>-1.7</v>
      </c>
      <c r="J1043">
        <v>-3.91</v>
      </c>
      <c r="L1043">
        <v>-1.4</v>
      </c>
      <c r="M1043">
        <v>212.18</v>
      </c>
      <c r="N1043">
        <v>0.03</v>
      </c>
      <c r="O1043">
        <v>0.3</v>
      </c>
    </row>
    <row r="1044" spans="1:15">
      <c r="A1044" t="str">
        <f>"002550"</f>
        <v>002550</v>
      </c>
      <c r="B1044" t="s">
        <v>1079</v>
      </c>
      <c r="C1044">
        <v>1.21</v>
      </c>
      <c r="D1044">
        <v>5.85</v>
      </c>
      <c r="E1044" t="s">
        <v>16</v>
      </c>
      <c r="F1044" t="s">
        <v>16</v>
      </c>
      <c r="H1044">
        <v>0.17</v>
      </c>
      <c r="I1044">
        <v>-2.17</v>
      </c>
      <c r="J1044">
        <v>-1.52</v>
      </c>
      <c r="L1044">
        <v>-0.35</v>
      </c>
      <c r="M1044">
        <v>7.72</v>
      </c>
      <c r="N1044">
        <v>0</v>
      </c>
      <c r="O1044">
        <v>0.92</v>
      </c>
    </row>
    <row r="1045" spans="1:15">
      <c r="A1045" t="str">
        <f>"002551"</f>
        <v>002551</v>
      </c>
      <c r="B1045" t="s">
        <v>1080</v>
      </c>
      <c r="C1045">
        <v>0.36</v>
      </c>
      <c r="D1045">
        <v>2.82</v>
      </c>
      <c r="E1045" t="s">
        <v>16</v>
      </c>
      <c r="F1045" t="s">
        <v>16</v>
      </c>
      <c r="H1045">
        <v>-0.34</v>
      </c>
      <c r="I1045">
        <v>-6.31</v>
      </c>
      <c r="J1045">
        <v>-1.05</v>
      </c>
      <c r="L1045">
        <v>0.36</v>
      </c>
      <c r="M1045">
        <v>35.22</v>
      </c>
      <c r="N1045">
        <v>0.03</v>
      </c>
      <c r="O1045">
        <v>2.23</v>
      </c>
    </row>
    <row r="1046" spans="1:15">
      <c r="A1046" t="str">
        <f>"002552"</f>
        <v>002552</v>
      </c>
      <c r="B1046" t="s">
        <v>1081</v>
      </c>
      <c r="C1046">
        <v>0.32</v>
      </c>
      <c r="D1046">
        <v>72.39</v>
      </c>
      <c r="E1046" t="s">
        <v>16</v>
      </c>
      <c r="F1046" t="s">
        <v>16</v>
      </c>
      <c r="H1046">
        <v>0</v>
      </c>
      <c r="I1046">
        <v>22.69</v>
      </c>
      <c r="J1046">
        <v>-2.81</v>
      </c>
      <c r="K1046" t="s">
        <v>220</v>
      </c>
      <c r="L1046">
        <v>-3.69</v>
      </c>
      <c r="M1046">
        <v>1966.85</v>
      </c>
      <c r="N1046">
        <v>0.21</v>
      </c>
      <c r="O1046">
        <v>0.65</v>
      </c>
    </row>
    <row r="1047" spans="1:15">
      <c r="A1047" t="str">
        <f>"002553"</f>
        <v>002553</v>
      </c>
      <c r="B1047" t="s">
        <v>1082</v>
      </c>
      <c r="C1047">
        <v>-0.46</v>
      </c>
      <c r="D1047">
        <v>17.21</v>
      </c>
      <c r="E1047" t="s">
        <v>16</v>
      </c>
      <c r="F1047" t="s">
        <v>16</v>
      </c>
      <c r="H1047">
        <v>0</v>
      </c>
      <c r="I1047">
        <v>-3.48</v>
      </c>
      <c r="J1047">
        <v>-1.83</v>
      </c>
      <c r="L1047">
        <v>0.06</v>
      </c>
      <c r="M1047">
        <v>58.99</v>
      </c>
      <c r="N1047">
        <v>0.02</v>
      </c>
      <c r="O1047">
        <v>6.69</v>
      </c>
    </row>
    <row r="1048" spans="1:15">
      <c r="A1048" t="str">
        <f>"002554"</f>
        <v>002554</v>
      </c>
      <c r="B1048" t="s">
        <v>1083</v>
      </c>
      <c r="C1048">
        <v>-0.31</v>
      </c>
      <c r="D1048">
        <v>3.23</v>
      </c>
      <c r="E1048" t="s">
        <v>16</v>
      </c>
      <c r="F1048" t="s">
        <v>16</v>
      </c>
      <c r="H1048">
        <v>-0.3</v>
      </c>
      <c r="I1048">
        <v>4.19</v>
      </c>
      <c r="J1048">
        <v>-2.12</v>
      </c>
      <c r="L1048">
        <v>-0.31</v>
      </c>
      <c r="M1048">
        <v>11.5</v>
      </c>
      <c r="N1048">
        <v>0</v>
      </c>
      <c r="O1048">
        <v>0.33</v>
      </c>
    </row>
    <row r="1049" spans="1:15">
      <c r="A1049" t="str">
        <f>"002555"</f>
        <v>002555</v>
      </c>
      <c r="B1049" t="s">
        <v>1084</v>
      </c>
      <c r="C1049">
        <v>0.69</v>
      </c>
      <c r="D1049">
        <v>17.47</v>
      </c>
      <c r="E1049" t="s">
        <v>16</v>
      </c>
      <c r="F1049" t="s">
        <v>16</v>
      </c>
      <c r="H1049">
        <v>-0.22</v>
      </c>
      <c r="I1049">
        <v>-8.05</v>
      </c>
      <c r="J1049">
        <v>-1.91</v>
      </c>
      <c r="L1049">
        <v>0.23</v>
      </c>
      <c r="M1049">
        <v>369.02</v>
      </c>
      <c r="N1049">
        <v>0.02</v>
      </c>
      <c r="O1049">
        <v>1.72</v>
      </c>
    </row>
    <row r="1050" spans="1:15">
      <c r="A1050" t="str">
        <f>"002556"</f>
        <v>002556</v>
      </c>
      <c r="B1050" t="s">
        <v>1085</v>
      </c>
      <c r="C1050">
        <v>-1.01</v>
      </c>
      <c r="D1050">
        <v>4.9</v>
      </c>
      <c r="E1050" t="s">
        <v>16</v>
      </c>
      <c r="F1050" t="s">
        <v>16</v>
      </c>
      <c r="H1050">
        <v>-0.19</v>
      </c>
      <c r="I1050">
        <v>-2</v>
      </c>
      <c r="J1050">
        <v>-0.81</v>
      </c>
      <c r="L1050">
        <v>-0.4</v>
      </c>
      <c r="M1050">
        <v>9.86</v>
      </c>
      <c r="N1050">
        <v>0</v>
      </c>
      <c r="O1050">
        <v>1.71</v>
      </c>
    </row>
    <row r="1051" spans="1:15">
      <c r="A1051" t="str">
        <f>"002557"</f>
        <v>002557</v>
      </c>
      <c r="B1051" t="s">
        <v>1086</v>
      </c>
      <c r="C1051">
        <v>-2.59</v>
      </c>
      <c r="D1051">
        <v>18.83</v>
      </c>
      <c r="E1051" t="s">
        <v>16</v>
      </c>
      <c r="F1051" t="s">
        <v>16</v>
      </c>
      <c r="H1051">
        <v>-0.15</v>
      </c>
      <c r="I1051">
        <v>-6.6</v>
      </c>
      <c r="J1051">
        <v>-2.49</v>
      </c>
      <c r="L1051">
        <v>-0.1</v>
      </c>
      <c r="M1051">
        <v>41.32</v>
      </c>
      <c r="N1051">
        <v>0.01</v>
      </c>
      <c r="O1051">
        <v>0.4</v>
      </c>
    </row>
    <row r="1052" spans="1:15">
      <c r="A1052" t="str">
        <f>"002558"</f>
        <v>002558</v>
      </c>
      <c r="B1052" t="s">
        <v>1087</v>
      </c>
      <c r="C1052">
        <v>-0.79</v>
      </c>
      <c r="D1052">
        <v>23.9</v>
      </c>
      <c r="E1052" t="s">
        <v>16</v>
      </c>
      <c r="F1052" t="s">
        <v>16</v>
      </c>
      <c r="H1052">
        <v>-0.07</v>
      </c>
      <c r="I1052">
        <v>-5.35</v>
      </c>
      <c r="J1052">
        <v>-3.43</v>
      </c>
      <c r="L1052">
        <v>0</v>
      </c>
      <c r="M1052">
        <v>186.46</v>
      </c>
      <c r="N1052">
        <v>0.01</v>
      </c>
      <c r="O1052">
        <v>0.74</v>
      </c>
    </row>
    <row r="1053" spans="1:15">
      <c r="A1053" t="str">
        <f>"002559"</f>
        <v>002559</v>
      </c>
      <c r="B1053" t="s">
        <v>1088</v>
      </c>
      <c r="C1053">
        <v>2.84</v>
      </c>
      <c r="D1053">
        <v>10.85</v>
      </c>
      <c r="E1053" t="s">
        <v>16</v>
      </c>
      <c r="F1053" t="s">
        <v>16</v>
      </c>
      <c r="H1053">
        <v>0</v>
      </c>
      <c r="I1053">
        <v>11.86</v>
      </c>
      <c r="J1053">
        <v>-0.82</v>
      </c>
      <c r="L1053">
        <v>-0.57</v>
      </c>
      <c r="M1053">
        <v>217.35</v>
      </c>
      <c r="N1053">
        <v>0.04</v>
      </c>
      <c r="O1053">
        <v>1.74</v>
      </c>
    </row>
    <row r="1054" spans="1:15">
      <c r="A1054" t="str">
        <f>"002560"</f>
        <v>002560</v>
      </c>
      <c r="B1054" t="s">
        <v>1089</v>
      </c>
      <c r="C1054">
        <v>-1.2</v>
      </c>
      <c r="D1054">
        <v>8.21</v>
      </c>
      <c r="E1054" t="s">
        <v>16</v>
      </c>
      <c r="F1054" t="s">
        <v>16</v>
      </c>
      <c r="H1054">
        <v>0</v>
      </c>
      <c r="I1054">
        <v>-5.52</v>
      </c>
      <c r="J1054">
        <v>-1.2</v>
      </c>
      <c r="L1054">
        <v>-0.36</v>
      </c>
      <c r="M1054">
        <v>36.35</v>
      </c>
      <c r="N1054">
        <v>0.01</v>
      </c>
      <c r="O1054">
        <v>0.36</v>
      </c>
    </row>
    <row r="1055" spans="1:15">
      <c r="A1055" t="str">
        <f>"002561"</f>
        <v>002561</v>
      </c>
      <c r="B1055" t="s">
        <v>1090</v>
      </c>
      <c r="C1055">
        <v>-1.04</v>
      </c>
      <c r="D1055">
        <v>6.68</v>
      </c>
      <c r="E1055" t="s">
        <v>16</v>
      </c>
      <c r="F1055" t="s">
        <v>16</v>
      </c>
      <c r="H1055">
        <v>-0.29</v>
      </c>
      <c r="I1055">
        <v>-5.11</v>
      </c>
      <c r="J1055">
        <v>-1.47</v>
      </c>
      <c r="L1055">
        <v>0.15</v>
      </c>
      <c r="M1055">
        <v>0</v>
      </c>
      <c r="N1055">
        <v>0</v>
      </c>
      <c r="O1055">
        <v>0</v>
      </c>
    </row>
    <row r="1056" spans="1:15">
      <c r="A1056" t="str">
        <f>"002562"</f>
        <v>002562</v>
      </c>
      <c r="B1056" t="s">
        <v>1091</v>
      </c>
      <c r="C1056">
        <v>-2.11</v>
      </c>
      <c r="D1056">
        <v>4.64</v>
      </c>
      <c r="E1056" t="s">
        <v>16</v>
      </c>
      <c r="F1056" t="s">
        <v>16</v>
      </c>
      <c r="H1056">
        <v>-0.21</v>
      </c>
      <c r="I1056">
        <v>-4.92</v>
      </c>
      <c r="J1056">
        <v>-1.9</v>
      </c>
      <c r="L1056">
        <v>-0.84</v>
      </c>
      <c r="M1056">
        <v>125.54</v>
      </c>
      <c r="N1056">
        <v>0.04</v>
      </c>
      <c r="O1056">
        <v>13.91</v>
      </c>
    </row>
    <row r="1057" spans="1:15">
      <c r="A1057" t="str">
        <f>"002563"</f>
        <v>002563</v>
      </c>
      <c r="B1057" t="s">
        <v>1092</v>
      </c>
      <c r="C1057">
        <v>0.38</v>
      </c>
      <c r="D1057">
        <v>5.24</v>
      </c>
      <c r="E1057" t="s">
        <v>16</v>
      </c>
      <c r="F1057" t="s">
        <v>16</v>
      </c>
      <c r="H1057">
        <v>0.19</v>
      </c>
      <c r="I1057">
        <v>-3.14</v>
      </c>
      <c r="J1057">
        <v>-1.32</v>
      </c>
      <c r="L1057">
        <v>0.38</v>
      </c>
      <c r="M1057">
        <v>73.26</v>
      </c>
      <c r="N1057">
        <v>0.02</v>
      </c>
      <c r="O1057">
        <v>2.62</v>
      </c>
    </row>
    <row r="1058" spans="1:15">
      <c r="A1058" t="str">
        <f>"002564"</f>
        <v>002564</v>
      </c>
      <c r="B1058" t="s">
        <v>1093</v>
      </c>
      <c r="C1058">
        <v>-3.71</v>
      </c>
      <c r="D1058">
        <v>4.67</v>
      </c>
      <c r="E1058" t="s">
        <v>16</v>
      </c>
      <c r="F1058" t="s">
        <v>16</v>
      </c>
      <c r="H1058">
        <v>-0.63</v>
      </c>
      <c r="I1058">
        <v>-7.71</v>
      </c>
      <c r="J1058">
        <v>-5.66</v>
      </c>
      <c r="L1058">
        <v>-0.82</v>
      </c>
      <c r="M1058">
        <v>522.65</v>
      </c>
      <c r="N1058">
        <v>0.18</v>
      </c>
      <c r="O1058">
        <v>4.4</v>
      </c>
    </row>
    <row r="1059" spans="1:15">
      <c r="A1059" t="str">
        <f>"002565"</f>
        <v>002565</v>
      </c>
      <c r="B1059" t="s">
        <v>1094</v>
      </c>
      <c r="C1059">
        <v>-4.64</v>
      </c>
      <c r="D1059">
        <v>12.96</v>
      </c>
      <c r="E1059" t="s">
        <v>16</v>
      </c>
      <c r="F1059" t="s">
        <v>16</v>
      </c>
      <c r="H1059">
        <v>-0.14</v>
      </c>
      <c r="I1059">
        <v>-11.05</v>
      </c>
      <c r="J1059">
        <v>-2.56</v>
      </c>
      <c r="L1059">
        <v>-2.43</v>
      </c>
      <c r="M1059">
        <v>1159.72</v>
      </c>
      <c r="N1059">
        <v>0.11</v>
      </c>
      <c r="O1059">
        <v>1.89</v>
      </c>
    </row>
    <row r="1060" spans="1:15">
      <c r="A1060" t="str">
        <f>"002566"</f>
        <v>002566</v>
      </c>
      <c r="B1060" t="s">
        <v>1095</v>
      </c>
      <c r="C1060">
        <v>-0.92</v>
      </c>
      <c r="D1060">
        <v>6.44</v>
      </c>
      <c r="E1060" t="s">
        <v>16</v>
      </c>
      <c r="F1060" t="s">
        <v>16</v>
      </c>
      <c r="H1060">
        <v>-0.3</v>
      </c>
      <c r="I1060">
        <v>-5.43</v>
      </c>
      <c r="J1060">
        <v>-2.13</v>
      </c>
      <c r="L1060">
        <v>-0.46</v>
      </c>
      <c r="M1060">
        <v>37.01</v>
      </c>
      <c r="N1060">
        <v>0.03</v>
      </c>
      <c r="O1060">
        <v>6.65</v>
      </c>
    </row>
    <row r="1061" spans="1:15">
      <c r="A1061" t="str">
        <f>"002567"</f>
        <v>002567</v>
      </c>
      <c r="B1061" t="s">
        <v>1096</v>
      </c>
      <c r="C1061">
        <v>-3</v>
      </c>
      <c r="D1061">
        <v>3.23</v>
      </c>
      <c r="E1061" t="s">
        <v>16</v>
      </c>
      <c r="F1061" t="s">
        <v>16</v>
      </c>
      <c r="H1061">
        <v>0.31</v>
      </c>
      <c r="I1061">
        <v>-6.1</v>
      </c>
      <c r="J1061">
        <v>-3.29</v>
      </c>
      <c r="L1061">
        <v>0</v>
      </c>
      <c r="M1061">
        <v>46.42</v>
      </c>
      <c r="N1061">
        <v>0.01</v>
      </c>
      <c r="O1061">
        <v>2.19</v>
      </c>
    </row>
    <row r="1062" spans="1:15">
      <c r="A1062" t="str">
        <f>"002568"</f>
        <v>002568</v>
      </c>
      <c r="B1062" t="s">
        <v>1097</v>
      </c>
      <c r="C1062">
        <v>-10.01</v>
      </c>
      <c r="D1062">
        <v>16.54</v>
      </c>
      <c r="E1062">
        <v>7317.3</v>
      </c>
      <c r="F1062" t="s">
        <v>16</v>
      </c>
      <c r="H1062">
        <v>0</v>
      </c>
      <c r="I1062">
        <v>-8.11</v>
      </c>
      <c r="J1062">
        <v>-6.71</v>
      </c>
      <c r="L1062">
        <v>-4.9</v>
      </c>
      <c r="M1062">
        <v>1795.02</v>
      </c>
      <c r="N1062">
        <v>0.21</v>
      </c>
      <c r="O1062">
        <v>18.18</v>
      </c>
    </row>
    <row r="1063" spans="1:15">
      <c r="A1063" t="str">
        <f>"002569"</f>
        <v>002569</v>
      </c>
      <c r="B1063" t="s">
        <v>1098</v>
      </c>
      <c r="C1063">
        <v>2.94</v>
      </c>
      <c r="D1063">
        <v>16.48</v>
      </c>
      <c r="E1063" t="s">
        <v>16</v>
      </c>
      <c r="F1063" t="s">
        <v>16</v>
      </c>
      <c r="H1063">
        <v>0</v>
      </c>
      <c r="I1063">
        <v>4.24</v>
      </c>
      <c r="J1063">
        <v>-0.06</v>
      </c>
      <c r="L1063">
        <v>-0.06</v>
      </c>
      <c r="M1063">
        <v>66.88</v>
      </c>
      <c r="N1063">
        <v>0.04</v>
      </c>
      <c r="O1063">
        <v>3.17</v>
      </c>
    </row>
    <row r="1064" spans="1:15">
      <c r="A1064" t="str">
        <f>"002570"</f>
        <v>002570</v>
      </c>
      <c r="B1064" t="s">
        <v>1099</v>
      </c>
      <c r="C1064">
        <v>1.07</v>
      </c>
      <c r="D1064">
        <v>4.72</v>
      </c>
      <c r="E1064" t="s">
        <v>16</v>
      </c>
      <c r="F1064" t="s">
        <v>16</v>
      </c>
      <c r="H1064">
        <v>0</v>
      </c>
      <c r="I1064">
        <v>-17.48</v>
      </c>
      <c r="J1064">
        <v>-1.46</v>
      </c>
      <c r="L1064">
        <v>2.14</v>
      </c>
      <c r="M1064">
        <v>343.25</v>
      </c>
      <c r="N1064">
        <v>0.08</v>
      </c>
      <c r="O1064">
        <v>6</v>
      </c>
    </row>
    <row r="1065" spans="1:15">
      <c r="A1065" t="str">
        <f>"002571"</f>
        <v>002571</v>
      </c>
      <c r="B1065" t="s">
        <v>1100</v>
      </c>
      <c r="C1065">
        <v>-3.56</v>
      </c>
      <c r="D1065">
        <v>10.85</v>
      </c>
      <c r="E1065" t="s">
        <v>16</v>
      </c>
      <c r="F1065" t="s">
        <v>16</v>
      </c>
      <c r="H1065">
        <v>0.09</v>
      </c>
      <c r="I1065">
        <v>-9.51</v>
      </c>
      <c r="J1065">
        <v>-3.47</v>
      </c>
      <c r="L1065">
        <v>-1.33</v>
      </c>
      <c r="M1065">
        <v>19.09</v>
      </c>
      <c r="N1065">
        <v>0.01</v>
      </c>
      <c r="O1065">
        <v>0.52</v>
      </c>
    </row>
    <row r="1066" spans="1:15">
      <c r="A1066" t="str">
        <f>"002572"</f>
        <v>002572</v>
      </c>
      <c r="B1066" t="s">
        <v>1101</v>
      </c>
      <c r="C1066">
        <v>-1.35</v>
      </c>
      <c r="D1066">
        <v>8.04</v>
      </c>
      <c r="E1066" t="s">
        <v>16</v>
      </c>
      <c r="F1066" t="s">
        <v>16</v>
      </c>
      <c r="H1066">
        <v>0</v>
      </c>
      <c r="I1066">
        <v>-8.74</v>
      </c>
      <c r="J1066">
        <v>-1.35</v>
      </c>
      <c r="L1066">
        <v>-0.61</v>
      </c>
      <c r="M1066">
        <v>23.09</v>
      </c>
      <c r="N1066">
        <v>0.01</v>
      </c>
      <c r="O1066">
        <v>0.5</v>
      </c>
    </row>
    <row r="1067" spans="1:15">
      <c r="A1067" t="str">
        <f>"002573"</f>
        <v>002573</v>
      </c>
      <c r="B1067" t="s">
        <v>1102</v>
      </c>
      <c r="C1067">
        <v>-1.25</v>
      </c>
      <c r="D1067">
        <v>3.16</v>
      </c>
      <c r="E1067" t="s">
        <v>16</v>
      </c>
      <c r="F1067" t="s">
        <v>16</v>
      </c>
      <c r="H1067">
        <v>0</v>
      </c>
      <c r="I1067">
        <v>-5.95</v>
      </c>
      <c r="J1067">
        <v>-1.25</v>
      </c>
      <c r="L1067">
        <v>-0.62</v>
      </c>
      <c r="M1067">
        <v>0.54</v>
      </c>
      <c r="N1067">
        <v>0</v>
      </c>
      <c r="O1067">
        <v>0.02</v>
      </c>
    </row>
    <row r="1068" spans="1:15">
      <c r="A1068" t="str">
        <f>"002574"</f>
        <v>002574</v>
      </c>
      <c r="B1068" t="s">
        <v>1103</v>
      </c>
      <c r="C1068">
        <v>-1.3</v>
      </c>
      <c r="D1068">
        <v>4.55</v>
      </c>
      <c r="E1068" t="s">
        <v>16</v>
      </c>
      <c r="F1068" t="s">
        <v>16</v>
      </c>
      <c r="H1068">
        <v>-0.43</v>
      </c>
      <c r="I1068">
        <v>-5.41</v>
      </c>
      <c r="J1068">
        <v>-1.52</v>
      </c>
      <c r="L1068">
        <v>-0.87</v>
      </c>
      <c r="M1068">
        <v>3.02</v>
      </c>
      <c r="N1068">
        <v>0</v>
      </c>
      <c r="O1068">
        <v>0.1</v>
      </c>
    </row>
    <row r="1069" spans="1:15">
      <c r="A1069" t="str">
        <f>"002575"</f>
        <v>002575</v>
      </c>
      <c r="B1069" t="s">
        <v>1104</v>
      </c>
      <c r="C1069">
        <v>-3.12</v>
      </c>
      <c r="D1069">
        <v>5.9</v>
      </c>
      <c r="E1069" t="s">
        <v>16</v>
      </c>
      <c r="F1069" t="s">
        <v>16</v>
      </c>
      <c r="H1069">
        <v>-0.33</v>
      </c>
      <c r="I1069">
        <v>-0.34</v>
      </c>
      <c r="J1069">
        <v>-2.64</v>
      </c>
      <c r="L1069">
        <v>-1.97</v>
      </c>
      <c r="M1069">
        <v>410.2</v>
      </c>
      <c r="N1069">
        <v>0.13</v>
      </c>
      <c r="O1069">
        <v>2.8</v>
      </c>
    </row>
    <row r="1070" spans="1:15">
      <c r="A1070" t="str">
        <f>"002576"</f>
        <v>002576</v>
      </c>
      <c r="B1070" t="s">
        <v>1105</v>
      </c>
      <c r="C1070">
        <v>-1.78</v>
      </c>
      <c r="D1070">
        <v>15.41</v>
      </c>
      <c r="E1070" t="s">
        <v>16</v>
      </c>
      <c r="F1070" t="s">
        <v>16</v>
      </c>
      <c r="H1070">
        <v>-0.25</v>
      </c>
      <c r="I1070">
        <v>-3.02</v>
      </c>
      <c r="J1070">
        <v>-1.78</v>
      </c>
      <c r="L1070">
        <v>-0.76</v>
      </c>
      <c r="M1070">
        <v>33.79</v>
      </c>
      <c r="N1070">
        <v>0.02</v>
      </c>
      <c r="O1070">
        <v>2.47</v>
      </c>
    </row>
    <row r="1071" spans="1:15">
      <c r="A1071" t="str">
        <f>"002577"</f>
        <v>002577</v>
      </c>
      <c r="B1071" t="s">
        <v>1106</v>
      </c>
      <c r="C1071">
        <v>7.85</v>
      </c>
      <c r="D1071">
        <v>19.52</v>
      </c>
      <c r="E1071" t="s">
        <v>16</v>
      </c>
      <c r="F1071" t="s">
        <v>16</v>
      </c>
      <c r="H1071">
        <v>-0.14</v>
      </c>
      <c r="I1071">
        <v>9.42</v>
      </c>
      <c r="J1071">
        <v>-1.96</v>
      </c>
      <c r="L1071">
        <v>-0.28</v>
      </c>
      <c r="M1071">
        <v>19.31</v>
      </c>
      <c r="N1071">
        <v>0.01</v>
      </c>
      <c r="O1071">
        <v>0.94</v>
      </c>
    </row>
    <row r="1072" spans="1:15">
      <c r="A1072" t="str">
        <f>"002578"</f>
        <v>002578</v>
      </c>
      <c r="B1072" t="s">
        <v>1107</v>
      </c>
      <c r="C1072">
        <v>-2.76</v>
      </c>
      <c r="D1072">
        <v>3.52</v>
      </c>
      <c r="E1072" t="s">
        <v>16</v>
      </c>
      <c r="F1072" t="s">
        <v>16</v>
      </c>
      <c r="H1072">
        <v>-0.27</v>
      </c>
      <c r="I1072">
        <v>-9.51</v>
      </c>
      <c r="J1072">
        <v>-4.09</v>
      </c>
      <c r="L1072">
        <v>0</v>
      </c>
      <c r="M1072">
        <v>85.25</v>
      </c>
      <c r="N1072">
        <v>0.05</v>
      </c>
      <c r="O1072">
        <v>4.03</v>
      </c>
    </row>
    <row r="1073" spans="1:15">
      <c r="A1073" t="str">
        <f>"002579"</f>
        <v>002579</v>
      </c>
      <c r="B1073" t="s">
        <v>1108</v>
      </c>
      <c r="C1073">
        <v>10.02</v>
      </c>
      <c r="D1073">
        <v>20.32</v>
      </c>
      <c r="E1073">
        <v>16649.6</v>
      </c>
      <c r="F1073">
        <v>2</v>
      </c>
      <c r="H1073">
        <v>0</v>
      </c>
      <c r="I1073">
        <v>-1.41</v>
      </c>
      <c r="J1073">
        <v>0</v>
      </c>
      <c r="K1073" t="s">
        <v>530</v>
      </c>
      <c r="L1073">
        <v>2.92</v>
      </c>
      <c r="M1073">
        <v>7307.22</v>
      </c>
      <c r="N1073">
        <v>0.92</v>
      </c>
      <c r="O1073">
        <v>5.08</v>
      </c>
    </row>
    <row r="1074" spans="1:15">
      <c r="A1074" t="str">
        <f>"002580"</f>
        <v>002580</v>
      </c>
      <c r="B1074" t="s">
        <v>1109</v>
      </c>
      <c r="C1074">
        <v>-3.29</v>
      </c>
      <c r="D1074">
        <v>20.6</v>
      </c>
      <c r="E1074" t="s">
        <v>16</v>
      </c>
      <c r="F1074" t="s">
        <v>16</v>
      </c>
      <c r="H1074">
        <v>-0.23</v>
      </c>
      <c r="I1074">
        <v>-10.63</v>
      </c>
      <c r="J1074">
        <v>-4.59</v>
      </c>
      <c r="L1074">
        <v>0.94</v>
      </c>
      <c r="M1074">
        <v>1729.25</v>
      </c>
      <c r="N1074">
        <v>0.23</v>
      </c>
      <c r="O1074">
        <v>1.09</v>
      </c>
    </row>
    <row r="1075" spans="1:15">
      <c r="A1075" t="str">
        <f>"002581"</f>
        <v>002581</v>
      </c>
      <c r="B1075" t="s">
        <v>1110</v>
      </c>
      <c r="C1075">
        <v>0</v>
      </c>
      <c r="D1075">
        <v>3.93</v>
      </c>
      <c r="E1075" t="s">
        <v>16</v>
      </c>
      <c r="F1075" t="s">
        <v>16</v>
      </c>
      <c r="H1075">
        <v>-0.24</v>
      </c>
      <c r="I1075">
        <v>-7.75</v>
      </c>
      <c r="J1075">
        <v>-4.84</v>
      </c>
      <c r="K1075" t="s">
        <v>233</v>
      </c>
      <c r="L1075">
        <v>5.09</v>
      </c>
      <c r="M1075">
        <v>337.75</v>
      </c>
      <c r="N1075">
        <v>0.24</v>
      </c>
      <c r="O1075">
        <v>0.91</v>
      </c>
    </row>
    <row r="1076" spans="1:15">
      <c r="A1076" t="str">
        <f>"002582"</f>
        <v>002582</v>
      </c>
      <c r="B1076" t="s">
        <v>1111</v>
      </c>
      <c r="C1076">
        <v>-0.99</v>
      </c>
      <c r="D1076">
        <v>9.01</v>
      </c>
      <c r="E1076" t="s">
        <v>16</v>
      </c>
      <c r="F1076" t="s">
        <v>16</v>
      </c>
      <c r="H1076">
        <v>-0.43</v>
      </c>
      <c r="I1076">
        <v>-6.54</v>
      </c>
      <c r="J1076">
        <v>-1.31</v>
      </c>
      <c r="L1076">
        <v>-0.55</v>
      </c>
      <c r="M1076">
        <v>55.21</v>
      </c>
      <c r="N1076">
        <v>0.02</v>
      </c>
      <c r="O1076">
        <v>1.29</v>
      </c>
    </row>
    <row r="1077" spans="1:15">
      <c r="A1077" t="str">
        <f>"002583"</f>
        <v>002583</v>
      </c>
      <c r="B1077" t="s">
        <v>1112</v>
      </c>
      <c r="C1077">
        <v>-1.58</v>
      </c>
      <c r="D1077">
        <v>8.7</v>
      </c>
      <c r="E1077" t="s">
        <v>16</v>
      </c>
      <c r="F1077" t="s">
        <v>16</v>
      </c>
      <c r="H1077">
        <v>-0.33</v>
      </c>
      <c r="I1077">
        <v>5.2</v>
      </c>
      <c r="J1077">
        <v>-1.69</v>
      </c>
      <c r="L1077">
        <v>-0.68</v>
      </c>
      <c r="M1077">
        <v>129.15</v>
      </c>
      <c r="N1077">
        <v>0.01</v>
      </c>
      <c r="O1077">
        <v>1.4</v>
      </c>
    </row>
    <row r="1078" spans="1:15">
      <c r="A1078" t="str">
        <f>"002584"</f>
        <v>002584</v>
      </c>
      <c r="B1078" t="s">
        <v>1113</v>
      </c>
      <c r="C1078">
        <v>4.98</v>
      </c>
      <c r="D1078">
        <v>8.86</v>
      </c>
      <c r="E1078" t="s">
        <v>16</v>
      </c>
      <c r="F1078" t="s">
        <v>16</v>
      </c>
      <c r="H1078">
        <v>0.23</v>
      </c>
      <c r="I1078">
        <v>18.29</v>
      </c>
      <c r="J1078">
        <v>-1.56</v>
      </c>
      <c r="L1078">
        <v>-0.95</v>
      </c>
      <c r="M1078">
        <v>464.9</v>
      </c>
      <c r="N1078">
        <v>0.13</v>
      </c>
      <c r="O1078">
        <v>1.27</v>
      </c>
    </row>
    <row r="1079" spans="1:15">
      <c r="A1079" t="str">
        <f>"002585"</f>
        <v>002585</v>
      </c>
      <c r="B1079" t="s">
        <v>1114</v>
      </c>
      <c r="C1079">
        <v>-0.07</v>
      </c>
      <c r="D1079">
        <v>14.85</v>
      </c>
      <c r="E1079" t="s">
        <v>16</v>
      </c>
      <c r="F1079" t="s">
        <v>16</v>
      </c>
      <c r="H1079">
        <v>0.2</v>
      </c>
      <c r="I1079">
        <v>25.85</v>
      </c>
      <c r="J1079">
        <v>-1.98</v>
      </c>
      <c r="K1079" t="s">
        <v>1115</v>
      </c>
      <c r="L1079">
        <v>-0.47</v>
      </c>
      <c r="M1079">
        <v>5416.39</v>
      </c>
      <c r="N1079">
        <v>0.54</v>
      </c>
      <c r="O1079">
        <v>0.49</v>
      </c>
    </row>
    <row r="1080" spans="1:15">
      <c r="A1080" t="str">
        <f>"002586"</f>
        <v>002586</v>
      </c>
      <c r="B1080" t="s">
        <v>1116</v>
      </c>
      <c r="C1080">
        <v>-3.01</v>
      </c>
      <c r="D1080">
        <v>3.55</v>
      </c>
      <c r="E1080" t="s">
        <v>16</v>
      </c>
      <c r="F1080" t="s">
        <v>16</v>
      </c>
      <c r="H1080">
        <v>0</v>
      </c>
      <c r="I1080">
        <v>-12.56</v>
      </c>
      <c r="J1080">
        <v>-3.79</v>
      </c>
      <c r="L1080">
        <v>0.82</v>
      </c>
      <c r="M1080">
        <v>1.03</v>
      </c>
      <c r="N1080">
        <v>0</v>
      </c>
      <c r="O1080">
        <v>0.12</v>
      </c>
    </row>
    <row r="1081" spans="1:15">
      <c r="A1081" t="str">
        <f>"002587"</f>
        <v>002587</v>
      </c>
      <c r="B1081" t="s">
        <v>1117</v>
      </c>
      <c r="C1081">
        <v>2.89</v>
      </c>
      <c r="D1081">
        <v>7.11</v>
      </c>
      <c r="E1081" t="s">
        <v>16</v>
      </c>
      <c r="F1081" t="s">
        <v>16</v>
      </c>
      <c r="H1081">
        <v>0.28</v>
      </c>
      <c r="I1081">
        <v>5.18</v>
      </c>
      <c r="J1081">
        <v>-0.56</v>
      </c>
      <c r="L1081">
        <v>-0.58</v>
      </c>
      <c r="M1081">
        <v>73.3</v>
      </c>
      <c r="N1081">
        <v>0.02</v>
      </c>
      <c r="O1081">
        <v>0.4</v>
      </c>
    </row>
    <row r="1082" spans="1:15">
      <c r="A1082" t="str">
        <f>"002588"</f>
        <v>002588</v>
      </c>
      <c r="B1082" t="s">
        <v>1118</v>
      </c>
      <c r="C1082">
        <v>-1.17</v>
      </c>
      <c r="D1082">
        <v>8.42</v>
      </c>
      <c r="E1082" t="s">
        <v>16</v>
      </c>
      <c r="F1082" t="s">
        <v>16</v>
      </c>
      <c r="H1082">
        <v>0</v>
      </c>
      <c r="I1082">
        <v>-1.52</v>
      </c>
      <c r="J1082">
        <v>-1.75</v>
      </c>
      <c r="L1082">
        <v>-0.35</v>
      </c>
      <c r="M1082">
        <v>22.5</v>
      </c>
      <c r="N1082">
        <v>0</v>
      </c>
      <c r="O1082">
        <v>1.19</v>
      </c>
    </row>
    <row r="1083" spans="1:15">
      <c r="A1083" t="str">
        <f>"002589"</f>
        <v>002589</v>
      </c>
      <c r="B1083" t="s">
        <v>1119</v>
      </c>
      <c r="C1083">
        <v>1.15</v>
      </c>
      <c r="D1083">
        <v>2.64</v>
      </c>
      <c r="E1083" t="s">
        <v>16</v>
      </c>
      <c r="F1083" t="s">
        <v>16</v>
      </c>
      <c r="H1083">
        <v>-0.37</v>
      </c>
      <c r="I1083">
        <v>-6.05</v>
      </c>
      <c r="J1083">
        <v>-1.49</v>
      </c>
      <c r="L1083">
        <v>-0.77</v>
      </c>
      <c r="M1083">
        <v>41.28</v>
      </c>
      <c r="N1083">
        <v>0.01</v>
      </c>
      <c r="O1083">
        <v>12.26</v>
      </c>
    </row>
    <row r="1084" spans="1:15">
      <c r="A1084" t="str">
        <f>"002590"</f>
        <v>002590</v>
      </c>
      <c r="B1084" t="s">
        <v>1120</v>
      </c>
      <c r="C1084">
        <v>-0.91</v>
      </c>
      <c r="D1084">
        <v>10.91</v>
      </c>
      <c r="E1084" t="s">
        <v>16</v>
      </c>
      <c r="F1084" t="s">
        <v>16</v>
      </c>
      <c r="H1084">
        <v>0</v>
      </c>
      <c r="I1084">
        <v>-12.3</v>
      </c>
      <c r="J1084">
        <v>-1.18</v>
      </c>
      <c r="L1084">
        <v>-0.64</v>
      </c>
      <c r="M1084">
        <v>12.58</v>
      </c>
      <c r="N1084">
        <v>0</v>
      </c>
      <c r="O1084">
        <v>0.37</v>
      </c>
    </row>
    <row r="1085" spans="1:15">
      <c r="A1085" t="str">
        <f>"002591"</f>
        <v>002591</v>
      </c>
      <c r="B1085" t="s">
        <v>1121</v>
      </c>
      <c r="C1085">
        <v>-1.7</v>
      </c>
      <c r="D1085">
        <v>6.92</v>
      </c>
      <c r="E1085" t="s">
        <v>16</v>
      </c>
      <c r="F1085" t="s">
        <v>16</v>
      </c>
      <c r="H1085">
        <v>-0.28</v>
      </c>
      <c r="I1085">
        <v>-9.31</v>
      </c>
      <c r="J1085">
        <v>-2.4</v>
      </c>
      <c r="L1085">
        <v>-0.57</v>
      </c>
      <c r="M1085">
        <v>17.08</v>
      </c>
      <c r="N1085">
        <v>0.01</v>
      </c>
      <c r="O1085">
        <v>1.66</v>
      </c>
    </row>
    <row r="1086" spans="1:15">
      <c r="A1086" t="str">
        <f>"002592"</f>
        <v>002592</v>
      </c>
      <c r="B1086" t="s">
        <v>1122</v>
      </c>
      <c r="C1086">
        <v>-1.42</v>
      </c>
      <c r="D1086">
        <v>6.26</v>
      </c>
      <c r="E1086" t="s">
        <v>16</v>
      </c>
      <c r="F1086" t="s">
        <v>16</v>
      </c>
      <c r="H1086">
        <v>0</v>
      </c>
      <c r="I1086">
        <v>-9.28</v>
      </c>
      <c r="J1086">
        <v>-2.49</v>
      </c>
      <c r="L1086">
        <v>-0.16</v>
      </c>
      <c r="M1086">
        <v>45.71</v>
      </c>
      <c r="N1086">
        <v>0.04</v>
      </c>
      <c r="O1086">
        <v>6.93</v>
      </c>
    </row>
    <row r="1087" spans="1:15">
      <c r="A1087" t="str">
        <f>"002593"</f>
        <v>002593</v>
      </c>
      <c r="B1087" t="s">
        <v>1123</v>
      </c>
      <c r="C1087">
        <v>-1.37</v>
      </c>
      <c r="D1087">
        <v>4.33</v>
      </c>
      <c r="E1087" t="s">
        <v>16</v>
      </c>
      <c r="F1087" t="s">
        <v>16</v>
      </c>
      <c r="H1087">
        <v>0</v>
      </c>
      <c r="I1087">
        <v>-6.68</v>
      </c>
      <c r="J1087">
        <v>-0.92</v>
      </c>
      <c r="L1087">
        <v>-0.46</v>
      </c>
      <c r="M1087">
        <v>9.44</v>
      </c>
      <c r="N1087">
        <v>0.01</v>
      </c>
      <c r="O1087">
        <v>1.89</v>
      </c>
    </row>
    <row r="1088" spans="1:15">
      <c r="A1088" t="str">
        <f>"002594"</f>
        <v>002594</v>
      </c>
      <c r="B1088" t="s">
        <v>1124</v>
      </c>
      <c r="C1088">
        <v>0.75</v>
      </c>
      <c r="D1088">
        <v>88.13</v>
      </c>
      <c r="E1088" t="s">
        <v>16</v>
      </c>
      <c r="F1088" t="s">
        <v>16</v>
      </c>
      <c r="H1088">
        <v>0.01</v>
      </c>
      <c r="I1088">
        <v>-5.68</v>
      </c>
      <c r="J1088">
        <v>-1.34</v>
      </c>
      <c r="L1088">
        <v>-0.54</v>
      </c>
      <c r="M1088">
        <v>4506.97</v>
      </c>
      <c r="N1088">
        <v>0.02</v>
      </c>
      <c r="O1088">
        <v>1.53</v>
      </c>
    </row>
    <row r="1089" spans="1:15">
      <c r="A1089" t="str">
        <f>"002595"</f>
        <v>002595</v>
      </c>
      <c r="B1089" t="s">
        <v>1125</v>
      </c>
      <c r="C1089">
        <v>1.98</v>
      </c>
      <c r="D1089">
        <v>50.48</v>
      </c>
      <c r="E1089" t="s">
        <v>16</v>
      </c>
      <c r="F1089" t="s">
        <v>16</v>
      </c>
      <c r="H1089">
        <v>-0.21</v>
      </c>
      <c r="I1089">
        <v>-3.37</v>
      </c>
      <c r="J1089">
        <v>-2.32</v>
      </c>
      <c r="L1089">
        <v>0.06</v>
      </c>
      <c r="M1089">
        <v>80.73</v>
      </c>
      <c r="N1089">
        <v>0</v>
      </c>
      <c r="O1089">
        <v>1.47</v>
      </c>
    </row>
    <row r="1090" spans="1:15">
      <c r="A1090" t="str">
        <f>"002596"</f>
        <v>002596</v>
      </c>
      <c r="B1090" t="s">
        <v>1126</v>
      </c>
      <c r="C1090">
        <v>-5</v>
      </c>
      <c r="D1090">
        <v>3.23</v>
      </c>
      <c r="E1090" t="s">
        <v>16</v>
      </c>
      <c r="F1090" t="s">
        <v>16</v>
      </c>
      <c r="H1090">
        <v>-0.3</v>
      </c>
      <c r="I1090">
        <v>-13.64</v>
      </c>
      <c r="J1090">
        <v>-3</v>
      </c>
      <c r="L1090">
        <v>-2.35</v>
      </c>
      <c r="M1090">
        <v>248.9</v>
      </c>
      <c r="N1090">
        <v>0.09</v>
      </c>
      <c r="O1090">
        <v>10.41</v>
      </c>
    </row>
    <row r="1091" spans="1:15">
      <c r="A1091" t="str">
        <f>"002597"</f>
        <v>002597</v>
      </c>
      <c r="B1091" t="s">
        <v>1127</v>
      </c>
      <c r="C1091">
        <v>-0.52</v>
      </c>
      <c r="D1091">
        <v>20.9</v>
      </c>
      <c r="E1091" t="s">
        <v>16</v>
      </c>
      <c r="F1091" t="s">
        <v>16</v>
      </c>
      <c r="H1091">
        <v>-0.32</v>
      </c>
      <c r="I1091">
        <v>8.68</v>
      </c>
      <c r="J1091">
        <v>-0.52</v>
      </c>
      <c r="L1091">
        <v>-0.29</v>
      </c>
      <c r="M1091">
        <v>77.31</v>
      </c>
      <c r="N1091">
        <v>0.01</v>
      </c>
      <c r="O1091">
        <v>0.34</v>
      </c>
    </row>
    <row r="1092" spans="1:15">
      <c r="A1092" t="str">
        <f>"002598"</f>
        <v>002598</v>
      </c>
      <c r="B1092" t="s">
        <v>1128</v>
      </c>
      <c r="C1092">
        <v>-1.28</v>
      </c>
      <c r="D1092">
        <v>6.96</v>
      </c>
      <c r="E1092" t="s">
        <v>16</v>
      </c>
      <c r="F1092" t="s">
        <v>16</v>
      </c>
      <c r="H1092">
        <v>-0.13</v>
      </c>
      <c r="I1092">
        <v>-0.14</v>
      </c>
      <c r="J1092">
        <v>-1.97</v>
      </c>
      <c r="L1092">
        <v>0.71</v>
      </c>
      <c r="M1092">
        <v>30.03</v>
      </c>
      <c r="N1092">
        <v>0.02</v>
      </c>
      <c r="O1092">
        <v>7.69</v>
      </c>
    </row>
    <row r="1093" spans="1:15">
      <c r="A1093" t="str">
        <f>"002599"</f>
        <v>002599</v>
      </c>
      <c r="B1093" t="s">
        <v>1129</v>
      </c>
      <c r="C1093">
        <v>-1.07</v>
      </c>
      <c r="D1093">
        <v>5.54</v>
      </c>
      <c r="E1093" t="s">
        <v>16</v>
      </c>
      <c r="F1093" t="s">
        <v>16</v>
      </c>
      <c r="H1093">
        <v>-0.17</v>
      </c>
      <c r="I1093">
        <v>-9.18</v>
      </c>
      <c r="J1093">
        <v>-1.6</v>
      </c>
      <c r="L1093">
        <v>-0.36</v>
      </c>
      <c r="M1093">
        <v>8.2</v>
      </c>
      <c r="N1093">
        <v>0</v>
      </c>
      <c r="O1093">
        <v>0.33</v>
      </c>
    </row>
    <row r="1094" spans="1:15">
      <c r="A1094" t="str">
        <f>"002600"</f>
        <v>002600</v>
      </c>
      <c r="B1094" t="s">
        <v>1130</v>
      </c>
      <c r="C1094">
        <v>6.12</v>
      </c>
      <c r="D1094">
        <v>16.82</v>
      </c>
      <c r="E1094" t="s">
        <v>16</v>
      </c>
      <c r="F1094" t="s">
        <v>16</v>
      </c>
      <c r="H1094">
        <v>-0.11</v>
      </c>
      <c r="I1094">
        <v>12.21</v>
      </c>
      <c r="J1094">
        <v>-2.44</v>
      </c>
      <c r="L1094">
        <v>-0.32</v>
      </c>
      <c r="M1094">
        <v>1831.85</v>
      </c>
      <c r="N1094">
        <v>0.04</v>
      </c>
      <c r="O1094">
        <v>0.85</v>
      </c>
    </row>
    <row r="1095" spans="1:15">
      <c r="A1095" t="str">
        <f>"002601"</f>
        <v>002601</v>
      </c>
      <c r="B1095" t="s">
        <v>1131</v>
      </c>
      <c r="C1095">
        <v>4.24</v>
      </c>
      <c r="D1095">
        <v>15.48</v>
      </c>
      <c r="E1095" t="s">
        <v>16</v>
      </c>
      <c r="F1095" t="s">
        <v>16</v>
      </c>
      <c r="H1095">
        <v>-0.12</v>
      </c>
      <c r="I1095">
        <v>10.97</v>
      </c>
      <c r="J1095">
        <v>-1.71</v>
      </c>
      <c r="L1095">
        <v>1.68</v>
      </c>
      <c r="M1095">
        <v>257.91</v>
      </c>
      <c r="N1095">
        <v>0.01</v>
      </c>
      <c r="O1095">
        <v>1.68</v>
      </c>
    </row>
    <row r="1096" spans="1:15">
      <c r="A1096" t="str">
        <f>"002602"</f>
        <v>002602</v>
      </c>
      <c r="B1096" t="s">
        <v>1132</v>
      </c>
      <c r="C1096">
        <v>-1.07</v>
      </c>
      <c r="D1096">
        <v>12.94</v>
      </c>
      <c r="E1096" t="s">
        <v>16</v>
      </c>
      <c r="F1096" t="s">
        <v>16</v>
      </c>
      <c r="H1096">
        <v>-0.07</v>
      </c>
      <c r="I1096">
        <v>-13.04</v>
      </c>
      <c r="J1096">
        <v>-2.56</v>
      </c>
      <c r="L1096">
        <v>-0.61</v>
      </c>
      <c r="M1096">
        <v>819.26</v>
      </c>
      <c r="N1096">
        <v>0.01</v>
      </c>
      <c r="O1096">
        <v>0.27</v>
      </c>
    </row>
    <row r="1097" spans="1:15">
      <c r="A1097" t="str">
        <f>"002603"</f>
        <v>002603</v>
      </c>
      <c r="B1097" t="s">
        <v>1133</v>
      </c>
      <c r="C1097">
        <v>0.47</v>
      </c>
      <c r="D1097">
        <v>15.02</v>
      </c>
      <c r="E1097" t="s">
        <v>16</v>
      </c>
      <c r="F1097" t="s">
        <v>16</v>
      </c>
      <c r="H1097">
        <v>0.07</v>
      </c>
      <c r="I1097">
        <v>2.39</v>
      </c>
      <c r="J1097">
        <v>-1.18</v>
      </c>
      <c r="L1097">
        <v>-0.13</v>
      </c>
      <c r="M1097">
        <v>51.06</v>
      </c>
      <c r="N1097">
        <v>0</v>
      </c>
      <c r="O1097">
        <v>2.1</v>
      </c>
    </row>
    <row r="1098" spans="1:15">
      <c r="A1098" t="str">
        <f>"002605"</f>
        <v>002605</v>
      </c>
      <c r="B1098" t="s">
        <v>1134</v>
      </c>
      <c r="C1098">
        <v>-0.27</v>
      </c>
      <c r="D1098">
        <v>18.34</v>
      </c>
      <c r="E1098" t="s">
        <v>16</v>
      </c>
      <c r="F1098" t="s">
        <v>16</v>
      </c>
      <c r="H1098">
        <v>0</v>
      </c>
      <c r="I1098">
        <v>1.44</v>
      </c>
      <c r="J1098">
        <v>-1.08</v>
      </c>
      <c r="L1098">
        <v>-1.03</v>
      </c>
      <c r="M1098">
        <v>10.56</v>
      </c>
      <c r="N1098">
        <v>0</v>
      </c>
      <c r="O1098">
        <v>0.44</v>
      </c>
    </row>
    <row r="1099" spans="1:15">
      <c r="A1099" t="str">
        <f>"002606"</f>
        <v>002606</v>
      </c>
      <c r="B1099" t="s">
        <v>1135</v>
      </c>
      <c r="C1099">
        <v>0.43</v>
      </c>
      <c r="D1099">
        <v>13.98</v>
      </c>
      <c r="E1099" t="s">
        <v>16</v>
      </c>
      <c r="F1099" t="s">
        <v>16</v>
      </c>
      <c r="H1099">
        <v>-0.13</v>
      </c>
      <c r="I1099">
        <v>0</v>
      </c>
      <c r="J1099">
        <v>-1.2</v>
      </c>
      <c r="L1099">
        <v>-0.43</v>
      </c>
      <c r="M1099">
        <v>198.75</v>
      </c>
      <c r="N1099">
        <v>0.05</v>
      </c>
      <c r="O1099">
        <v>1.28</v>
      </c>
    </row>
    <row r="1100" spans="1:15">
      <c r="A1100" t="str">
        <f>"002607"</f>
        <v>002607</v>
      </c>
      <c r="B1100" t="s">
        <v>1136</v>
      </c>
      <c r="C1100">
        <v>-3.55</v>
      </c>
      <c r="D1100">
        <v>1.9</v>
      </c>
      <c r="E1100" t="s">
        <v>16</v>
      </c>
      <c r="F1100" t="s">
        <v>16</v>
      </c>
      <c r="H1100">
        <v>0</v>
      </c>
      <c r="I1100">
        <v>-13.24</v>
      </c>
      <c r="J1100">
        <v>-3.06</v>
      </c>
      <c r="L1100">
        <v>-2.03</v>
      </c>
      <c r="M1100">
        <v>316.58</v>
      </c>
      <c r="N1100">
        <v>0.03</v>
      </c>
      <c r="O1100">
        <v>1.62</v>
      </c>
    </row>
    <row r="1101" spans="1:15">
      <c r="A1101" t="str">
        <f>"002608"</f>
        <v>002608</v>
      </c>
      <c r="B1101" t="s">
        <v>1137</v>
      </c>
      <c r="C1101">
        <v>-4.57</v>
      </c>
      <c r="D1101">
        <v>8.35</v>
      </c>
      <c r="E1101" t="s">
        <v>16</v>
      </c>
      <c r="F1101" t="s">
        <v>16</v>
      </c>
      <c r="H1101">
        <v>0.12</v>
      </c>
      <c r="I1101">
        <v>-20.48</v>
      </c>
      <c r="J1101">
        <v>-5.54</v>
      </c>
      <c r="L1101">
        <v>0.34</v>
      </c>
      <c r="M1101">
        <v>602.57</v>
      </c>
      <c r="N1101">
        <v>0.1</v>
      </c>
      <c r="O1101">
        <v>3.16</v>
      </c>
    </row>
    <row r="1102" spans="1:15">
      <c r="A1102" t="str">
        <f>"002609"</f>
        <v>002609</v>
      </c>
      <c r="B1102" t="s">
        <v>1138</v>
      </c>
      <c r="C1102">
        <v>-1.33</v>
      </c>
      <c r="D1102">
        <v>7.41</v>
      </c>
      <c r="E1102" t="s">
        <v>16</v>
      </c>
      <c r="F1102" t="s">
        <v>16</v>
      </c>
      <c r="H1102">
        <v>-0.12</v>
      </c>
      <c r="I1102">
        <v>-2.63</v>
      </c>
      <c r="J1102">
        <v>-1.59</v>
      </c>
      <c r="L1102">
        <v>0</v>
      </c>
      <c r="M1102">
        <v>0.98</v>
      </c>
      <c r="N1102">
        <v>0</v>
      </c>
      <c r="O1102">
        <v>0.11</v>
      </c>
    </row>
    <row r="1103" spans="1:15">
      <c r="A1103" t="str">
        <f>"002611"</f>
        <v>002611</v>
      </c>
      <c r="B1103" t="s">
        <v>1139</v>
      </c>
      <c r="C1103">
        <v>3.08</v>
      </c>
      <c r="D1103">
        <v>18.74</v>
      </c>
      <c r="E1103" t="s">
        <v>16</v>
      </c>
      <c r="F1103" t="s">
        <v>16</v>
      </c>
      <c r="H1103">
        <v>-0.04</v>
      </c>
      <c r="I1103">
        <v>6.48</v>
      </c>
      <c r="J1103">
        <v>-2.24</v>
      </c>
      <c r="L1103">
        <v>0</v>
      </c>
      <c r="M1103">
        <v>475.77</v>
      </c>
      <c r="N1103">
        <v>0.03</v>
      </c>
      <c r="O1103">
        <v>3.5</v>
      </c>
    </row>
    <row r="1104" spans="1:15">
      <c r="A1104" t="str">
        <f>"002612"</f>
        <v>002612</v>
      </c>
      <c r="B1104" t="s">
        <v>1140</v>
      </c>
      <c r="C1104">
        <v>1.12</v>
      </c>
      <c r="D1104">
        <v>11.78</v>
      </c>
      <c r="E1104" t="s">
        <v>16</v>
      </c>
      <c r="F1104" t="s">
        <v>16</v>
      </c>
      <c r="H1104">
        <v>-0.33</v>
      </c>
      <c r="I1104">
        <v>-6.66</v>
      </c>
      <c r="J1104">
        <v>-1.59</v>
      </c>
      <c r="L1104">
        <v>0.09</v>
      </c>
      <c r="M1104">
        <v>16.56</v>
      </c>
      <c r="N1104">
        <v>0.01</v>
      </c>
      <c r="O1104">
        <v>0.28</v>
      </c>
    </row>
    <row r="1105" spans="1:15">
      <c r="A1105" t="str">
        <f>"002613"</f>
        <v>002613</v>
      </c>
      <c r="B1105" t="s">
        <v>1141</v>
      </c>
      <c r="C1105">
        <v>-7.65</v>
      </c>
      <c r="D1105">
        <v>4.71</v>
      </c>
      <c r="E1105" t="s">
        <v>16</v>
      </c>
      <c r="F1105" t="s">
        <v>16</v>
      </c>
      <c r="H1105">
        <v>0.21</v>
      </c>
      <c r="I1105">
        <v>4.43</v>
      </c>
      <c r="J1105">
        <v>-3.88</v>
      </c>
      <c r="K1105" t="s">
        <v>57</v>
      </c>
      <c r="L1105">
        <v>-3.92</v>
      </c>
      <c r="M1105">
        <v>1267.92</v>
      </c>
      <c r="N1105">
        <v>0.44</v>
      </c>
      <c r="O1105">
        <v>1.45</v>
      </c>
    </row>
    <row r="1106" spans="1:15">
      <c r="A1106" t="str">
        <f>"002614"</f>
        <v>002614</v>
      </c>
      <c r="B1106" t="s">
        <v>1142</v>
      </c>
      <c r="C1106">
        <v>-0.64</v>
      </c>
      <c r="D1106">
        <v>4.69</v>
      </c>
      <c r="E1106" t="s">
        <v>16</v>
      </c>
      <c r="F1106" t="s">
        <v>16</v>
      </c>
      <c r="H1106">
        <v>0</v>
      </c>
      <c r="I1106">
        <v>-6.57</v>
      </c>
      <c r="J1106">
        <v>-0.85</v>
      </c>
      <c r="L1106">
        <v>-0.64</v>
      </c>
      <c r="M1106">
        <v>20.82</v>
      </c>
      <c r="N1106">
        <v>0.01</v>
      </c>
      <c r="O1106">
        <v>1.9</v>
      </c>
    </row>
    <row r="1107" spans="1:15">
      <c r="A1107" t="str">
        <f>"002615"</f>
        <v>002615</v>
      </c>
      <c r="B1107" t="s">
        <v>1143</v>
      </c>
      <c r="C1107">
        <v>-6.22</v>
      </c>
      <c r="D1107">
        <v>6.93</v>
      </c>
      <c r="E1107" t="s">
        <v>16</v>
      </c>
      <c r="F1107" t="s">
        <v>16</v>
      </c>
      <c r="H1107">
        <v>0.14</v>
      </c>
      <c r="I1107">
        <v>-14.66</v>
      </c>
      <c r="J1107">
        <v>-6.73</v>
      </c>
      <c r="L1107">
        <v>-0.68</v>
      </c>
      <c r="M1107">
        <v>48.22</v>
      </c>
      <c r="N1107">
        <v>0.03</v>
      </c>
      <c r="O1107">
        <v>0.61</v>
      </c>
    </row>
    <row r="1108" spans="1:15">
      <c r="A1108" t="str">
        <f>"002616"</f>
        <v>002616</v>
      </c>
      <c r="B1108" t="s">
        <v>1144</v>
      </c>
      <c r="C1108">
        <v>-5.6</v>
      </c>
      <c r="D1108">
        <v>4.55</v>
      </c>
      <c r="E1108" t="s">
        <v>16</v>
      </c>
      <c r="F1108" t="s">
        <v>16</v>
      </c>
      <c r="H1108">
        <v>0.22</v>
      </c>
      <c r="I1108">
        <v>-22.09</v>
      </c>
      <c r="J1108">
        <v>-5.41</v>
      </c>
      <c r="L1108">
        <v>-0.41</v>
      </c>
      <c r="M1108">
        <v>12.86</v>
      </c>
      <c r="N1108">
        <v>0.01</v>
      </c>
      <c r="O1108">
        <v>0.86</v>
      </c>
    </row>
    <row r="1109" spans="1:15">
      <c r="A1109" t="str">
        <f>"002617"</f>
        <v>002617</v>
      </c>
      <c r="B1109" t="s">
        <v>1145</v>
      </c>
      <c r="C1109">
        <v>-1.42</v>
      </c>
      <c r="D1109">
        <v>9</v>
      </c>
      <c r="E1109" t="s">
        <v>16</v>
      </c>
      <c r="F1109" t="s">
        <v>16</v>
      </c>
      <c r="H1109">
        <v>0.22</v>
      </c>
      <c r="I1109">
        <v>2.97</v>
      </c>
      <c r="J1109">
        <v>-3.54</v>
      </c>
      <c r="L1109">
        <v>-0.11</v>
      </c>
      <c r="M1109">
        <v>913.68</v>
      </c>
      <c r="N1109">
        <v>0.06</v>
      </c>
      <c r="O1109">
        <v>0.82</v>
      </c>
    </row>
    <row r="1110" spans="1:15">
      <c r="A1110" t="str">
        <f>"002620"</f>
        <v>002620</v>
      </c>
      <c r="B1110" t="s">
        <v>1146</v>
      </c>
      <c r="C1110">
        <v>-4.93</v>
      </c>
      <c r="D1110">
        <v>5.59</v>
      </c>
      <c r="E1110">
        <v>76.58</v>
      </c>
      <c r="F1110" t="s">
        <v>16</v>
      </c>
      <c r="H1110">
        <v>0</v>
      </c>
      <c r="I1110">
        <v>-11.41</v>
      </c>
      <c r="J1110">
        <v>-6.52</v>
      </c>
      <c r="L1110">
        <v>1.7</v>
      </c>
      <c r="M1110">
        <v>168.46</v>
      </c>
      <c r="N1110">
        <v>0.13</v>
      </c>
      <c r="O1110">
        <v>1</v>
      </c>
    </row>
    <row r="1111" spans="1:15">
      <c r="A1111" t="str">
        <f>"002622"</f>
        <v>002622</v>
      </c>
      <c r="B1111" t="s">
        <v>1147</v>
      </c>
      <c r="C1111">
        <v>0.44</v>
      </c>
      <c r="D1111">
        <v>2.26</v>
      </c>
      <c r="E1111" t="s">
        <v>16</v>
      </c>
      <c r="F1111" t="s">
        <v>16</v>
      </c>
      <c r="H1111">
        <v>0.89</v>
      </c>
      <c r="I1111">
        <v>-7.76</v>
      </c>
      <c r="J1111">
        <v>-0.44</v>
      </c>
      <c r="L1111">
        <v>0</v>
      </c>
      <c r="M1111">
        <v>60.21</v>
      </c>
      <c r="N1111">
        <v>0.04</v>
      </c>
      <c r="O1111">
        <v>3.32</v>
      </c>
    </row>
    <row r="1112" spans="1:15">
      <c r="A1112" t="str">
        <f>"002623"</f>
        <v>002623</v>
      </c>
      <c r="B1112" t="s">
        <v>1148</v>
      </c>
      <c r="C1112">
        <v>-5.63</v>
      </c>
      <c r="D1112">
        <v>16.92</v>
      </c>
      <c r="E1112" t="s">
        <v>16</v>
      </c>
      <c r="F1112" t="s">
        <v>16</v>
      </c>
      <c r="H1112">
        <v>-0.17</v>
      </c>
      <c r="I1112">
        <v>-4.73</v>
      </c>
      <c r="J1112">
        <v>-5.63</v>
      </c>
      <c r="L1112">
        <v>-1.06</v>
      </c>
      <c r="M1112">
        <v>49.32</v>
      </c>
      <c r="N1112">
        <v>0.03</v>
      </c>
      <c r="O1112">
        <v>6.78</v>
      </c>
    </row>
    <row r="1113" spans="1:15">
      <c r="A1113" t="str">
        <f>"002624"</f>
        <v>002624</v>
      </c>
      <c r="B1113" t="s">
        <v>1149</v>
      </c>
      <c r="C1113">
        <v>-5.59</v>
      </c>
      <c r="D1113">
        <v>12</v>
      </c>
      <c r="E1113" t="s">
        <v>16</v>
      </c>
      <c r="F1113" t="s">
        <v>16</v>
      </c>
      <c r="H1113">
        <v>0.17</v>
      </c>
      <c r="I1113">
        <v>-13.79</v>
      </c>
      <c r="J1113">
        <v>-6.25</v>
      </c>
      <c r="L1113">
        <v>-1.49</v>
      </c>
      <c r="M1113">
        <v>578.67</v>
      </c>
      <c r="N1113">
        <v>0.03</v>
      </c>
      <c r="O1113">
        <v>1.25</v>
      </c>
    </row>
    <row r="1114" spans="1:15">
      <c r="A1114" t="str">
        <f>"002625"</f>
        <v>002625</v>
      </c>
      <c r="B1114" t="s">
        <v>1150</v>
      </c>
      <c r="C1114">
        <v>-9.92</v>
      </c>
      <c r="D1114">
        <v>34.15</v>
      </c>
      <c r="E1114" t="s">
        <v>16</v>
      </c>
      <c r="F1114" t="s">
        <v>16</v>
      </c>
      <c r="H1114">
        <v>0.03</v>
      </c>
      <c r="I1114">
        <v>-10.63</v>
      </c>
      <c r="J1114">
        <v>-5.64</v>
      </c>
      <c r="L1114">
        <v>-8.2</v>
      </c>
      <c r="M1114">
        <v>5760.1</v>
      </c>
      <c r="N1114">
        <v>0.11</v>
      </c>
      <c r="O1114">
        <v>14.46</v>
      </c>
    </row>
    <row r="1115" spans="1:15">
      <c r="A1115" t="str">
        <f>"002626"</f>
        <v>002626</v>
      </c>
      <c r="B1115" t="s">
        <v>1151</v>
      </c>
      <c r="C1115">
        <v>-1.22</v>
      </c>
      <c r="D1115">
        <v>13.78</v>
      </c>
      <c r="E1115" t="s">
        <v>16</v>
      </c>
      <c r="F1115" t="s">
        <v>16</v>
      </c>
      <c r="H1115">
        <v>-0.13</v>
      </c>
      <c r="I1115">
        <v>-4.57</v>
      </c>
      <c r="J1115">
        <v>-1.71</v>
      </c>
      <c r="L1115">
        <v>-0.57</v>
      </c>
      <c r="M1115">
        <v>11.51</v>
      </c>
      <c r="N1115">
        <v>0</v>
      </c>
      <c r="O1115">
        <v>2.96</v>
      </c>
    </row>
    <row r="1116" spans="1:15">
      <c r="A1116" t="str">
        <f>"002627"</f>
        <v>002627</v>
      </c>
      <c r="B1116" t="s">
        <v>1152</v>
      </c>
      <c r="C1116">
        <v>-1.11</v>
      </c>
      <c r="D1116">
        <v>6.21</v>
      </c>
      <c r="E1116" t="s">
        <v>16</v>
      </c>
      <c r="F1116" t="s">
        <v>16</v>
      </c>
      <c r="H1116">
        <v>0.16</v>
      </c>
      <c r="I1116">
        <v>-12.29</v>
      </c>
      <c r="J1116">
        <v>-2.51</v>
      </c>
      <c r="L1116">
        <v>0.32</v>
      </c>
      <c r="M1116">
        <v>31.69</v>
      </c>
      <c r="N1116">
        <v>0.01</v>
      </c>
      <c r="O1116">
        <v>0.46</v>
      </c>
    </row>
    <row r="1117" spans="1:15">
      <c r="A1117" t="str">
        <f>"002628"</f>
        <v>002628</v>
      </c>
      <c r="B1117" t="s">
        <v>1153</v>
      </c>
      <c r="C1117">
        <v>1.86</v>
      </c>
      <c r="D1117">
        <v>4.92</v>
      </c>
      <c r="E1117" t="s">
        <v>16</v>
      </c>
      <c r="F1117" t="s">
        <v>16</v>
      </c>
      <c r="H1117">
        <v>0.2</v>
      </c>
      <c r="I1117">
        <v>-2.19</v>
      </c>
      <c r="J1117">
        <v>-2.19</v>
      </c>
      <c r="L1117">
        <v>-0.41</v>
      </c>
      <c r="M1117">
        <v>6.54</v>
      </c>
      <c r="N1117">
        <v>0</v>
      </c>
      <c r="O1117">
        <v>0.4</v>
      </c>
    </row>
    <row r="1118" spans="1:15">
      <c r="A1118" t="str">
        <f>"002629"</f>
        <v>002629</v>
      </c>
      <c r="B1118" t="s">
        <v>1154</v>
      </c>
      <c r="C1118">
        <v>-0.43</v>
      </c>
      <c r="D1118">
        <v>4.63</v>
      </c>
      <c r="E1118" t="s">
        <v>16</v>
      </c>
      <c r="F1118" t="s">
        <v>16</v>
      </c>
      <c r="H1118">
        <v>0</v>
      </c>
      <c r="I1118">
        <v>-14.42</v>
      </c>
      <c r="J1118">
        <v>-1.07</v>
      </c>
      <c r="L1118">
        <v>-1.08</v>
      </c>
      <c r="M1118">
        <v>41.77</v>
      </c>
      <c r="N1118">
        <v>0.03</v>
      </c>
      <c r="O1118">
        <v>1.97</v>
      </c>
    </row>
    <row r="1119" spans="1:15">
      <c r="A1119" t="str">
        <f>"002630"</f>
        <v>002630</v>
      </c>
      <c r="B1119" t="s">
        <v>1155</v>
      </c>
      <c r="C1119">
        <v>-2.48</v>
      </c>
      <c r="D1119">
        <v>1.97</v>
      </c>
      <c r="E1119" t="s">
        <v>16</v>
      </c>
      <c r="F1119" t="s">
        <v>16</v>
      </c>
      <c r="H1119">
        <v>0</v>
      </c>
      <c r="I1119">
        <v>6.49</v>
      </c>
      <c r="J1119">
        <v>-5.29</v>
      </c>
      <c r="K1119" t="s">
        <v>26</v>
      </c>
      <c r="L1119">
        <v>2.48</v>
      </c>
      <c r="M1119">
        <v>201.97</v>
      </c>
      <c r="N1119">
        <v>0.09</v>
      </c>
      <c r="O1119">
        <v>0.55</v>
      </c>
    </row>
    <row r="1120" spans="1:15">
      <c r="A1120" t="str">
        <f>"002631"</f>
        <v>002631</v>
      </c>
      <c r="B1120" t="s">
        <v>1156</v>
      </c>
      <c r="C1120">
        <v>-5</v>
      </c>
      <c r="D1120">
        <v>7.79</v>
      </c>
      <c r="E1120" t="s">
        <v>16</v>
      </c>
      <c r="F1120" t="s">
        <v>16</v>
      </c>
      <c r="H1120">
        <v>-1.26</v>
      </c>
      <c r="I1120">
        <v>15.07</v>
      </c>
      <c r="J1120">
        <v>-8.24</v>
      </c>
      <c r="L1120">
        <v>-2.2</v>
      </c>
      <c r="M1120">
        <v>347.67</v>
      </c>
      <c r="N1120">
        <v>0.12</v>
      </c>
      <c r="O1120">
        <v>1.68</v>
      </c>
    </row>
    <row r="1121" spans="1:15">
      <c r="A1121" t="str">
        <f>"002632"</f>
        <v>002632</v>
      </c>
      <c r="B1121" t="s">
        <v>1157</v>
      </c>
      <c r="C1121">
        <v>-2.11</v>
      </c>
      <c r="D1121">
        <v>9.76</v>
      </c>
      <c r="E1121" t="s">
        <v>16</v>
      </c>
      <c r="F1121" t="s">
        <v>16</v>
      </c>
      <c r="H1121">
        <v>-0.09</v>
      </c>
      <c r="I1121">
        <v>-5.33</v>
      </c>
      <c r="J1121">
        <v>-2.59</v>
      </c>
      <c r="L1121">
        <v>-0.9</v>
      </c>
      <c r="M1121">
        <v>26.68</v>
      </c>
      <c r="N1121">
        <v>0.01</v>
      </c>
      <c r="O1121">
        <v>1.75</v>
      </c>
    </row>
    <row r="1122" spans="1:15">
      <c r="A1122" t="str">
        <f>"002633"</f>
        <v>002633</v>
      </c>
      <c r="B1122" t="s">
        <v>1158</v>
      </c>
      <c r="C1122">
        <v>0</v>
      </c>
      <c r="D1122">
        <v>16.19</v>
      </c>
      <c r="E1122" t="s">
        <v>16</v>
      </c>
      <c r="F1122" t="s">
        <v>16</v>
      </c>
      <c r="H1122">
        <v>0.06</v>
      </c>
      <c r="I1122">
        <v>-3.34</v>
      </c>
      <c r="J1122">
        <v>-0.98</v>
      </c>
      <c r="L1122">
        <v>0.06</v>
      </c>
      <c r="M1122">
        <v>5.83</v>
      </c>
      <c r="N1122">
        <v>0</v>
      </c>
      <c r="O1122">
        <v>2.12</v>
      </c>
    </row>
    <row r="1123" spans="1:15">
      <c r="A1123" t="str">
        <f>"002634"</f>
        <v>002634</v>
      </c>
      <c r="B1123" t="s">
        <v>1159</v>
      </c>
      <c r="C1123">
        <v>-4.99</v>
      </c>
      <c r="D1123">
        <v>4.95</v>
      </c>
      <c r="E1123">
        <v>1602.51</v>
      </c>
      <c r="F1123" t="s">
        <v>16</v>
      </c>
      <c r="H1123">
        <v>0</v>
      </c>
      <c r="I1123">
        <v>3.13</v>
      </c>
      <c r="J1123">
        <v>-3.88</v>
      </c>
      <c r="K1123" t="s">
        <v>57</v>
      </c>
      <c r="L1123">
        <v>-1.54</v>
      </c>
      <c r="M1123">
        <v>144.15</v>
      </c>
      <c r="N1123">
        <v>0.08</v>
      </c>
      <c r="O1123">
        <v>0.89</v>
      </c>
    </row>
    <row r="1124" spans="1:15">
      <c r="A1124" t="str">
        <f>"002635"</f>
        <v>002635</v>
      </c>
      <c r="B1124" t="s">
        <v>1160</v>
      </c>
      <c r="C1124">
        <v>-0.93</v>
      </c>
      <c r="D1124">
        <v>18.2</v>
      </c>
      <c r="E1124" t="s">
        <v>16</v>
      </c>
      <c r="F1124" t="s">
        <v>16</v>
      </c>
      <c r="H1124">
        <v>-0.04</v>
      </c>
      <c r="I1124">
        <v>5.51</v>
      </c>
      <c r="J1124">
        <v>-1.62</v>
      </c>
      <c r="K1124" t="s">
        <v>57</v>
      </c>
      <c r="L1124">
        <v>-0.38</v>
      </c>
      <c r="M1124">
        <v>142.92</v>
      </c>
      <c r="N1124">
        <v>0.03</v>
      </c>
      <c r="O1124">
        <v>0.29</v>
      </c>
    </row>
    <row r="1125" spans="1:15">
      <c r="A1125" t="str">
        <f>"002636"</f>
        <v>002636</v>
      </c>
      <c r="B1125" t="s">
        <v>1161</v>
      </c>
      <c r="C1125">
        <v>9.09</v>
      </c>
      <c r="D1125">
        <v>104.41</v>
      </c>
      <c r="E1125" t="s">
        <v>16</v>
      </c>
      <c r="F1125" t="s">
        <v>16</v>
      </c>
      <c r="H1125">
        <v>1.52</v>
      </c>
      <c r="I1125">
        <v>93.35</v>
      </c>
      <c r="J1125">
        <v>-0.83</v>
      </c>
      <c r="L1125">
        <v>-1.22</v>
      </c>
      <c r="M1125">
        <v>7033.17</v>
      </c>
      <c r="N1125">
        <v>0.3</v>
      </c>
      <c r="O1125">
        <v>0.63</v>
      </c>
    </row>
    <row r="1126" spans="1:15">
      <c r="A1126" t="str">
        <f>"002637"</f>
        <v>002637</v>
      </c>
      <c r="B1126" t="s">
        <v>1162</v>
      </c>
      <c r="C1126">
        <v>-9.26</v>
      </c>
      <c r="D1126">
        <v>10.78</v>
      </c>
      <c r="E1126" t="s">
        <v>16</v>
      </c>
      <c r="F1126" t="s">
        <v>16</v>
      </c>
      <c r="H1126">
        <v>0</v>
      </c>
      <c r="I1126">
        <v>-16.17</v>
      </c>
      <c r="J1126">
        <v>-9.26</v>
      </c>
      <c r="L1126">
        <v>0</v>
      </c>
      <c r="M1126">
        <v>173.21</v>
      </c>
      <c r="N1126">
        <v>0.05</v>
      </c>
      <c r="O1126">
        <v>0.84</v>
      </c>
    </row>
    <row r="1127" spans="1:15">
      <c r="A1127" t="str">
        <f>"002638"</f>
        <v>002638</v>
      </c>
      <c r="B1127" t="s">
        <v>1163</v>
      </c>
      <c r="C1127">
        <v>2.51</v>
      </c>
      <c r="D1127">
        <v>4.08</v>
      </c>
      <c r="E1127" t="s">
        <v>16</v>
      </c>
      <c r="F1127" t="s">
        <v>16</v>
      </c>
      <c r="H1127">
        <v>0.25</v>
      </c>
      <c r="I1127">
        <v>-7.48</v>
      </c>
      <c r="J1127">
        <v>-2.16</v>
      </c>
      <c r="L1127">
        <v>0</v>
      </c>
      <c r="M1127">
        <v>7.4</v>
      </c>
      <c r="N1127">
        <v>0</v>
      </c>
      <c r="O1127">
        <v>0.28</v>
      </c>
    </row>
    <row r="1128" spans="1:15">
      <c r="A1128" t="str">
        <f>"002639"</f>
        <v>002639</v>
      </c>
      <c r="B1128" t="s">
        <v>1164</v>
      </c>
      <c r="C1128">
        <v>-1.24</v>
      </c>
      <c r="D1128">
        <v>14.33</v>
      </c>
      <c r="E1128" t="s">
        <v>16</v>
      </c>
      <c r="F1128" t="s">
        <v>16</v>
      </c>
      <c r="H1128">
        <v>0</v>
      </c>
      <c r="I1128">
        <v>-7.25</v>
      </c>
      <c r="J1128">
        <v>-2.78</v>
      </c>
      <c r="L1128">
        <v>-0.14</v>
      </c>
      <c r="M1128">
        <v>224.16</v>
      </c>
      <c r="N1128">
        <v>0.02</v>
      </c>
      <c r="O1128">
        <v>1.08</v>
      </c>
    </row>
    <row r="1129" spans="1:15">
      <c r="A1129" t="str">
        <f>"002640"</f>
        <v>002640</v>
      </c>
      <c r="B1129" t="s">
        <v>1165</v>
      </c>
      <c r="C1129">
        <v>-5.25</v>
      </c>
      <c r="D1129">
        <v>3.25</v>
      </c>
      <c r="E1129" t="s">
        <v>16</v>
      </c>
      <c r="F1129" t="s">
        <v>16</v>
      </c>
      <c r="H1129">
        <v>0</v>
      </c>
      <c r="I1129">
        <v>-11.44</v>
      </c>
      <c r="J1129">
        <v>-6.34</v>
      </c>
      <c r="L1129">
        <v>0.29</v>
      </c>
      <c r="M1129">
        <v>125.42</v>
      </c>
      <c r="N1129">
        <v>0.03</v>
      </c>
      <c r="O1129">
        <v>0.43</v>
      </c>
    </row>
    <row r="1130" spans="1:15">
      <c r="A1130" t="str">
        <f>"002641"</f>
        <v>002641</v>
      </c>
      <c r="B1130" t="s">
        <v>1166</v>
      </c>
      <c r="C1130">
        <v>-4.88</v>
      </c>
      <c r="D1130">
        <v>4.09</v>
      </c>
      <c r="E1130" t="s">
        <v>16</v>
      </c>
      <c r="F1130" t="s">
        <v>16</v>
      </c>
      <c r="H1130">
        <v>-0.23</v>
      </c>
      <c r="I1130">
        <v>-1.45</v>
      </c>
      <c r="J1130">
        <v>-4.44</v>
      </c>
      <c r="L1130">
        <v>-0.47</v>
      </c>
      <c r="M1130">
        <v>52.43</v>
      </c>
      <c r="N1130">
        <v>0.03</v>
      </c>
      <c r="O1130">
        <v>3.44</v>
      </c>
    </row>
    <row r="1131" spans="1:15">
      <c r="A1131" t="str">
        <f>"002642"</f>
        <v>002642</v>
      </c>
      <c r="B1131" t="s">
        <v>1167</v>
      </c>
      <c r="C1131">
        <v>-0.43</v>
      </c>
      <c r="D1131">
        <v>6.98</v>
      </c>
      <c r="E1131" t="s">
        <v>16</v>
      </c>
      <c r="F1131" t="s">
        <v>16</v>
      </c>
      <c r="H1131">
        <v>-0.13</v>
      </c>
      <c r="I1131">
        <v>-8.04</v>
      </c>
      <c r="J1131">
        <v>-2.24</v>
      </c>
      <c r="L1131">
        <v>0</v>
      </c>
      <c r="M1131">
        <v>29.65</v>
      </c>
      <c r="N1131">
        <v>0.01</v>
      </c>
      <c r="O1131">
        <v>0.63</v>
      </c>
    </row>
    <row r="1132" spans="1:15">
      <c r="A1132" t="str">
        <f>"002643"</f>
        <v>002643</v>
      </c>
      <c r="B1132" t="s">
        <v>1168</v>
      </c>
      <c r="C1132">
        <v>0.45</v>
      </c>
      <c r="D1132">
        <v>17.72</v>
      </c>
      <c r="E1132" t="s">
        <v>16</v>
      </c>
      <c r="F1132" t="s">
        <v>16</v>
      </c>
      <c r="H1132">
        <v>0</v>
      </c>
      <c r="I1132">
        <v>24.88</v>
      </c>
      <c r="J1132">
        <v>-0.84</v>
      </c>
      <c r="L1132">
        <v>-0.45</v>
      </c>
      <c r="M1132">
        <v>261.82</v>
      </c>
      <c r="N1132">
        <v>0.03</v>
      </c>
      <c r="O1132">
        <v>0.43</v>
      </c>
    </row>
    <row r="1133" spans="1:15">
      <c r="A1133" t="str">
        <f>"002644"</f>
        <v>002644</v>
      </c>
      <c r="B1133" t="s">
        <v>1169</v>
      </c>
      <c r="C1133">
        <v>-2.4</v>
      </c>
      <c r="D1133">
        <v>7.33</v>
      </c>
      <c r="E1133" t="s">
        <v>16</v>
      </c>
      <c r="F1133" t="s">
        <v>16</v>
      </c>
      <c r="H1133">
        <v>0.27</v>
      </c>
      <c r="I1133">
        <v>-1.87</v>
      </c>
      <c r="J1133">
        <v>-3.81</v>
      </c>
      <c r="L1133">
        <v>0.13</v>
      </c>
      <c r="M1133">
        <v>9.85</v>
      </c>
      <c r="N1133">
        <v>0.01</v>
      </c>
      <c r="O1133">
        <v>0.65</v>
      </c>
    </row>
    <row r="1134" spans="1:15">
      <c r="A1134" t="str">
        <f>"002645"</f>
        <v>002645</v>
      </c>
      <c r="B1134" t="s">
        <v>1170</v>
      </c>
      <c r="C1134">
        <v>5.49</v>
      </c>
      <c r="D1134">
        <v>36.1</v>
      </c>
      <c r="E1134" t="s">
        <v>16</v>
      </c>
      <c r="F1134" t="s">
        <v>16</v>
      </c>
      <c r="H1134">
        <v>0.56</v>
      </c>
      <c r="I1134">
        <v>20.33</v>
      </c>
      <c r="J1134">
        <v>-1.39</v>
      </c>
      <c r="K1134" t="s">
        <v>26</v>
      </c>
      <c r="L1134">
        <v>-1.69</v>
      </c>
      <c r="M1134">
        <v>1383.34</v>
      </c>
      <c r="N1134">
        <v>0.1</v>
      </c>
      <c r="O1134">
        <v>0.38</v>
      </c>
    </row>
    <row r="1135" spans="1:15">
      <c r="A1135" t="str">
        <f>"002646"</f>
        <v>002646</v>
      </c>
      <c r="B1135" t="s">
        <v>1171</v>
      </c>
      <c r="C1135">
        <v>-0.75</v>
      </c>
      <c r="D1135">
        <v>6.59</v>
      </c>
      <c r="E1135" t="s">
        <v>16</v>
      </c>
      <c r="F1135" t="s">
        <v>16</v>
      </c>
      <c r="H1135">
        <v>0</v>
      </c>
      <c r="I1135">
        <v>-8.6</v>
      </c>
      <c r="J1135">
        <v>-0.9</v>
      </c>
      <c r="L1135">
        <v>-0.15</v>
      </c>
      <c r="M1135">
        <v>8.49</v>
      </c>
      <c r="N1135">
        <v>0</v>
      </c>
      <c r="O1135">
        <v>2.29</v>
      </c>
    </row>
    <row r="1136" spans="1:15">
      <c r="A1136" t="str">
        <f>"002647"</f>
        <v>002647</v>
      </c>
      <c r="B1136" t="s">
        <v>1172</v>
      </c>
      <c r="C1136">
        <v>-1.92</v>
      </c>
      <c r="D1136">
        <v>11.24</v>
      </c>
      <c r="E1136" t="s">
        <v>16</v>
      </c>
      <c r="F1136" t="s">
        <v>16</v>
      </c>
      <c r="H1136">
        <v>0</v>
      </c>
      <c r="I1136">
        <v>-11.5</v>
      </c>
      <c r="J1136">
        <v>-3.93</v>
      </c>
      <c r="L1136">
        <v>-1.4</v>
      </c>
      <c r="M1136">
        <v>91.98</v>
      </c>
      <c r="N1136">
        <v>0.01</v>
      </c>
      <c r="O1136">
        <v>1.02</v>
      </c>
    </row>
    <row r="1137" spans="1:15">
      <c r="A1137" t="str">
        <f>"002648"</f>
        <v>002648</v>
      </c>
      <c r="B1137" t="s">
        <v>1173</v>
      </c>
      <c r="C1137">
        <v>-3.35</v>
      </c>
      <c r="D1137">
        <v>21.65</v>
      </c>
      <c r="E1137" t="s">
        <v>16</v>
      </c>
      <c r="F1137" t="s">
        <v>16</v>
      </c>
      <c r="H1137">
        <v>-0.17</v>
      </c>
      <c r="I1137">
        <v>-5.91</v>
      </c>
      <c r="J1137">
        <v>-3.86</v>
      </c>
      <c r="L1137">
        <v>0.04</v>
      </c>
      <c r="M1137">
        <v>458.06</v>
      </c>
      <c r="N1137">
        <v>0.01</v>
      </c>
      <c r="O1137">
        <v>0.32</v>
      </c>
    </row>
    <row r="1138" spans="1:15">
      <c r="A1138" t="str">
        <f>"002649"</f>
        <v>002649</v>
      </c>
      <c r="B1138" t="s">
        <v>1174</v>
      </c>
      <c r="C1138">
        <v>0.23</v>
      </c>
      <c r="D1138">
        <v>8.82</v>
      </c>
      <c r="E1138" t="s">
        <v>16</v>
      </c>
      <c r="F1138" t="s">
        <v>16</v>
      </c>
      <c r="H1138">
        <v>0</v>
      </c>
      <c r="I1138">
        <v>-4.75</v>
      </c>
      <c r="J1138">
        <v>-1.56</v>
      </c>
      <c r="L1138">
        <v>-0.23</v>
      </c>
      <c r="M1138">
        <v>4.92</v>
      </c>
      <c r="N1138">
        <v>0</v>
      </c>
      <c r="O1138">
        <v>1.7</v>
      </c>
    </row>
    <row r="1139" spans="1:15">
      <c r="A1139" t="str">
        <f>"002650"</f>
        <v>002650</v>
      </c>
      <c r="B1139" t="s">
        <v>1175</v>
      </c>
      <c r="C1139">
        <v>0.28</v>
      </c>
      <c r="D1139">
        <v>7.08</v>
      </c>
      <c r="E1139" t="s">
        <v>16</v>
      </c>
      <c r="F1139" t="s">
        <v>16</v>
      </c>
      <c r="H1139">
        <v>0</v>
      </c>
      <c r="I1139">
        <v>-6.1</v>
      </c>
      <c r="J1139">
        <v>-1.39</v>
      </c>
      <c r="L1139">
        <v>1.7</v>
      </c>
      <c r="M1139">
        <v>5.46</v>
      </c>
      <c r="N1139">
        <v>0</v>
      </c>
      <c r="O1139">
        <v>6.91</v>
      </c>
    </row>
    <row r="1140" spans="1:15">
      <c r="A1140" t="str">
        <f>"002651"</f>
        <v>002651</v>
      </c>
      <c r="B1140" t="s">
        <v>1176</v>
      </c>
      <c r="C1140">
        <v>-0.88</v>
      </c>
      <c r="D1140">
        <v>7.91</v>
      </c>
      <c r="E1140" t="s">
        <v>16</v>
      </c>
      <c r="F1140" t="s">
        <v>16</v>
      </c>
      <c r="H1140">
        <v>-0.37</v>
      </c>
      <c r="I1140">
        <v>-1.37</v>
      </c>
      <c r="J1140">
        <v>-1.62</v>
      </c>
      <c r="L1140">
        <v>-1</v>
      </c>
      <c r="M1140">
        <v>14.85</v>
      </c>
      <c r="N1140">
        <v>0.01</v>
      </c>
      <c r="O1140">
        <v>2.32</v>
      </c>
    </row>
    <row r="1141" spans="1:15">
      <c r="A1141" t="str">
        <f>"002652"</f>
        <v>002652</v>
      </c>
      <c r="B1141" t="s">
        <v>1177</v>
      </c>
      <c r="C1141">
        <v>-0.43</v>
      </c>
      <c r="D1141">
        <v>4.65</v>
      </c>
      <c r="E1141" t="s">
        <v>16</v>
      </c>
      <c r="F1141" t="s">
        <v>16</v>
      </c>
      <c r="H1141">
        <v>0</v>
      </c>
      <c r="I1141">
        <v>-8.1</v>
      </c>
      <c r="J1141">
        <v>-1.69</v>
      </c>
      <c r="L1141">
        <v>-0.64</v>
      </c>
      <c r="M1141">
        <v>123.8</v>
      </c>
      <c r="N1141">
        <v>0.07</v>
      </c>
      <c r="O1141">
        <v>0.73</v>
      </c>
    </row>
    <row r="1142" spans="1:15">
      <c r="A1142" t="str">
        <f>"002653"</f>
        <v>002653</v>
      </c>
      <c r="B1142" t="s">
        <v>1178</v>
      </c>
      <c r="C1142">
        <v>2.57</v>
      </c>
      <c r="D1142">
        <v>49.03</v>
      </c>
      <c r="E1142" t="s">
        <v>16</v>
      </c>
      <c r="F1142" t="s">
        <v>16</v>
      </c>
      <c r="H1142">
        <v>-0.44</v>
      </c>
      <c r="I1142">
        <v>0.68</v>
      </c>
      <c r="J1142">
        <v>-2.66</v>
      </c>
      <c r="L1142">
        <v>0.21</v>
      </c>
      <c r="M1142">
        <v>29.22</v>
      </c>
      <c r="N1142">
        <v>0</v>
      </c>
      <c r="O1142">
        <v>1.17</v>
      </c>
    </row>
    <row r="1143" spans="1:15">
      <c r="A1143" t="str">
        <f>"002654"</f>
        <v>002654</v>
      </c>
      <c r="B1143" t="s">
        <v>1179</v>
      </c>
      <c r="C1143">
        <v>1.23</v>
      </c>
      <c r="D1143">
        <v>17.27</v>
      </c>
      <c r="E1143" t="s">
        <v>16</v>
      </c>
      <c r="F1143" t="s">
        <v>16</v>
      </c>
      <c r="H1143">
        <v>-0.05</v>
      </c>
      <c r="I1143">
        <v>9.51</v>
      </c>
      <c r="J1143">
        <v>-2.04</v>
      </c>
      <c r="L1143">
        <v>-1</v>
      </c>
      <c r="M1143">
        <v>379.35</v>
      </c>
      <c r="N1143">
        <v>0.03</v>
      </c>
      <c r="O1143">
        <v>0.4</v>
      </c>
    </row>
    <row r="1144" spans="1:15">
      <c r="A1144" t="str">
        <f>"002655"</f>
        <v>002655</v>
      </c>
      <c r="B1144" t="s">
        <v>1180</v>
      </c>
      <c r="C1144">
        <v>9.99</v>
      </c>
      <c r="D1144">
        <v>42.61</v>
      </c>
      <c r="E1144">
        <v>2897.05</v>
      </c>
      <c r="F1144">
        <v>1</v>
      </c>
      <c r="H1144">
        <v>0</v>
      </c>
      <c r="I1144">
        <v>14.88</v>
      </c>
      <c r="J1144">
        <v>0</v>
      </c>
      <c r="K1144" t="s">
        <v>140</v>
      </c>
      <c r="L1144">
        <v>4.28</v>
      </c>
      <c r="M1144">
        <v>1143.72</v>
      </c>
      <c r="N1144">
        <v>0.09</v>
      </c>
      <c r="O1144">
        <v>3.39</v>
      </c>
    </row>
    <row r="1145" spans="1:15">
      <c r="A1145" t="str">
        <f>"002656"</f>
        <v>002656</v>
      </c>
      <c r="B1145" t="s">
        <v>1181</v>
      </c>
      <c r="C1145">
        <v>-2.76</v>
      </c>
      <c r="D1145">
        <v>3.17</v>
      </c>
      <c r="E1145" t="s">
        <v>16</v>
      </c>
      <c r="F1145" t="s">
        <v>16</v>
      </c>
      <c r="H1145">
        <v>-0.3</v>
      </c>
      <c r="I1145">
        <v>-5.93</v>
      </c>
      <c r="J1145">
        <v>-3.65</v>
      </c>
      <c r="L1145">
        <v>0</v>
      </c>
      <c r="M1145">
        <v>17.9</v>
      </c>
      <c r="N1145">
        <v>0.01</v>
      </c>
      <c r="O1145">
        <v>1.32</v>
      </c>
    </row>
    <row r="1146" spans="1:15">
      <c r="A1146" t="str">
        <f>"002657"</f>
        <v>002657</v>
      </c>
      <c r="B1146" t="s">
        <v>1182</v>
      </c>
      <c r="C1146">
        <v>-4.8</v>
      </c>
      <c r="D1146">
        <v>19.82</v>
      </c>
      <c r="E1146" t="s">
        <v>16</v>
      </c>
      <c r="F1146" t="s">
        <v>16</v>
      </c>
      <c r="H1146">
        <v>-0.14</v>
      </c>
      <c r="I1146">
        <v>4.81</v>
      </c>
      <c r="J1146">
        <v>-3.36</v>
      </c>
      <c r="L1146">
        <v>-1.87</v>
      </c>
      <c r="M1146">
        <v>319.73</v>
      </c>
      <c r="N1146">
        <v>0.05</v>
      </c>
      <c r="O1146">
        <v>1.07</v>
      </c>
    </row>
    <row r="1147" spans="1:15">
      <c r="A1147" t="str">
        <f>"002658"</f>
        <v>002658</v>
      </c>
      <c r="B1147" t="s">
        <v>1183</v>
      </c>
      <c r="C1147">
        <v>-1</v>
      </c>
      <c r="D1147">
        <v>7.92</v>
      </c>
      <c r="E1147" t="s">
        <v>16</v>
      </c>
      <c r="F1147" t="s">
        <v>16</v>
      </c>
      <c r="H1147">
        <v>0</v>
      </c>
      <c r="I1147">
        <v>1.8</v>
      </c>
      <c r="J1147">
        <v>-0.75</v>
      </c>
      <c r="L1147">
        <v>-1.13</v>
      </c>
      <c r="M1147">
        <v>73.96</v>
      </c>
      <c r="N1147">
        <v>0.04</v>
      </c>
      <c r="O1147">
        <v>3.09</v>
      </c>
    </row>
    <row r="1148" spans="1:15">
      <c r="A1148" t="str">
        <f>"002659"</f>
        <v>002659</v>
      </c>
      <c r="B1148" t="s">
        <v>1184</v>
      </c>
      <c r="C1148">
        <v>-0.5</v>
      </c>
      <c r="D1148">
        <v>4</v>
      </c>
      <c r="E1148" t="s">
        <v>16</v>
      </c>
      <c r="F1148" t="s">
        <v>16</v>
      </c>
      <c r="H1148">
        <v>-0.24</v>
      </c>
      <c r="I1148">
        <v>-6.76</v>
      </c>
      <c r="J1148">
        <v>-0.99</v>
      </c>
      <c r="L1148">
        <v>-0.25</v>
      </c>
      <c r="M1148">
        <v>11.79</v>
      </c>
      <c r="N1148">
        <v>0.01</v>
      </c>
      <c r="O1148">
        <v>3.06</v>
      </c>
    </row>
    <row r="1149" spans="1:15">
      <c r="A1149" t="str">
        <f>"002660"</f>
        <v>002660</v>
      </c>
      <c r="B1149" t="s">
        <v>1185</v>
      </c>
      <c r="C1149">
        <v>-0.42</v>
      </c>
      <c r="D1149">
        <v>7.05</v>
      </c>
      <c r="E1149" t="s">
        <v>16</v>
      </c>
      <c r="F1149" t="s">
        <v>16</v>
      </c>
      <c r="H1149">
        <v>0.14</v>
      </c>
      <c r="I1149">
        <v>-6</v>
      </c>
      <c r="J1149">
        <v>-1.12</v>
      </c>
      <c r="L1149">
        <v>-1.27</v>
      </c>
      <c r="M1149">
        <v>40.89</v>
      </c>
      <c r="N1149">
        <v>0.03</v>
      </c>
      <c r="O1149">
        <v>8.36</v>
      </c>
    </row>
    <row r="1150" spans="1:15">
      <c r="A1150" t="str">
        <f>"002661"</f>
        <v>002661</v>
      </c>
      <c r="B1150" t="s">
        <v>1186</v>
      </c>
      <c r="C1150">
        <v>0.41</v>
      </c>
      <c r="D1150">
        <v>7.28</v>
      </c>
      <c r="E1150" t="s">
        <v>16</v>
      </c>
      <c r="F1150" t="s">
        <v>16</v>
      </c>
      <c r="H1150">
        <v>0.41</v>
      </c>
      <c r="I1150">
        <v>-3.7</v>
      </c>
      <c r="J1150">
        <v>-0.41</v>
      </c>
      <c r="L1150">
        <v>-0.69</v>
      </c>
      <c r="M1150">
        <v>3.17</v>
      </c>
      <c r="N1150">
        <v>0</v>
      </c>
      <c r="O1150">
        <v>0.69</v>
      </c>
    </row>
    <row r="1151" spans="1:15">
      <c r="A1151" t="str">
        <f>"002662"</f>
        <v>002662</v>
      </c>
      <c r="B1151" t="s">
        <v>1187</v>
      </c>
      <c r="C1151">
        <v>4.66</v>
      </c>
      <c r="D1151">
        <v>3.82</v>
      </c>
      <c r="E1151" t="s">
        <v>16</v>
      </c>
      <c r="F1151" t="s">
        <v>16</v>
      </c>
      <c r="H1151">
        <v>0.53</v>
      </c>
      <c r="I1151">
        <v>16.82</v>
      </c>
      <c r="J1151">
        <v>-0.26</v>
      </c>
      <c r="L1151">
        <v>-0.55</v>
      </c>
      <c r="M1151">
        <v>18.95</v>
      </c>
      <c r="N1151">
        <v>0.01</v>
      </c>
      <c r="O1151">
        <v>1.01</v>
      </c>
    </row>
    <row r="1152" spans="1:15">
      <c r="A1152" t="str">
        <f>"002663"</f>
        <v>002663</v>
      </c>
      <c r="B1152" t="s">
        <v>1188</v>
      </c>
      <c r="C1152">
        <v>-2.48</v>
      </c>
      <c r="D1152">
        <v>1.57</v>
      </c>
      <c r="E1152" t="s">
        <v>16</v>
      </c>
      <c r="F1152" t="s">
        <v>16</v>
      </c>
      <c r="H1152">
        <v>0</v>
      </c>
      <c r="I1152">
        <v>-15.59</v>
      </c>
      <c r="J1152">
        <v>-3.09</v>
      </c>
      <c r="L1152">
        <v>0</v>
      </c>
      <c r="M1152">
        <v>45.8</v>
      </c>
      <c r="N1152">
        <v>0.03</v>
      </c>
      <c r="O1152">
        <v>1.11</v>
      </c>
    </row>
    <row r="1153" spans="1:15">
      <c r="A1153" t="str">
        <f>"002664"</f>
        <v>002664</v>
      </c>
      <c r="B1153" t="s">
        <v>1189</v>
      </c>
      <c r="C1153">
        <v>1.19</v>
      </c>
      <c r="D1153">
        <v>19.61</v>
      </c>
      <c r="E1153" t="s">
        <v>16</v>
      </c>
      <c r="F1153" t="s">
        <v>16</v>
      </c>
      <c r="H1153">
        <v>0</v>
      </c>
      <c r="I1153">
        <v>7.87</v>
      </c>
      <c r="J1153">
        <v>-0.81</v>
      </c>
      <c r="K1153" t="s">
        <v>57</v>
      </c>
      <c r="L1153">
        <v>0.05</v>
      </c>
      <c r="M1153">
        <v>99.86</v>
      </c>
      <c r="N1153">
        <v>0.03</v>
      </c>
      <c r="O1153">
        <v>0.3</v>
      </c>
    </row>
    <row r="1154" spans="1:15">
      <c r="A1154" t="str">
        <f>"002666"</f>
        <v>002666</v>
      </c>
      <c r="B1154" t="s">
        <v>1190</v>
      </c>
      <c r="C1154">
        <v>-1.17</v>
      </c>
      <c r="D1154">
        <v>4.21</v>
      </c>
      <c r="E1154" t="s">
        <v>16</v>
      </c>
      <c r="F1154" t="s">
        <v>16</v>
      </c>
      <c r="H1154">
        <v>-0.46</v>
      </c>
      <c r="I1154">
        <v>-7.27</v>
      </c>
      <c r="J1154">
        <v>-1.17</v>
      </c>
      <c r="L1154">
        <v>-0.23</v>
      </c>
      <c r="M1154">
        <v>9.31</v>
      </c>
      <c r="N1154">
        <v>0.01</v>
      </c>
      <c r="O1154">
        <v>0.55</v>
      </c>
    </row>
    <row r="1155" spans="1:15">
      <c r="A1155" t="str">
        <f>"002667"</f>
        <v>002667</v>
      </c>
      <c r="B1155" t="s">
        <v>1191</v>
      </c>
      <c r="C1155">
        <v>-5</v>
      </c>
      <c r="D1155">
        <v>14.63</v>
      </c>
      <c r="E1155">
        <v>37163.56</v>
      </c>
      <c r="F1155" t="s">
        <v>16</v>
      </c>
      <c r="H1155">
        <v>0</v>
      </c>
      <c r="I1155">
        <v>-35.38</v>
      </c>
      <c r="J1155">
        <v>0</v>
      </c>
      <c r="L1155">
        <v>-5</v>
      </c>
      <c r="M1155">
        <v>89.54</v>
      </c>
      <c r="N1155">
        <v>0.03</v>
      </c>
      <c r="O1155">
        <v>2.1</v>
      </c>
    </row>
    <row r="1156" spans="1:15">
      <c r="A1156" t="str">
        <f>"002668"</f>
        <v>002668</v>
      </c>
      <c r="B1156" t="s">
        <v>1192</v>
      </c>
      <c r="C1156">
        <v>-2.09</v>
      </c>
      <c r="D1156">
        <v>9.85</v>
      </c>
      <c r="E1156" t="s">
        <v>16</v>
      </c>
      <c r="F1156" t="s">
        <v>16</v>
      </c>
      <c r="H1156">
        <v>-0.19</v>
      </c>
      <c r="I1156">
        <v>6.14</v>
      </c>
      <c r="J1156">
        <v>-2.48</v>
      </c>
      <c r="L1156">
        <v>-0.2</v>
      </c>
      <c r="M1156">
        <v>24.4</v>
      </c>
      <c r="N1156">
        <v>0</v>
      </c>
      <c r="O1156">
        <v>0.74</v>
      </c>
    </row>
    <row r="1157" spans="1:15">
      <c r="A1157" t="str">
        <f>"002669"</f>
        <v>002669</v>
      </c>
      <c r="B1157" t="s">
        <v>1193</v>
      </c>
      <c r="C1157">
        <v>2.01</v>
      </c>
      <c r="D1157">
        <v>17.73</v>
      </c>
      <c r="E1157" t="s">
        <v>16</v>
      </c>
      <c r="F1157" t="s">
        <v>16</v>
      </c>
      <c r="H1157">
        <v>0.11</v>
      </c>
      <c r="I1157">
        <v>7.13</v>
      </c>
      <c r="J1157">
        <v>-0.67</v>
      </c>
      <c r="L1157">
        <v>0.06</v>
      </c>
      <c r="M1157">
        <v>733.34</v>
      </c>
      <c r="N1157">
        <v>0.2</v>
      </c>
      <c r="O1157">
        <v>0.88</v>
      </c>
    </row>
    <row r="1158" spans="1:15">
      <c r="A1158" t="str">
        <f>"002670"</f>
        <v>002670</v>
      </c>
      <c r="B1158" t="s">
        <v>1194</v>
      </c>
      <c r="C1158">
        <v>-4.45</v>
      </c>
      <c r="D1158">
        <v>11.38</v>
      </c>
      <c r="E1158" t="s">
        <v>16</v>
      </c>
      <c r="F1158" t="s">
        <v>16</v>
      </c>
      <c r="H1158">
        <v>-0.25</v>
      </c>
      <c r="I1158">
        <v>3.83</v>
      </c>
      <c r="J1158">
        <v>-4.37</v>
      </c>
      <c r="L1158">
        <v>-1.09</v>
      </c>
      <c r="M1158">
        <v>88.59</v>
      </c>
      <c r="N1158">
        <v>0.01</v>
      </c>
      <c r="O1158">
        <v>0.5</v>
      </c>
    </row>
    <row r="1159" spans="1:15">
      <c r="A1159" t="str">
        <f>"002671"</f>
        <v>002671</v>
      </c>
      <c r="B1159" t="s">
        <v>1195</v>
      </c>
      <c r="C1159">
        <v>-1.01</v>
      </c>
      <c r="D1159">
        <v>3.92</v>
      </c>
      <c r="E1159" t="s">
        <v>16</v>
      </c>
      <c r="F1159" t="s">
        <v>16</v>
      </c>
      <c r="H1159">
        <v>0.26</v>
      </c>
      <c r="I1159">
        <v>-7.11</v>
      </c>
      <c r="J1159">
        <v>-1.26</v>
      </c>
      <c r="L1159">
        <v>-0.51</v>
      </c>
      <c r="M1159">
        <v>8.79</v>
      </c>
      <c r="N1159">
        <v>0.01</v>
      </c>
      <c r="O1159">
        <v>0.25</v>
      </c>
    </row>
    <row r="1160" spans="1:15">
      <c r="A1160" t="str">
        <f>"002672"</f>
        <v>002672</v>
      </c>
      <c r="B1160" t="s">
        <v>1196</v>
      </c>
      <c r="C1160">
        <v>-6.58</v>
      </c>
      <c r="D1160">
        <v>3.41</v>
      </c>
      <c r="E1160" t="s">
        <v>16</v>
      </c>
      <c r="F1160" t="s">
        <v>16</v>
      </c>
      <c r="H1160">
        <v>-0.28</v>
      </c>
      <c r="I1160">
        <v>-6.58</v>
      </c>
      <c r="J1160">
        <v>-6.32</v>
      </c>
      <c r="K1160" t="s">
        <v>26</v>
      </c>
      <c r="L1160">
        <v>-1.1</v>
      </c>
      <c r="M1160">
        <v>191.73</v>
      </c>
      <c r="N1160">
        <v>0.12</v>
      </c>
      <c r="O1160">
        <v>0.35</v>
      </c>
    </row>
    <row r="1161" spans="1:15">
      <c r="A1161" t="str">
        <f>"002673"</f>
        <v>002673</v>
      </c>
      <c r="B1161" t="s">
        <v>1197</v>
      </c>
      <c r="C1161">
        <v>-2.13</v>
      </c>
      <c r="D1161">
        <v>6.43</v>
      </c>
      <c r="E1161" t="s">
        <v>16</v>
      </c>
      <c r="F1161" t="s">
        <v>16</v>
      </c>
      <c r="H1161">
        <v>0.16</v>
      </c>
      <c r="I1161">
        <v>1.42</v>
      </c>
      <c r="J1161">
        <v>-2.13</v>
      </c>
      <c r="L1161">
        <v>-0.15</v>
      </c>
      <c r="M1161">
        <v>20.6</v>
      </c>
      <c r="N1161">
        <v>0</v>
      </c>
      <c r="O1161">
        <v>0.33</v>
      </c>
    </row>
    <row r="1162" spans="1:15">
      <c r="A1162" t="str">
        <f>"002674"</f>
        <v>002674</v>
      </c>
      <c r="B1162" t="s">
        <v>1198</v>
      </c>
      <c r="C1162">
        <v>10.02</v>
      </c>
      <c r="D1162">
        <v>17.9</v>
      </c>
      <c r="E1162">
        <v>3808.76</v>
      </c>
      <c r="F1162">
        <v>1</v>
      </c>
      <c r="H1162">
        <v>0</v>
      </c>
      <c r="I1162">
        <v>21.69</v>
      </c>
      <c r="J1162">
        <v>0</v>
      </c>
      <c r="K1162" t="s">
        <v>140</v>
      </c>
      <c r="L1162">
        <v>-1.54</v>
      </c>
      <c r="M1162">
        <v>164.04</v>
      </c>
      <c r="N1162">
        <v>0.07</v>
      </c>
      <c r="O1162">
        <v>1.59</v>
      </c>
    </row>
    <row r="1163" spans="1:15">
      <c r="A1163" t="str">
        <f>"002675"</f>
        <v>002675</v>
      </c>
      <c r="B1163" t="s">
        <v>1199</v>
      </c>
      <c r="C1163">
        <v>0.32</v>
      </c>
      <c r="D1163">
        <v>12.72</v>
      </c>
      <c r="E1163" t="s">
        <v>16</v>
      </c>
      <c r="F1163" t="s">
        <v>16</v>
      </c>
      <c r="H1163">
        <v>0.08</v>
      </c>
      <c r="I1163">
        <v>1.19</v>
      </c>
      <c r="J1163">
        <v>-1.01</v>
      </c>
      <c r="L1163">
        <v>-0.32</v>
      </c>
      <c r="M1163">
        <v>16.05</v>
      </c>
      <c r="N1163">
        <v>0</v>
      </c>
      <c r="O1163">
        <v>1.44</v>
      </c>
    </row>
    <row r="1164" spans="1:15">
      <c r="A1164" t="str">
        <f>"002676"</f>
        <v>002676</v>
      </c>
      <c r="B1164" t="s">
        <v>1200</v>
      </c>
      <c r="C1164">
        <v>-4.44</v>
      </c>
      <c r="D1164">
        <v>5.16</v>
      </c>
      <c r="E1164" t="s">
        <v>16</v>
      </c>
      <c r="F1164" t="s">
        <v>16</v>
      </c>
      <c r="H1164">
        <v>0.19</v>
      </c>
      <c r="I1164">
        <v>-7.53</v>
      </c>
      <c r="J1164">
        <v>-4.62</v>
      </c>
      <c r="L1164">
        <v>0</v>
      </c>
      <c r="M1164">
        <v>19.39</v>
      </c>
      <c r="N1164">
        <v>0.01</v>
      </c>
      <c r="O1164">
        <v>0.58</v>
      </c>
    </row>
    <row r="1165" spans="1:15">
      <c r="A1165" t="str">
        <f>"002677"</f>
        <v>002677</v>
      </c>
      <c r="B1165" t="s">
        <v>1201</v>
      </c>
      <c r="C1165">
        <v>-1.59</v>
      </c>
      <c r="D1165">
        <v>6.18</v>
      </c>
      <c r="E1165" t="s">
        <v>16</v>
      </c>
      <c r="F1165" t="s">
        <v>16</v>
      </c>
      <c r="H1165">
        <v>0.16</v>
      </c>
      <c r="I1165">
        <v>-17.05</v>
      </c>
      <c r="J1165">
        <v>-1.9</v>
      </c>
      <c r="L1165">
        <v>0</v>
      </c>
      <c r="M1165">
        <v>6.28</v>
      </c>
      <c r="N1165">
        <v>0</v>
      </c>
      <c r="O1165">
        <v>0.68</v>
      </c>
    </row>
    <row r="1166" spans="1:15">
      <c r="A1166" t="str">
        <f>"002678"</f>
        <v>002678</v>
      </c>
      <c r="B1166" t="s">
        <v>1202</v>
      </c>
      <c r="C1166">
        <v>-3.69</v>
      </c>
      <c r="D1166">
        <v>4.7</v>
      </c>
      <c r="E1166" t="s">
        <v>16</v>
      </c>
      <c r="F1166" t="s">
        <v>16</v>
      </c>
      <c r="H1166">
        <v>0</v>
      </c>
      <c r="I1166">
        <v>-21.93</v>
      </c>
      <c r="J1166">
        <v>-4.08</v>
      </c>
      <c r="L1166">
        <v>-0.2</v>
      </c>
      <c r="M1166">
        <v>47</v>
      </c>
      <c r="N1166">
        <v>0.04</v>
      </c>
      <c r="O1166">
        <v>3.02</v>
      </c>
    </row>
    <row r="1167" spans="1:15">
      <c r="A1167" t="str">
        <f>"002679"</f>
        <v>002679</v>
      </c>
      <c r="B1167" t="s">
        <v>1203</v>
      </c>
      <c r="C1167">
        <v>-1.19</v>
      </c>
      <c r="D1167">
        <v>8.33</v>
      </c>
      <c r="E1167" t="s">
        <v>16</v>
      </c>
      <c r="F1167" t="s">
        <v>16</v>
      </c>
      <c r="H1167">
        <v>0.12</v>
      </c>
      <c r="I1167">
        <v>-7.44</v>
      </c>
      <c r="J1167">
        <v>-1.3</v>
      </c>
      <c r="L1167">
        <v>-0.24</v>
      </c>
      <c r="M1167">
        <v>1.35</v>
      </c>
      <c r="N1167">
        <v>0</v>
      </c>
      <c r="O1167">
        <v>0.37</v>
      </c>
    </row>
    <row r="1168" spans="1:15">
      <c r="A1168" t="str">
        <f>"002681"</f>
        <v>002681</v>
      </c>
      <c r="B1168" t="s">
        <v>1204</v>
      </c>
      <c r="C1168">
        <v>2.05</v>
      </c>
      <c r="D1168">
        <v>4.97</v>
      </c>
      <c r="E1168" t="s">
        <v>16</v>
      </c>
      <c r="F1168" t="s">
        <v>16</v>
      </c>
      <c r="H1168">
        <v>-0.39</v>
      </c>
      <c r="I1168">
        <v>1.43</v>
      </c>
      <c r="J1168">
        <v>-1.19</v>
      </c>
      <c r="L1168">
        <v>-0.21</v>
      </c>
      <c r="M1168">
        <v>61.04</v>
      </c>
      <c r="N1168">
        <v>0.01</v>
      </c>
      <c r="O1168">
        <v>0.92</v>
      </c>
    </row>
    <row r="1169" spans="1:15">
      <c r="A1169" t="str">
        <f>"002682"</f>
        <v>002682</v>
      </c>
      <c r="B1169" t="s">
        <v>1205</v>
      </c>
      <c r="C1169">
        <v>-1.48</v>
      </c>
      <c r="D1169">
        <v>4.66</v>
      </c>
      <c r="E1169" t="s">
        <v>16</v>
      </c>
      <c r="F1169" t="s">
        <v>16</v>
      </c>
      <c r="H1169">
        <v>0.22</v>
      </c>
      <c r="I1169">
        <v>-7.36</v>
      </c>
      <c r="J1169">
        <v>-1.27</v>
      </c>
      <c r="L1169">
        <v>-0.85</v>
      </c>
      <c r="M1169">
        <v>5.25</v>
      </c>
      <c r="N1169">
        <v>0</v>
      </c>
      <c r="O1169">
        <v>0.09</v>
      </c>
    </row>
    <row r="1170" spans="1:15">
      <c r="A1170" t="str">
        <f>"002683"</f>
        <v>002683</v>
      </c>
      <c r="B1170" t="s">
        <v>1206</v>
      </c>
      <c r="C1170">
        <v>-0.83</v>
      </c>
      <c r="D1170">
        <v>29.88</v>
      </c>
      <c r="E1170" t="s">
        <v>16</v>
      </c>
      <c r="F1170" t="s">
        <v>16</v>
      </c>
      <c r="H1170">
        <v>-0.06</v>
      </c>
      <c r="I1170">
        <v>-4.63</v>
      </c>
      <c r="J1170">
        <v>-2.35</v>
      </c>
      <c r="L1170">
        <v>-0.17</v>
      </c>
      <c r="M1170">
        <v>64.97</v>
      </c>
      <c r="N1170">
        <v>0</v>
      </c>
      <c r="O1170">
        <v>0.95</v>
      </c>
    </row>
    <row r="1171" spans="1:15">
      <c r="A1171" t="str">
        <f>"002685"</f>
        <v>002685</v>
      </c>
      <c r="B1171" t="s">
        <v>1207</v>
      </c>
      <c r="C1171">
        <v>7.37</v>
      </c>
      <c r="D1171">
        <v>7.14</v>
      </c>
      <c r="E1171" t="s">
        <v>16</v>
      </c>
      <c r="F1171" t="s">
        <v>16</v>
      </c>
      <c r="H1171">
        <v>-0.13</v>
      </c>
      <c r="I1171">
        <v>-1.52</v>
      </c>
      <c r="J1171">
        <v>-2.46</v>
      </c>
      <c r="L1171">
        <v>-0.6</v>
      </c>
      <c r="M1171">
        <v>67.88</v>
      </c>
      <c r="N1171">
        <v>0.01</v>
      </c>
      <c r="O1171">
        <v>1.44</v>
      </c>
    </row>
    <row r="1172" spans="1:15">
      <c r="A1172" t="str">
        <f>"002686"</f>
        <v>002686</v>
      </c>
      <c r="B1172" t="s">
        <v>1208</v>
      </c>
      <c r="C1172">
        <v>-1.57</v>
      </c>
      <c r="D1172">
        <v>5.66</v>
      </c>
      <c r="E1172" t="s">
        <v>16</v>
      </c>
      <c r="F1172" t="s">
        <v>16</v>
      </c>
      <c r="H1172">
        <v>0</v>
      </c>
      <c r="I1172">
        <v>-8.12</v>
      </c>
      <c r="J1172">
        <v>-1.57</v>
      </c>
      <c r="L1172">
        <v>-0.52</v>
      </c>
      <c r="M1172">
        <v>4.58</v>
      </c>
      <c r="N1172">
        <v>0</v>
      </c>
      <c r="O1172">
        <v>0.5</v>
      </c>
    </row>
    <row r="1173" spans="1:15">
      <c r="A1173" t="str">
        <f>"002687"</f>
        <v>002687</v>
      </c>
      <c r="B1173" t="s">
        <v>1209</v>
      </c>
      <c r="C1173">
        <v>-0.48</v>
      </c>
      <c r="D1173">
        <v>4.16</v>
      </c>
      <c r="E1173" t="s">
        <v>16</v>
      </c>
      <c r="F1173" t="s">
        <v>16</v>
      </c>
      <c r="H1173">
        <v>0.48</v>
      </c>
      <c r="I1173">
        <v>-0.95</v>
      </c>
      <c r="J1173">
        <v>-0.95</v>
      </c>
      <c r="L1173">
        <v>-0.48</v>
      </c>
      <c r="M1173">
        <v>5.87</v>
      </c>
      <c r="N1173">
        <v>0</v>
      </c>
      <c r="O1173">
        <v>0.29</v>
      </c>
    </row>
    <row r="1174" spans="1:15">
      <c r="A1174" t="str">
        <f>"002688"</f>
        <v>002688</v>
      </c>
      <c r="B1174" t="s">
        <v>1210</v>
      </c>
      <c r="C1174">
        <v>-1.6</v>
      </c>
      <c r="D1174">
        <v>4.91</v>
      </c>
      <c r="E1174" t="s">
        <v>16</v>
      </c>
      <c r="F1174" t="s">
        <v>16</v>
      </c>
      <c r="H1174">
        <v>0</v>
      </c>
      <c r="I1174">
        <v>-5.21</v>
      </c>
      <c r="J1174">
        <v>-2.19</v>
      </c>
      <c r="L1174">
        <v>-0.2</v>
      </c>
      <c r="M1174">
        <v>6.23</v>
      </c>
      <c r="N1174">
        <v>0</v>
      </c>
      <c r="O1174">
        <v>0.91</v>
      </c>
    </row>
    <row r="1175" spans="1:15">
      <c r="A1175" t="str">
        <f>"002689"</f>
        <v>002689</v>
      </c>
      <c r="B1175" t="s">
        <v>1211</v>
      </c>
      <c r="C1175">
        <v>-2.15</v>
      </c>
      <c r="D1175">
        <v>2.73</v>
      </c>
      <c r="E1175" t="s">
        <v>16</v>
      </c>
      <c r="F1175" t="s">
        <v>16</v>
      </c>
      <c r="H1175">
        <v>-0.35</v>
      </c>
      <c r="I1175">
        <v>-11.65</v>
      </c>
      <c r="J1175">
        <v>-2.15</v>
      </c>
      <c r="L1175">
        <v>-0.72</v>
      </c>
      <c r="M1175">
        <v>5.18</v>
      </c>
      <c r="N1175">
        <v>0</v>
      </c>
      <c r="O1175">
        <v>0.61</v>
      </c>
    </row>
    <row r="1176" spans="1:15">
      <c r="A1176" t="str">
        <f>"002690"</f>
        <v>002690</v>
      </c>
      <c r="B1176" t="s">
        <v>1212</v>
      </c>
      <c r="C1176">
        <v>-1.14</v>
      </c>
      <c r="D1176">
        <v>14.8</v>
      </c>
      <c r="E1176" t="s">
        <v>16</v>
      </c>
      <c r="F1176" t="s">
        <v>16</v>
      </c>
      <c r="H1176">
        <v>-0.19</v>
      </c>
      <c r="I1176">
        <v>-0.4</v>
      </c>
      <c r="J1176">
        <v>-3.52</v>
      </c>
      <c r="L1176">
        <v>0.53</v>
      </c>
      <c r="M1176">
        <v>35.82</v>
      </c>
      <c r="N1176">
        <v>0.01</v>
      </c>
      <c r="O1176">
        <v>0.91</v>
      </c>
    </row>
    <row r="1177" spans="1:15">
      <c r="A1177" t="str">
        <f>"002691"</f>
        <v>002691</v>
      </c>
      <c r="B1177" t="s">
        <v>1213</v>
      </c>
      <c r="C1177">
        <v>-4.5</v>
      </c>
      <c r="D1177">
        <v>4.46</v>
      </c>
      <c r="E1177" t="s">
        <v>16</v>
      </c>
      <c r="F1177" t="s">
        <v>16</v>
      </c>
      <c r="H1177">
        <v>0.45</v>
      </c>
      <c r="I1177">
        <v>-12.38</v>
      </c>
      <c r="J1177">
        <v>-4.09</v>
      </c>
      <c r="K1177" t="s">
        <v>26</v>
      </c>
      <c r="L1177">
        <v>-0.64</v>
      </c>
      <c r="M1177">
        <v>16.43</v>
      </c>
      <c r="N1177">
        <v>0.03</v>
      </c>
      <c r="O1177">
        <v>0.18</v>
      </c>
    </row>
    <row r="1178" spans="1:15">
      <c r="A1178" t="str">
        <f>"002692"</f>
        <v>002692</v>
      </c>
      <c r="B1178" t="s">
        <v>1214</v>
      </c>
      <c r="C1178">
        <v>-2.17</v>
      </c>
      <c r="D1178">
        <v>4.05</v>
      </c>
      <c r="E1178" t="s">
        <v>16</v>
      </c>
      <c r="F1178" t="s">
        <v>16</v>
      </c>
      <c r="H1178">
        <v>0</v>
      </c>
      <c r="I1178">
        <v>-9.19</v>
      </c>
      <c r="J1178">
        <v>-1.7</v>
      </c>
      <c r="L1178">
        <v>-0.48</v>
      </c>
      <c r="M1178">
        <v>23.15</v>
      </c>
      <c r="N1178">
        <v>0.01</v>
      </c>
      <c r="O1178">
        <v>0.61</v>
      </c>
    </row>
    <row r="1179" spans="1:15">
      <c r="A1179" t="str">
        <f>"002693"</f>
        <v>002693</v>
      </c>
      <c r="B1179" t="s">
        <v>1215</v>
      </c>
      <c r="C1179">
        <v>-1.13</v>
      </c>
      <c r="D1179">
        <v>8.72</v>
      </c>
      <c r="E1179" t="s">
        <v>16</v>
      </c>
      <c r="F1179" t="s">
        <v>16</v>
      </c>
      <c r="H1179">
        <v>0.11</v>
      </c>
      <c r="I1179">
        <v>-5.22</v>
      </c>
      <c r="J1179">
        <v>-1.8</v>
      </c>
      <c r="L1179">
        <v>-0.68</v>
      </c>
      <c r="M1179">
        <v>97.76</v>
      </c>
      <c r="N1179">
        <v>0.05</v>
      </c>
      <c r="O1179">
        <v>0.43</v>
      </c>
    </row>
    <row r="1180" spans="1:15">
      <c r="A1180" t="str">
        <f>"002694"</f>
        <v>002694</v>
      </c>
      <c r="B1180" t="s">
        <v>1216</v>
      </c>
      <c r="C1180">
        <v>-3.88</v>
      </c>
      <c r="D1180">
        <v>2.23</v>
      </c>
      <c r="E1180" t="s">
        <v>16</v>
      </c>
      <c r="F1180" t="s">
        <v>16</v>
      </c>
      <c r="H1180">
        <v>0</v>
      </c>
      <c r="I1180">
        <v>-6.69</v>
      </c>
      <c r="J1180">
        <v>-4.7</v>
      </c>
      <c r="L1180">
        <v>0.43</v>
      </c>
      <c r="M1180">
        <v>10.65</v>
      </c>
      <c r="N1180">
        <v>0.01</v>
      </c>
      <c r="O1180">
        <v>1.04</v>
      </c>
    </row>
    <row r="1181" spans="1:15">
      <c r="A1181" t="str">
        <f>"002695"</f>
        <v>002695</v>
      </c>
      <c r="B1181" t="s">
        <v>1217</v>
      </c>
      <c r="C1181">
        <v>0.53</v>
      </c>
      <c r="D1181">
        <v>11.38</v>
      </c>
      <c r="E1181" t="s">
        <v>16</v>
      </c>
      <c r="F1181" t="s">
        <v>16</v>
      </c>
      <c r="H1181">
        <v>0.8</v>
      </c>
      <c r="I1181">
        <v>-4.69</v>
      </c>
      <c r="J1181">
        <v>-0.52</v>
      </c>
      <c r="L1181">
        <v>-1.06</v>
      </c>
      <c r="M1181">
        <v>6.94</v>
      </c>
      <c r="N1181">
        <v>0</v>
      </c>
      <c r="O1181">
        <v>10.33</v>
      </c>
    </row>
    <row r="1182" spans="1:15">
      <c r="A1182" t="str">
        <f>"002696"</f>
        <v>002696</v>
      </c>
      <c r="B1182" t="s">
        <v>1218</v>
      </c>
      <c r="C1182">
        <v>-3.27</v>
      </c>
      <c r="D1182">
        <v>5.33</v>
      </c>
      <c r="E1182" t="s">
        <v>16</v>
      </c>
      <c r="F1182" t="s">
        <v>16</v>
      </c>
      <c r="H1182">
        <v>-0.18</v>
      </c>
      <c r="I1182">
        <v>-9.66</v>
      </c>
      <c r="J1182">
        <v>-3.09</v>
      </c>
      <c r="L1182">
        <v>-0.54</v>
      </c>
      <c r="M1182">
        <v>84.17</v>
      </c>
      <c r="N1182">
        <v>0.08</v>
      </c>
      <c r="O1182">
        <v>0.33</v>
      </c>
    </row>
    <row r="1183" spans="1:15">
      <c r="A1183" t="str">
        <f>"002697"</f>
        <v>002697</v>
      </c>
      <c r="B1183" t="s">
        <v>1219</v>
      </c>
      <c r="C1183">
        <v>-0.45</v>
      </c>
      <c r="D1183">
        <v>4.4</v>
      </c>
      <c r="E1183" t="s">
        <v>16</v>
      </c>
      <c r="F1183" t="s">
        <v>16</v>
      </c>
      <c r="H1183">
        <v>0.23</v>
      </c>
      <c r="I1183">
        <v>-4.97</v>
      </c>
      <c r="J1183">
        <v>-0.45</v>
      </c>
      <c r="L1183">
        <v>-0.45</v>
      </c>
      <c r="M1183">
        <v>27.15</v>
      </c>
      <c r="N1183">
        <v>0.01</v>
      </c>
      <c r="O1183">
        <v>4.17</v>
      </c>
    </row>
    <row r="1184" spans="1:15">
      <c r="A1184" t="str">
        <f>"002698"</f>
        <v>002698</v>
      </c>
      <c r="B1184" t="s">
        <v>1220</v>
      </c>
      <c r="C1184">
        <v>3.85</v>
      </c>
      <c r="D1184">
        <v>11.59</v>
      </c>
      <c r="E1184" t="s">
        <v>16</v>
      </c>
      <c r="F1184" t="s">
        <v>16</v>
      </c>
      <c r="H1184">
        <v>0.09</v>
      </c>
      <c r="I1184">
        <v>-4.29</v>
      </c>
      <c r="J1184">
        <v>-2.77</v>
      </c>
      <c r="L1184">
        <v>-0.18</v>
      </c>
      <c r="M1184">
        <v>10.03</v>
      </c>
      <c r="N1184">
        <v>0</v>
      </c>
      <c r="O1184">
        <v>0.18</v>
      </c>
    </row>
    <row r="1185" spans="1:15">
      <c r="A1185" t="str">
        <f>"002700"</f>
        <v>002700</v>
      </c>
      <c r="B1185" t="s">
        <v>1221</v>
      </c>
      <c r="C1185">
        <v>-5.77</v>
      </c>
      <c r="D1185">
        <v>8.98</v>
      </c>
      <c r="E1185" t="s">
        <v>16</v>
      </c>
      <c r="F1185" t="s">
        <v>16</v>
      </c>
      <c r="H1185">
        <v>0.9</v>
      </c>
      <c r="I1185">
        <v>8.19</v>
      </c>
      <c r="J1185">
        <v>-6.56</v>
      </c>
      <c r="K1185" t="s">
        <v>26</v>
      </c>
      <c r="L1185">
        <v>0.31</v>
      </c>
      <c r="M1185">
        <v>322.55</v>
      </c>
      <c r="N1185">
        <v>0.16</v>
      </c>
      <c r="O1185">
        <v>0.92</v>
      </c>
    </row>
    <row r="1186" spans="1:15">
      <c r="A1186" t="str">
        <f>"002701"</f>
        <v>002701</v>
      </c>
      <c r="B1186" t="s">
        <v>1222</v>
      </c>
      <c r="C1186">
        <v>2.75</v>
      </c>
      <c r="D1186">
        <v>4.48</v>
      </c>
      <c r="E1186" t="s">
        <v>16</v>
      </c>
      <c r="F1186" t="s">
        <v>16</v>
      </c>
      <c r="H1186">
        <v>0.22</v>
      </c>
      <c r="I1186">
        <v>-6.47</v>
      </c>
      <c r="J1186">
        <v>-2.18</v>
      </c>
      <c r="L1186">
        <v>3.44</v>
      </c>
      <c r="M1186">
        <v>714.61</v>
      </c>
      <c r="N1186">
        <v>0.09</v>
      </c>
      <c r="O1186">
        <v>30.18</v>
      </c>
    </row>
    <row r="1187" spans="1:15">
      <c r="A1187" t="str">
        <f>"002702"</f>
        <v>002702</v>
      </c>
      <c r="B1187" t="s">
        <v>1223</v>
      </c>
      <c r="C1187">
        <v>-0.83</v>
      </c>
      <c r="D1187">
        <v>4.79</v>
      </c>
      <c r="E1187" t="s">
        <v>16</v>
      </c>
      <c r="F1187" t="s">
        <v>16</v>
      </c>
      <c r="H1187">
        <v>0.63</v>
      </c>
      <c r="I1187">
        <v>-6.08</v>
      </c>
      <c r="J1187">
        <v>-0.83</v>
      </c>
      <c r="L1187">
        <v>-0.62</v>
      </c>
      <c r="M1187">
        <v>20.88</v>
      </c>
      <c r="N1187">
        <v>0.01</v>
      </c>
      <c r="O1187">
        <v>1.73</v>
      </c>
    </row>
    <row r="1188" spans="1:15">
      <c r="A1188" t="str">
        <f>"002703"</f>
        <v>002703</v>
      </c>
      <c r="B1188" t="s">
        <v>1224</v>
      </c>
      <c r="C1188">
        <v>-2.31</v>
      </c>
      <c r="D1188">
        <v>15.64</v>
      </c>
      <c r="E1188" t="s">
        <v>16</v>
      </c>
      <c r="F1188" t="s">
        <v>16</v>
      </c>
      <c r="H1188">
        <v>-0.18</v>
      </c>
      <c r="I1188">
        <v>-9.65</v>
      </c>
      <c r="J1188">
        <v>-2.07</v>
      </c>
      <c r="L1188">
        <v>-1.06</v>
      </c>
      <c r="M1188">
        <v>439.24</v>
      </c>
      <c r="N1188">
        <v>0.09</v>
      </c>
      <c r="O1188">
        <v>1.95</v>
      </c>
    </row>
    <row r="1189" spans="1:15">
      <c r="A1189" t="str">
        <f>"002705"</f>
        <v>002705</v>
      </c>
      <c r="B1189" t="s">
        <v>1225</v>
      </c>
      <c r="C1189">
        <v>-2.84</v>
      </c>
      <c r="D1189">
        <v>11.31</v>
      </c>
      <c r="E1189" t="s">
        <v>16</v>
      </c>
      <c r="F1189" t="s">
        <v>16</v>
      </c>
      <c r="H1189">
        <v>-0.08</v>
      </c>
      <c r="I1189">
        <v>-7.22</v>
      </c>
      <c r="J1189">
        <v>-3.42</v>
      </c>
      <c r="L1189">
        <v>0.34</v>
      </c>
      <c r="M1189">
        <v>42.87</v>
      </c>
      <c r="N1189">
        <v>0.01</v>
      </c>
      <c r="O1189">
        <v>1.46</v>
      </c>
    </row>
    <row r="1190" spans="1:15">
      <c r="A1190" t="str">
        <f>"002706"</f>
        <v>002706</v>
      </c>
      <c r="B1190" t="s">
        <v>1226</v>
      </c>
      <c r="C1190">
        <v>2.59</v>
      </c>
      <c r="D1190">
        <v>12.3</v>
      </c>
      <c r="E1190" t="s">
        <v>16</v>
      </c>
      <c r="F1190" t="s">
        <v>16</v>
      </c>
      <c r="H1190">
        <v>0.08</v>
      </c>
      <c r="I1190">
        <v>-6.11</v>
      </c>
      <c r="J1190">
        <v>-1.91</v>
      </c>
      <c r="L1190">
        <v>0.08</v>
      </c>
      <c r="M1190">
        <v>202.92</v>
      </c>
      <c r="N1190">
        <v>0.02</v>
      </c>
      <c r="O1190">
        <v>1.37</v>
      </c>
    </row>
    <row r="1191" spans="1:15">
      <c r="A1191" t="str">
        <f>"002707"</f>
        <v>002707</v>
      </c>
      <c r="B1191" t="s">
        <v>1227</v>
      </c>
      <c r="C1191">
        <v>-0.95</v>
      </c>
      <c r="D1191">
        <v>5.23</v>
      </c>
      <c r="E1191" t="s">
        <v>16</v>
      </c>
      <c r="F1191" t="s">
        <v>16</v>
      </c>
      <c r="H1191">
        <v>0.19</v>
      </c>
      <c r="I1191">
        <v>-5.08</v>
      </c>
      <c r="J1191">
        <v>-1.13</v>
      </c>
      <c r="L1191">
        <v>-0.57</v>
      </c>
      <c r="M1191">
        <v>23.89</v>
      </c>
      <c r="N1191">
        <v>0.01</v>
      </c>
      <c r="O1191">
        <v>1.12</v>
      </c>
    </row>
    <row r="1192" spans="1:15">
      <c r="A1192" t="str">
        <f>"002708"</f>
        <v>002708</v>
      </c>
      <c r="B1192" t="s">
        <v>1228</v>
      </c>
      <c r="C1192">
        <v>7.43</v>
      </c>
      <c r="D1192">
        <v>15.18</v>
      </c>
      <c r="E1192" t="s">
        <v>16</v>
      </c>
      <c r="F1192" t="s">
        <v>16</v>
      </c>
      <c r="H1192">
        <v>-0.06</v>
      </c>
      <c r="I1192">
        <v>5.27</v>
      </c>
      <c r="J1192">
        <v>-1.56</v>
      </c>
      <c r="L1192">
        <v>0.28</v>
      </c>
      <c r="M1192">
        <v>140</v>
      </c>
      <c r="N1192">
        <v>0.03</v>
      </c>
      <c r="O1192">
        <v>2.91</v>
      </c>
    </row>
    <row r="1193" spans="1:15">
      <c r="A1193" t="str">
        <f>"002709"</f>
        <v>002709</v>
      </c>
      <c r="B1193" t="s">
        <v>1229</v>
      </c>
      <c r="C1193">
        <v>-2.35</v>
      </c>
      <c r="D1193">
        <v>51.61</v>
      </c>
      <c r="E1193" t="s">
        <v>16</v>
      </c>
      <c r="F1193" t="s">
        <v>16</v>
      </c>
      <c r="H1193">
        <v>-0.01</v>
      </c>
      <c r="I1193">
        <v>4.47</v>
      </c>
      <c r="J1193">
        <v>-4.16</v>
      </c>
      <c r="L1193">
        <v>-0.66</v>
      </c>
      <c r="M1193">
        <v>2136.75</v>
      </c>
      <c r="N1193">
        <v>0.03</v>
      </c>
      <c r="O1193">
        <v>0.36</v>
      </c>
    </row>
    <row r="1194" spans="1:15">
      <c r="A1194" t="str">
        <f>"002712"</f>
        <v>002712</v>
      </c>
      <c r="B1194" t="s">
        <v>1230</v>
      </c>
      <c r="C1194">
        <v>-0.44</v>
      </c>
      <c r="D1194">
        <v>4.5</v>
      </c>
      <c r="E1194" t="s">
        <v>16</v>
      </c>
      <c r="F1194" t="s">
        <v>16</v>
      </c>
      <c r="H1194">
        <v>-0.43</v>
      </c>
      <c r="I1194">
        <v>-8.54</v>
      </c>
      <c r="J1194">
        <v>-1.96</v>
      </c>
      <c r="L1194">
        <v>-0.66</v>
      </c>
      <c r="M1194">
        <v>23.26</v>
      </c>
      <c r="N1194">
        <v>0.02</v>
      </c>
      <c r="O1194">
        <v>1.42</v>
      </c>
    </row>
    <row r="1195" spans="1:15">
      <c r="A1195" t="str">
        <f>"002713"</f>
        <v>002713</v>
      </c>
      <c r="B1195" t="s">
        <v>1231</v>
      </c>
      <c r="C1195">
        <v>5.02</v>
      </c>
      <c r="D1195">
        <v>10.87</v>
      </c>
      <c r="E1195">
        <v>1926.71</v>
      </c>
      <c r="F1195">
        <v>1</v>
      </c>
      <c r="H1195">
        <v>0</v>
      </c>
      <c r="I1195">
        <v>-4.9</v>
      </c>
      <c r="J1195">
        <v>0</v>
      </c>
      <c r="K1195" t="s">
        <v>140</v>
      </c>
      <c r="L1195">
        <v>2.42</v>
      </c>
      <c r="M1195">
        <v>301.25</v>
      </c>
      <c r="N1195">
        <v>0.07</v>
      </c>
      <c r="O1195">
        <v>5.13</v>
      </c>
    </row>
    <row r="1196" spans="1:15">
      <c r="A1196" t="str">
        <f>"002714"</f>
        <v>002714</v>
      </c>
      <c r="B1196" t="s">
        <v>1232</v>
      </c>
      <c r="C1196">
        <v>-2.97</v>
      </c>
      <c r="D1196">
        <v>33.63</v>
      </c>
      <c r="E1196" t="s">
        <v>16</v>
      </c>
      <c r="F1196" t="s">
        <v>16</v>
      </c>
      <c r="H1196">
        <v>-0.26</v>
      </c>
      <c r="I1196">
        <v>-4.27</v>
      </c>
      <c r="J1196">
        <v>-3.72</v>
      </c>
      <c r="L1196">
        <v>0.29</v>
      </c>
      <c r="M1196">
        <v>1191.57</v>
      </c>
      <c r="N1196">
        <v>0.01</v>
      </c>
      <c r="O1196">
        <v>3.05</v>
      </c>
    </row>
    <row r="1197" spans="1:15">
      <c r="A1197" t="str">
        <f>"002715"</f>
        <v>002715</v>
      </c>
      <c r="B1197" t="s">
        <v>1233</v>
      </c>
      <c r="C1197">
        <v>1.01</v>
      </c>
      <c r="D1197">
        <v>13.98</v>
      </c>
      <c r="E1197" t="s">
        <v>16</v>
      </c>
      <c r="F1197" t="s">
        <v>16</v>
      </c>
      <c r="H1197">
        <v>0.07</v>
      </c>
      <c r="I1197">
        <v>-9.86</v>
      </c>
      <c r="J1197">
        <v>-1.69</v>
      </c>
      <c r="L1197">
        <v>-1.23</v>
      </c>
      <c r="M1197">
        <v>116.2</v>
      </c>
      <c r="N1197">
        <v>0.09</v>
      </c>
      <c r="O1197">
        <v>17.35</v>
      </c>
    </row>
    <row r="1198" spans="1:15">
      <c r="A1198" t="str">
        <f>"002716"</f>
        <v>002716</v>
      </c>
      <c r="B1198" t="s">
        <v>1234</v>
      </c>
      <c r="C1198">
        <v>-1.08</v>
      </c>
      <c r="D1198">
        <v>9.14</v>
      </c>
      <c r="E1198" t="s">
        <v>16</v>
      </c>
      <c r="F1198" t="s">
        <v>16</v>
      </c>
      <c r="H1198">
        <v>0</v>
      </c>
      <c r="I1198">
        <v>-1.51</v>
      </c>
      <c r="J1198">
        <v>-2.56</v>
      </c>
      <c r="L1198">
        <v>-0.54</v>
      </c>
      <c r="M1198">
        <v>1131.38</v>
      </c>
      <c r="N1198">
        <v>0.06</v>
      </c>
      <c r="O1198">
        <v>2.45</v>
      </c>
    </row>
    <row r="1199" spans="1:15">
      <c r="A1199" t="str">
        <f>"002717"</f>
        <v>002717</v>
      </c>
      <c r="B1199" t="s">
        <v>1235</v>
      </c>
      <c r="C1199">
        <v>-4.67</v>
      </c>
      <c r="D1199">
        <v>1.02</v>
      </c>
      <c r="E1199">
        <v>488.71</v>
      </c>
      <c r="F1199" t="s">
        <v>16</v>
      </c>
      <c r="H1199">
        <v>0</v>
      </c>
      <c r="I1199">
        <v>-3.77</v>
      </c>
      <c r="J1199">
        <v>-2.86</v>
      </c>
      <c r="L1199">
        <v>-4.67</v>
      </c>
      <c r="M1199">
        <v>860.86</v>
      </c>
      <c r="N1199">
        <v>0.52</v>
      </c>
      <c r="O1199">
        <v>1.84</v>
      </c>
    </row>
    <row r="1200" spans="1:15">
      <c r="A1200" t="str">
        <f>"002718"</f>
        <v>002718</v>
      </c>
      <c r="B1200" t="s">
        <v>1236</v>
      </c>
      <c r="C1200">
        <v>-1.53</v>
      </c>
      <c r="D1200">
        <v>109.7</v>
      </c>
      <c r="E1200" t="s">
        <v>16</v>
      </c>
      <c r="F1200" t="s">
        <v>16</v>
      </c>
      <c r="H1200">
        <v>-0.25</v>
      </c>
      <c r="I1200">
        <v>21.74</v>
      </c>
      <c r="J1200">
        <v>-5.01</v>
      </c>
      <c r="L1200">
        <v>2.93</v>
      </c>
      <c r="M1200">
        <v>128.42</v>
      </c>
      <c r="N1200">
        <v>0.03</v>
      </c>
      <c r="O1200">
        <v>1.62</v>
      </c>
    </row>
    <row r="1201" spans="1:15">
      <c r="A1201" t="str">
        <f>"002719"</f>
        <v>002719</v>
      </c>
      <c r="B1201" t="s">
        <v>1237</v>
      </c>
      <c r="C1201">
        <v>-3.36</v>
      </c>
      <c r="D1201">
        <v>6.91</v>
      </c>
      <c r="E1201" t="s">
        <v>16</v>
      </c>
      <c r="F1201" t="s">
        <v>16</v>
      </c>
      <c r="H1201">
        <v>1.32</v>
      </c>
      <c r="I1201">
        <v>-5.86</v>
      </c>
      <c r="J1201">
        <v>-2.95</v>
      </c>
      <c r="L1201">
        <v>-1.26</v>
      </c>
      <c r="M1201">
        <v>3.88</v>
      </c>
      <c r="N1201">
        <v>0</v>
      </c>
      <c r="O1201">
        <v>0.07</v>
      </c>
    </row>
    <row r="1202" spans="1:15">
      <c r="A1202" t="str">
        <f>"002721"</f>
        <v>002721</v>
      </c>
      <c r="B1202" t="s">
        <v>1238</v>
      </c>
      <c r="C1202">
        <v>-1.27</v>
      </c>
      <c r="D1202">
        <v>2.33</v>
      </c>
      <c r="E1202" t="s">
        <v>16</v>
      </c>
      <c r="F1202" t="s">
        <v>16</v>
      </c>
      <c r="H1202">
        <v>0.43</v>
      </c>
      <c r="I1202">
        <v>-9.34</v>
      </c>
      <c r="J1202">
        <v>-1.69</v>
      </c>
      <c r="L1202">
        <v>-0.42</v>
      </c>
      <c r="M1202">
        <v>93.22</v>
      </c>
      <c r="N1202">
        <v>0.02</v>
      </c>
      <c r="O1202">
        <v>2.6</v>
      </c>
    </row>
    <row r="1203" spans="1:15">
      <c r="A1203" t="str">
        <f>"002722"</f>
        <v>002722</v>
      </c>
      <c r="B1203" t="s">
        <v>1239</v>
      </c>
      <c r="C1203">
        <v>-0.32</v>
      </c>
      <c r="D1203">
        <v>12.55</v>
      </c>
      <c r="E1203" t="s">
        <v>16</v>
      </c>
      <c r="F1203" t="s">
        <v>16</v>
      </c>
      <c r="H1203">
        <v>0.08</v>
      </c>
      <c r="I1203">
        <v>-4.85</v>
      </c>
      <c r="J1203">
        <v>-0.79</v>
      </c>
      <c r="L1203">
        <v>-0.71</v>
      </c>
      <c r="M1203">
        <v>20.63</v>
      </c>
      <c r="N1203">
        <v>0.01</v>
      </c>
      <c r="O1203">
        <v>1.4</v>
      </c>
    </row>
    <row r="1204" spans="1:15">
      <c r="A1204" t="str">
        <f>"002723"</f>
        <v>002723</v>
      </c>
      <c r="B1204" t="s">
        <v>1240</v>
      </c>
      <c r="C1204">
        <v>7.02</v>
      </c>
      <c r="D1204">
        <v>8.69</v>
      </c>
      <c r="E1204" t="s">
        <v>16</v>
      </c>
      <c r="F1204" t="s">
        <v>16</v>
      </c>
      <c r="H1204">
        <v>-0.33</v>
      </c>
      <c r="I1204">
        <v>1.52</v>
      </c>
      <c r="J1204">
        <v>-2.69</v>
      </c>
      <c r="L1204">
        <v>-0.99</v>
      </c>
      <c r="M1204">
        <v>11.42</v>
      </c>
      <c r="N1204">
        <v>0.01</v>
      </c>
      <c r="O1204">
        <v>0.31</v>
      </c>
    </row>
    <row r="1205" spans="1:15">
      <c r="A1205" t="str">
        <f>"002724"</f>
        <v>002724</v>
      </c>
      <c r="B1205" t="s">
        <v>1241</v>
      </c>
      <c r="C1205">
        <v>-1.75</v>
      </c>
      <c r="D1205">
        <v>5.05</v>
      </c>
      <c r="E1205" t="s">
        <v>16</v>
      </c>
      <c r="F1205" t="s">
        <v>16</v>
      </c>
      <c r="H1205">
        <v>0</v>
      </c>
      <c r="I1205">
        <v>-7.17</v>
      </c>
      <c r="J1205">
        <v>-1.56</v>
      </c>
      <c r="L1205">
        <v>-0.39</v>
      </c>
      <c r="M1205">
        <v>18.48</v>
      </c>
      <c r="N1205">
        <v>0.02</v>
      </c>
      <c r="O1205">
        <v>1.18</v>
      </c>
    </row>
    <row r="1206" spans="1:15">
      <c r="A1206" t="str">
        <f>"002725"</f>
        <v>002725</v>
      </c>
      <c r="B1206" t="s">
        <v>1242</v>
      </c>
      <c r="C1206">
        <v>-2.92</v>
      </c>
      <c r="D1206">
        <v>13.3</v>
      </c>
      <c r="E1206" t="s">
        <v>16</v>
      </c>
      <c r="F1206" t="s">
        <v>16</v>
      </c>
      <c r="H1206">
        <v>-0.14</v>
      </c>
      <c r="I1206">
        <v>-8.34</v>
      </c>
      <c r="J1206">
        <v>-4.66</v>
      </c>
      <c r="L1206">
        <v>-1.31</v>
      </c>
      <c r="M1206">
        <v>356.52</v>
      </c>
      <c r="N1206">
        <v>0.18</v>
      </c>
      <c r="O1206">
        <v>0.48</v>
      </c>
    </row>
    <row r="1207" spans="1:15">
      <c r="A1207" t="str">
        <f>"002726"</f>
        <v>002726</v>
      </c>
      <c r="B1207" t="s">
        <v>1243</v>
      </c>
      <c r="C1207">
        <v>1.35</v>
      </c>
      <c r="D1207">
        <v>1.5</v>
      </c>
      <c r="E1207" t="s">
        <v>16</v>
      </c>
      <c r="F1207" t="s">
        <v>16</v>
      </c>
      <c r="H1207">
        <v>0</v>
      </c>
      <c r="I1207">
        <v>-11.24</v>
      </c>
      <c r="J1207">
        <v>-3.23</v>
      </c>
      <c r="K1207" t="s">
        <v>26</v>
      </c>
      <c r="L1207">
        <v>0.68</v>
      </c>
      <c r="M1207">
        <v>94.08</v>
      </c>
      <c r="N1207">
        <v>0.1</v>
      </c>
      <c r="O1207">
        <v>0.45</v>
      </c>
    </row>
    <row r="1208" spans="1:15">
      <c r="A1208" t="str">
        <f>"002727"</f>
        <v>002727</v>
      </c>
      <c r="B1208" t="s">
        <v>1244</v>
      </c>
      <c r="C1208">
        <v>-0.46</v>
      </c>
      <c r="D1208">
        <v>10.71</v>
      </c>
      <c r="E1208" t="s">
        <v>16</v>
      </c>
      <c r="F1208" t="s">
        <v>16</v>
      </c>
      <c r="H1208">
        <v>-0.08</v>
      </c>
      <c r="I1208">
        <v>-4.2</v>
      </c>
      <c r="J1208">
        <v>-0.83</v>
      </c>
      <c r="L1208">
        <v>-0.65</v>
      </c>
      <c r="M1208">
        <v>13.47</v>
      </c>
      <c r="N1208">
        <v>0</v>
      </c>
      <c r="O1208">
        <v>4.06</v>
      </c>
    </row>
    <row r="1209" spans="1:15">
      <c r="A1209" t="str">
        <f>"002728"</f>
        <v>002728</v>
      </c>
      <c r="B1209" t="s">
        <v>1245</v>
      </c>
      <c r="C1209">
        <v>0.75</v>
      </c>
      <c r="D1209">
        <v>8.03</v>
      </c>
      <c r="E1209" t="s">
        <v>16</v>
      </c>
      <c r="F1209" t="s">
        <v>16</v>
      </c>
      <c r="H1209">
        <v>-0.11</v>
      </c>
      <c r="I1209">
        <v>-3.95</v>
      </c>
      <c r="J1209">
        <v>-0.99</v>
      </c>
      <c r="L1209">
        <v>0.5</v>
      </c>
      <c r="M1209">
        <v>16.26</v>
      </c>
      <c r="N1209">
        <v>0.01</v>
      </c>
      <c r="O1209">
        <v>5.8</v>
      </c>
    </row>
    <row r="1210" spans="1:15">
      <c r="A1210" t="str">
        <f>"002729"</f>
        <v>002729</v>
      </c>
      <c r="B1210" t="s">
        <v>1246</v>
      </c>
      <c r="C1210">
        <v>2.25</v>
      </c>
      <c r="D1210">
        <v>20.44</v>
      </c>
      <c r="E1210" t="s">
        <v>16</v>
      </c>
      <c r="F1210" t="s">
        <v>16</v>
      </c>
      <c r="H1210">
        <v>-0.14</v>
      </c>
      <c r="I1210">
        <v>13.49</v>
      </c>
      <c r="J1210">
        <v>-0.92</v>
      </c>
      <c r="K1210" t="s">
        <v>26</v>
      </c>
      <c r="L1210">
        <v>0</v>
      </c>
      <c r="M1210">
        <v>75.16</v>
      </c>
      <c r="N1210">
        <v>0.03</v>
      </c>
      <c r="O1210">
        <v>0.37</v>
      </c>
    </row>
    <row r="1211" spans="1:15">
      <c r="A1211" t="str">
        <f>"002730"</f>
        <v>002730</v>
      </c>
      <c r="B1211" t="s">
        <v>1247</v>
      </c>
      <c r="C1211">
        <v>1.62</v>
      </c>
      <c r="D1211">
        <v>30.05</v>
      </c>
      <c r="E1211" t="s">
        <v>16</v>
      </c>
      <c r="F1211" t="s">
        <v>16</v>
      </c>
      <c r="H1211">
        <v>-0.22</v>
      </c>
      <c r="I1211">
        <v>0.81</v>
      </c>
      <c r="J1211">
        <v>-1.31</v>
      </c>
      <c r="K1211" t="s">
        <v>57</v>
      </c>
      <c r="L1211">
        <v>0</v>
      </c>
      <c r="M1211">
        <v>125.38</v>
      </c>
      <c r="N1211">
        <v>0.02</v>
      </c>
      <c r="O1211">
        <v>0.69</v>
      </c>
    </row>
    <row r="1212" spans="1:15">
      <c r="A1212" t="str">
        <f>"002731"</f>
        <v>002731</v>
      </c>
      <c r="B1212" t="s">
        <v>1248</v>
      </c>
      <c r="C1212" t="s">
        <v>16</v>
      </c>
      <c r="D1212">
        <v>4.35</v>
      </c>
      <c r="E1212" t="s">
        <v>16</v>
      </c>
      <c r="F1212" t="s">
        <v>16</v>
      </c>
      <c r="H1212" t="s">
        <v>16</v>
      </c>
      <c r="I1212">
        <v>0</v>
      </c>
      <c r="J1212" t="s">
        <v>16</v>
      </c>
      <c r="L1212" t="s">
        <v>16</v>
      </c>
      <c r="M1212">
        <v>0</v>
      </c>
      <c r="N1212" t="s">
        <v>16</v>
      </c>
      <c r="O1212" t="s">
        <v>16</v>
      </c>
    </row>
    <row r="1213" spans="1:15">
      <c r="A1213" t="str">
        <f>"002732"</f>
        <v>002732</v>
      </c>
      <c r="B1213" t="s">
        <v>1249</v>
      </c>
      <c r="C1213">
        <v>-0.23</v>
      </c>
      <c r="D1213">
        <v>13.25</v>
      </c>
      <c r="E1213" t="s">
        <v>16</v>
      </c>
      <c r="F1213" t="s">
        <v>16</v>
      </c>
      <c r="H1213">
        <v>0</v>
      </c>
      <c r="I1213">
        <v>-4.81</v>
      </c>
      <c r="J1213">
        <v>-0.45</v>
      </c>
      <c r="L1213">
        <v>-0.75</v>
      </c>
      <c r="M1213">
        <v>7.51</v>
      </c>
      <c r="N1213">
        <v>0.01</v>
      </c>
      <c r="O1213">
        <v>1.36</v>
      </c>
    </row>
    <row r="1214" spans="1:15">
      <c r="A1214" t="str">
        <f>"002733"</f>
        <v>002733</v>
      </c>
      <c r="B1214" t="s">
        <v>1250</v>
      </c>
      <c r="C1214">
        <v>-2.2</v>
      </c>
      <c r="D1214">
        <v>35.09</v>
      </c>
      <c r="E1214" t="s">
        <v>16</v>
      </c>
      <c r="F1214" t="s">
        <v>16</v>
      </c>
      <c r="H1214">
        <v>0.17</v>
      </c>
      <c r="I1214">
        <v>7.41</v>
      </c>
      <c r="J1214">
        <v>-3.25</v>
      </c>
      <c r="L1214">
        <v>-0.89</v>
      </c>
      <c r="M1214">
        <v>554.02</v>
      </c>
      <c r="N1214">
        <v>0.07</v>
      </c>
      <c r="O1214">
        <v>0.84</v>
      </c>
    </row>
    <row r="1215" spans="1:15">
      <c r="A1215" t="str">
        <f>"002734"</f>
        <v>002734</v>
      </c>
      <c r="B1215" t="s">
        <v>1251</v>
      </c>
      <c r="C1215">
        <v>9.9</v>
      </c>
      <c r="D1215">
        <v>18.1</v>
      </c>
      <c r="E1215" t="s">
        <v>16</v>
      </c>
      <c r="F1215" t="s">
        <v>16</v>
      </c>
      <c r="H1215">
        <v>-0.1</v>
      </c>
      <c r="I1215">
        <v>5.05</v>
      </c>
      <c r="J1215">
        <v>-0.11</v>
      </c>
      <c r="K1215" t="s">
        <v>26</v>
      </c>
      <c r="L1215">
        <v>2</v>
      </c>
      <c r="M1215">
        <v>346.75</v>
      </c>
      <c r="N1215">
        <v>0.06</v>
      </c>
      <c r="O1215">
        <v>0.5</v>
      </c>
    </row>
    <row r="1216" spans="1:15">
      <c r="A1216" t="str">
        <f>"002735"</f>
        <v>002735</v>
      </c>
      <c r="B1216" t="s">
        <v>1252</v>
      </c>
      <c r="C1216">
        <v>-1.85</v>
      </c>
      <c r="D1216">
        <v>20.2</v>
      </c>
      <c r="E1216" t="s">
        <v>16</v>
      </c>
      <c r="F1216" t="s">
        <v>16</v>
      </c>
      <c r="H1216">
        <v>-0.09</v>
      </c>
      <c r="I1216">
        <v>17.99</v>
      </c>
      <c r="J1216">
        <v>-4.27</v>
      </c>
      <c r="K1216" t="s">
        <v>26</v>
      </c>
      <c r="L1216">
        <v>-0.78</v>
      </c>
      <c r="M1216">
        <v>754.11</v>
      </c>
      <c r="N1216">
        <v>0.15</v>
      </c>
      <c r="O1216">
        <v>0.35</v>
      </c>
    </row>
    <row r="1217" spans="1:15">
      <c r="A1217" t="str">
        <f>"002736"</f>
        <v>002736</v>
      </c>
      <c r="B1217" t="s">
        <v>1253</v>
      </c>
      <c r="C1217">
        <v>-2.49</v>
      </c>
      <c r="D1217">
        <v>10.2</v>
      </c>
      <c r="E1217" t="s">
        <v>16</v>
      </c>
      <c r="F1217" t="s">
        <v>16</v>
      </c>
      <c r="H1217">
        <v>-0.09</v>
      </c>
      <c r="I1217">
        <v>2.1</v>
      </c>
      <c r="J1217">
        <v>-2.58</v>
      </c>
      <c r="L1217">
        <v>0</v>
      </c>
      <c r="M1217">
        <v>93.62</v>
      </c>
      <c r="N1217">
        <v>0</v>
      </c>
      <c r="O1217">
        <v>0.86</v>
      </c>
    </row>
    <row r="1218" spans="1:15">
      <c r="A1218" t="str">
        <f>"002737"</f>
        <v>002737</v>
      </c>
      <c r="B1218" t="s">
        <v>1254</v>
      </c>
      <c r="C1218">
        <v>-0.41</v>
      </c>
      <c r="D1218">
        <v>12.1</v>
      </c>
      <c r="E1218" t="s">
        <v>16</v>
      </c>
      <c r="F1218" t="s">
        <v>16</v>
      </c>
      <c r="H1218">
        <v>-0.15</v>
      </c>
      <c r="I1218">
        <v>-3.28</v>
      </c>
      <c r="J1218">
        <v>-1.47</v>
      </c>
      <c r="L1218">
        <v>0</v>
      </c>
      <c r="M1218">
        <v>2.19</v>
      </c>
      <c r="N1218">
        <v>0</v>
      </c>
      <c r="O1218">
        <v>0.15</v>
      </c>
    </row>
    <row r="1219" spans="1:15">
      <c r="A1219" t="str">
        <f>"002738"</f>
        <v>002738</v>
      </c>
      <c r="B1219" t="s">
        <v>1255</v>
      </c>
      <c r="C1219">
        <v>-2.43</v>
      </c>
      <c r="D1219">
        <v>60.71</v>
      </c>
      <c r="E1219" t="s">
        <v>16</v>
      </c>
      <c r="F1219" t="s">
        <v>16</v>
      </c>
      <c r="H1219">
        <v>-0.15</v>
      </c>
      <c r="I1219">
        <v>5.03</v>
      </c>
      <c r="J1219">
        <v>-3.1</v>
      </c>
      <c r="L1219">
        <v>-0.68</v>
      </c>
      <c r="M1219">
        <v>1570.96</v>
      </c>
      <c r="N1219">
        <v>0.04</v>
      </c>
      <c r="O1219">
        <v>1.95</v>
      </c>
    </row>
    <row r="1220" spans="1:15">
      <c r="A1220" t="str">
        <f>"002739"</f>
        <v>002739</v>
      </c>
      <c r="B1220" t="s">
        <v>1256</v>
      </c>
      <c r="C1220">
        <v>-0.87</v>
      </c>
      <c r="D1220">
        <v>7.97</v>
      </c>
      <c r="E1220" t="s">
        <v>16</v>
      </c>
      <c r="F1220" t="s">
        <v>16</v>
      </c>
      <c r="H1220">
        <v>-0.24</v>
      </c>
      <c r="I1220">
        <v>-11.15</v>
      </c>
      <c r="J1220">
        <v>-3.39</v>
      </c>
      <c r="L1220">
        <v>-0.25</v>
      </c>
      <c r="M1220">
        <v>114.77</v>
      </c>
      <c r="N1220">
        <v>0.01</v>
      </c>
      <c r="O1220">
        <v>0.39</v>
      </c>
    </row>
    <row r="1221" spans="1:15">
      <c r="A1221" t="str">
        <f>"002741"</f>
        <v>002741</v>
      </c>
      <c r="B1221" t="s">
        <v>1257</v>
      </c>
      <c r="C1221">
        <v>4.72</v>
      </c>
      <c r="D1221">
        <v>41.3</v>
      </c>
      <c r="E1221" t="s">
        <v>16</v>
      </c>
      <c r="F1221" t="s">
        <v>16</v>
      </c>
      <c r="H1221">
        <v>0.88</v>
      </c>
      <c r="I1221">
        <v>45.27</v>
      </c>
      <c r="J1221">
        <v>-0.43</v>
      </c>
      <c r="K1221" t="s">
        <v>51</v>
      </c>
      <c r="L1221">
        <v>0.89</v>
      </c>
      <c r="M1221">
        <v>13453</v>
      </c>
      <c r="N1221">
        <v>1.15</v>
      </c>
      <c r="O1221">
        <v>0.62</v>
      </c>
    </row>
    <row r="1222" spans="1:15">
      <c r="A1222" t="str">
        <f>"002742"</f>
        <v>002742</v>
      </c>
      <c r="B1222" t="s">
        <v>1258</v>
      </c>
      <c r="C1222">
        <v>-0.83</v>
      </c>
      <c r="D1222">
        <v>3.58</v>
      </c>
      <c r="E1222" t="s">
        <v>16</v>
      </c>
      <c r="F1222" t="s">
        <v>16</v>
      </c>
      <c r="H1222">
        <v>-0.27</v>
      </c>
      <c r="I1222">
        <v>-11.82</v>
      </c>
      <c r="J1222">
        <v>-3.76</v>
      </c>
      <c r="L1222">
        <v>-0.83</v>
      </c>
      <c r="M1222">
        <v>75.65</v>
      </c>
      <c r="N1222">
        <v>0.05</v>
      </c>
      <c r="O1222">
        <v>0.43</v>
      </c>
    </row>
    <row r="1223" spans="1:15">
      <c r="A1223" t="str">
        <f>"002743"</f>
        <v>002743</v>
      </c>
      <c r="B1223" t="s">
        <v>1259</v>
      </c>
      <c r="C1223">
        <v>1.69</v>
      </c>
      <c r="D1223">
        <v>4.21</v>
      </c>
      <c r="E1223" t="s">
        <v>16</v>
      </c>
      <c r="F1223" t="s">
        <v>16</v>
      </c>
      <c r="H1223">
        <v>0.48</v>
      </c>
      <c r="I1223">
        <v>-9.27</v>
      </c>
      <c r="J1223">
        <v>-0.94</v>
      </c>
      <c r="L1223">
        <v>0.24</v>
      </c>
      <c r="M1223">
        <v>32.87</v>
      </c>
      <c r="N1223">
        <v>0.03</v>
      </c>
      <c r="O1223">
        <v>1.86</v>
      </c>
    </row>
    <row r="1224" spans="1:15">
      <c r="A1224" t="str">
        <f>"002745"</f>
        <v>002745</v>
      </c>
      <c r="B1224" t="s">
        <v>1260</v>
      </c>
      <c r="C1224">
        <v>-0.87</v>
      </c>
      <c r="D1224">
        <v>11.33</v>
      </c>
      <c r="E1224" t="s">
        <v>16</v>
      </c>
      <c r="F1224" t="s">
        <v>16</v>
      </c>
      <c r="H1224">
        <v>0</v>
      </c>
      <c r="I1224">
        <v>10</v>
      </c>
      <c r="J1224">
        <v>-4.23</v>
      </c>
      <c r="K1224" t="s">
        <v>57</v>
      </c>
      <c r="L1224">
        <v>0.52</v>
      </c>
      <c r="M1224">
        <v>1456.13</v>
      </c>
      <c r="N1224">
        <v>0.14</v>
      </c>
      <c r="O1224">
        <v>1.2</v>
      </c>
    </row>
    <row r="1225" spans="1:15">
      <c r="A1225" t="str">
        <f>"002746"</f>
        <v>002746</v>
      </c>
      <c r="B1225" t="s">
        <v>1261</v>
      </c>
      <c r="C1225">
        <v>-1.32</v>
      </c>
      <c r="D1225">
        <v>5.23</v>
      </c>
      <c r="E1225" t="s">
        <v>16</v>
      </c>
      <c r="F1225" t="s">
        <v>16</v>
      </c>
      <c r="H1225">
        <v>-0.18</v>
      </c>
      <c r="I1225">
        <v>-8.08</v>
      </c>
      <c r="J1225">
        <v>-1.13</v>
      </c>
      <c r="L1225">
        <v>-0.38</v>
      </c>
      <c r="M1225">
        <v>34.95</v>
      </c>
      <c r="N1225">
        <v>0.01</v>
      </c>
      <c r="O1225">
        <v>2.36</v>
      </c>
    </row>
    <row r="1226" spans="1:15">
      <c r="A1226" t="str">
        <f>"002747"</f>
        <v>002747</v>
      </c>
      <c r="B1226" t="s">
        <v>1262</v>
      </c>
      <c r="C1226">
        <v>10.01</v>
      </c>
      <c r="D1226">
        <v>36.5</v>
      </c>
      <c r="E1226">
        <v>11318.28</v>
      </c>
      <c r="F1226">
        <v>1</v>
      </c>
      <c r="H1226">
        <v>0</v>
      </c>
      <c r="I1226">
        <v>23.77</v>
      </c>
      <c r="J1226">
        <v>0</v>
      </c>
      <c r="K1226" t="s">
        <v>140</v>
      </c>
      <c r="L1226">
        <v>1.05</v>
      </c>
      <c r="M1226">
        <v>3392.9</v>
      </c>
      <c r="N1226">
        <v>0.2</v>
      </c>
      <c r="O1226">
        <v>1.7</v>
      </c>
    </row>
    <row r="1227" spans="1:15">
      <c r="A1227" t="str">
        <f>"002748"</f>
        <v>002748</v>
      </c>
      <c r="B1227" t="s">
        <v>1263</v>
      </c>
      <c r="C1227">
        <v>-2.5</v>
      </c>
      <c r="D1227">
        <v>10.51</v>
      </c>
      <c r="E1227" t="s">
        <v>16</v>
      </c>
      <c r="F1227" t="s">
        <v>16</v>
      </c>
      <c r="H1227">
        <v>-0.27</v>
      </c>
      <c r="I1227">
        <v>-1.59</v>
      </c>
      <c r="J1227">
        <v>-2.59</v>
      </c>
      <c r="L1227">
        <v>-0.65</v>
      </c>
      <c r="M1227">
        <v>7.5</v>
      </c>
      <c r="N1227">
        <v>0.01</v>
      </c>
      <c r="O1227">
        <v>2</v>
      </c>
    </row>
    <row r="1228" spans="1:15">
      <c r="A1228" t="str">
        <f>"002749"</f>
        <v>002749</v>
      </c>
      <c r="B1228" t="s">
        <v>1264</v>
      </c>
      <c r="C1228">
        <v>-1.82</v>
      </c>
      <c r="D1228">
        <v>8.1</v>
      </c>
      <c r="E1228" t="s">
        <v>16</v>
      </c>
      <c r="F1228" t="s">
        <v>16</v>
      </c>
      <c r="H1228">
        <v>0.12</v>
      </c>
      <c r="I1228">
        <v>-10.89</v>
      </c>
      <c r="J1228">
        <v>-1.94</v>
      </c>
      <c r="L1228">
        <v>0</v>
      </c>
      <c r="M1228">
        <v>1.96</v>
      </c>
      <c r="N1228">
        <v>0</v>
      </c>
      <c r="O1228">
        <v>0.25</v>
      </c>
    </row>
    <row r="1229" spans="1:15">
      <c r="A1229" t="str">
        <f>"002752"</f>
        <v>002752</v>
      </c>
      <c r="B1229" t="s">
        <v>1265</v>
      </c>
      <c r="C1229">
        <v>-1.78</v>
      </c>
      <c r="D1229">
        <v>6.08</v>
      </c>
      <c r="E1229" t="s">
        <v>16</v>
      </c>
      <c r="F1229" t="s">
        <v>16</v>
      </c>
      <c r="H1229">
        <v>-0.15</v>
      </c>
      <c r="I1229">
        <v>-5.3</v>
      </c>
      <c r="J1229">
        <v>-2.41</v>
      </c>
      <c r="L1229">
        <v>-0.65</v>
      </c>
      <c r="M1229">
        <v>49.82</v>
      </c>
      <c r="N1229">
        <v>0.02</v>
      </c>
      <c r="O1229">
        <v>7.43</v>
      </c>
    </row>
    <row r="1230" spans="1:15">
      <c r="A1230" t="str">
        <f>"002753"</f>
        <v>002753</v>
      </c>
      <c r="B1230" t="s">
        <v>1266</v>
      </c>
      <c r="C1230">
        <v>2.1</v>
      </c>
      <c r="D1230">
        <v>6.33</v>
      </c>
      <c r="E1230" t="s">
        <v>16</v>
      </c>
      <c r="F1230" t="s">
        <v>16</v>
      </c>
      <c r="H1230">
        <v>0.16</v>
      </c>
      <c r="I1230">
        <v>-1.4</v>
      </c>
      <c r="J1230">
        <v>-1.09</v>
      </c>
      <c r="L1230">
        <v>0.32</v>
      </c>
      <c r="M1230">
        <v>20.9</v>
      </c>
      <c r="N1230">
        <v>0.02</v>
      </c>
      <c r="O1230">
        <v>1.66</v>
      </c>
    </row>
    <row r="1231" spans="1:15">
      <c r="A1231" t="str">
        <f>"002755"</f>
        <v>002755</v>
      </c>
      <c r="B1231" t="s">
        <v>1267</v>
      </c>
      <c r="C1231">
        <v>1.83</v>
      </c>
      <c r="D1231">
        <v>12.83</v>
      </c>
      <c r="E1231" t="s">
        <v>16</v>
      </c>
      <c r="F1231" t="s">
        <v>16</v>
      </c>
      <c r="H1231">
        <v>0.08</v>
      </c>
      <c r="I1231">
        <v>-0.54</v>
      </c>
      <c r="J1231">
        <v>-1.23</v>
      </c>
      <c r="L1231">
        <v>-0.24</v>
      </c>
      <c r="M1231">
        <v>26.15</v>
      </c>
      <c r="N1231">
        <v>0.01</v>
      </c>
      <c r="O1231">
        <v>1.22</v>
      </c>
    </row>
    <row r="1232" spans="1:15">
      <c r="A1232" t="str">
        <f>"002756"</f>
        <v>002756</v>
      </c>
      <c r="B1232" t="s">
        <v>1268</v>
      </c>
      <c r="C1232">
        <v>-1.24</v>
      </c>
      <c r="D1232">
        <v>61.15</v>
      </c>
      <c r="E1232" t="s">
        <v>16</v>
      </c>
      <c r="F1232" t="s">
        <v>16</v>
      </c>
      <c r="H1232">
        <v>-0.06</v>
      </c>
      <c r="I1232">
        <v>1.92</v>
      </c>
      <c r="J1232">
        <v>-2.32</v>
      </c>
      <c r="L1232">
        <v>-1.21</v>
      </c>
      <c r="M1232">
        <v>617.21</v>
      </c>
      <c r="N1232">
        <v>0.03</v>
      </c>
      <c r="O1232">
        <v>0.98</v>
      </c>
    </row>
    <row r="1233" spans="1:15">
      <c r="A1233" t="str">
        <f>"002757"</f>
        <v>002757</v>
      </c>
      <c r="B1233" t="s">
        <v>1269</v>
      </c>
      <c r="C1233">
        <v>1.33</v>
      </c>
      <c r="D1233">
        <v>21.35</v>
      </c>
      <c r="E1233" t="s">
        <v>16</v>
      </c>
      <c r="F1233" t="s">
        <v>16</v>
      </c>
      <c r="H1233">
        <v>0.14</v>
      </c>
      <c r="I1233">
        <v>-6.15</v>
      </c>
      <c r="J1233">
        <v>-1.07</v>
      </c>
      <c r="L1233">
        <v>-0.71</v>
      </c>
      <c r="M1233">
        <v>46.86</v>
      </c>
      <c r="N1233">
        <v>0.01</v>
      </c>
      <c r="O1233">
        <v>0.59</v>
      </c>
    </row>
    <row r="1234" spans="1:15">
      <c r="A1234" t="str">
        <f>"002758"</f>
        <v>002758</v>
      </c>
      <c r="B1234" t="s">
        <v>1270</v>
      </c>
      <c r="C1234">
        <v>-1.12</v>
      </c>
      <c r="D1234">
        <v>7.95</v>
      </c>
      <c r="E1234" t="s">
        <v>16</v>
      </c>
      <c r="F1234" t="s">
        <v>16</v>
      </c>
      <c r="H1234">
        <v>-0.24</v>
      </c>
      <c r="I1234">
        <v>-4.22</v>
      </c>
      <c r="J1234">
        <v>-1</v>
      </c>
      <c r="L1234">
        <v>-0.25</v>
      </c>
      <c r="M1234">
        <v>7.38</v>
      </c>
      <c r="N1234">
        <v>0</v>
      </c>
      <c r="O1234">
        <v>0.94</v>
      </c>
    </row>
    <row r="1235" spans="1:15">
      <c r="A1235" t="str">
        <f>"002759"</f>
        <v>002759</v>
      </c>
      <c r="B1235" t="s">
        <v>1271</v>
      </c>
      <c r="C1235">
        <v>-1.49</v>
      </c>
      <c r="D1235">
        <v>27.12</v>
      </c>
      <c r="E1235" t="s">
        <v>16</v>
      </c>
      <c r="F1235" t="s">
        <v>16</v>
      </c>
      <c r="H1235">
        <v>0.07</v>
      </c>
      <c r="I1235">
        <v>1.46</v>
      </c>
      <c r="J1235">
        <v>-3.52</v>
      </c>
      <c r="L1235">
        <v>0.62</v>
      </c>
      <c r="M1235">
        <v>494.45</v>
      </c>
      <c r="N1235">
        <v>0.04</v>
      </c>
      <c r="O1235">
        <v>0.73</v>
      </c>
    </row>
    <row r="1236" spans="1:15">
      <c r="A1236" t="str">
        <f>"002760"</f>
        <v>002760</v>
      </c>
      <c r="B1236" t="s">
        <v>1272</v>
      </c>
      <c r="C1236">
        <v>-0.29</v>
      </c>
      <c r="D1236">
        <v>17.36</v>
      </c>
      <c r="E1236" t="s">
        <v>16</v>
      </c>
      <c r="F1236" t="s">
        <v>16</v>
      </c>
      <c r="H1236">
        <v>0</v>
      </c>
      <c r="I1236">
        <v>-7.66</v>
      </c>
      <c r="J1236">
        <v>-1.59</v>
      </c>
      <c r="L1236">
        <v>-1.32</v>
      </c>
      <c r="M1236">
        <v>65.11</v>
      </c>
      <c r="N1236">
        <v>0.05</v>
      </c>
      <c r="O1236">
        <v>2.65</v>
      </c>
    </row>
    <row r="1237" spans="1:15">
      <c r="A1237" t="str">
        <f>"002761"</f>
        <v>002761</v>
      </c>
      <c r="B1237" t="s">
        <v>1273</v>
      </c>
      <c r="C1237">
        <v>-1.39</v>
      </c>
      <c r="D1237">
        <v>7.08</v>
      </c>
      <c r="E1237" t="s">
        <v>16</v>
      </c>
      <c r="F1237" t="s">
        <v>16</v>
      </c>
      <c r="H1237">
        <v>-0.13</v>
      </c>
      <c r="I1237">
        <v>-5.47</v>
      </c>
      <c r="J1237">
        <v>-1.39</v>
      </c>
      <c r="L1237">
        <v>0</v>
      </c>
      <c r="M1237">
        <v>29.51</v>
      </c>
      <c r="N1237">
        <v>0.01</v>
      </c>
      <c r="O1237">
        <v>0.5</v>
      </c>
    </row>
    <row r="1238" spans="1:15">
      <c r="A1238" t="str">
        <f>"002762"</f>
        <v>002762</v>
      </c>
      <c r="B1238" t="s">
        <v>1274</v>
      </c>
      <c r="C1238" t="s">
        <v>16</v>
      </c>
      <c r="D1238">
        <v>8.77</v>
      </c>
      <c r="E1238" t="s">
        <v>16</v>
      </c>
      <c r="F1238" t="s">
        <v>16</v>
      </c>
      <c r="H1238" t="s">
        <v>16</v>
      </c>
      <c r="I1238">
        <v>-0.79</v>
      </c>
      <c r="J1238" t="s">
        <v>16</v>
      </c>
      <c r="L1238" t="s">
        <v>16</v>
      </c>
      <c r="M1238">
        <v>0</v>
      </c>
      <c r="N1238" t="s">
        <v>16</v>
      </c>
      <c r="O1238" t="s">
        <v>16</v>
      </c>
    </row>
    <row r="1239" spans="1:15">
      <c r="A1239" t="str">
        <f>"002763"</f>
        <v>002763</v>
      </c>
      <c r="B1239" t="s">
        <v>1275</v>
      </c>
      <c r="C1239">
        <v>-0.81</v>
      </c>
      <c r="D1239">
        <v>7.35</v>
      </c>
      <c r="E1239" t="s">
        <v>16</v>
      </c>
      <c r="F1239" t="s">
        <v>16</v>
      </c>
      <c r="H1239">
        <v>-0.4</v>
      </c>
      <c r="I1239">
        <v>-7.31</v>
      </c>
      <c r="J1239">
        <v>-1.34</v>
      </c>
      <c r="L1239">
        <v>-0.67</v>
      </c>
      <c r="M1239">
        <v>15.31</v>
      </c>
      <c r="N1239">
        <v>0.01</v>
      </c>
      <c r="O1239">
        <v>1.82</v>
      </c>
    </row>
    <row r="1240" spans="1:15">
      <c r="A1240" t="str">
        <f>"002765"</f>
        <v>002765</v>
      </c>
      <c r="B1240" t="s">
        <v>1276</v>
      </c>
      <c r="C1240">
        <v>-2.71</v>
      </c>
      <c r="D1240">
        <v>7.89</v>
      </c>
      <c r="E1240" t="s">
        <v>16</v>
      </c>
      <c r="F1240" t="s">
        <v>16</v>
      </c>
      <c r="H1240">
        <v>-0.24</v>
      </c>
      <c r="I1240">
        <v>-1.5</v>
      </c>
      <c r="J1240">
        <v>-2.11</v>
      </c>
      <c r="L1240">
        <v>-1.97</v>
      </c>
      <c r="M1240">
        <v>238.02</v>
      </c>
      <c r="N1240">
        <v>0.07</v>
      </c>
      <c r="O1240">
        <v>10.47</v>
      </c>
    </row>
    <row r="1241" spans="1:15">
      <c r="A1241" t="str">
        <f>"002766"</f>
        <v>002766</v>
      </c>
      <c r="B1241" t="s">
        <v>1277</v>
      </c>
      <c r="C1241">
        <v>-0.77</v>
      </c>
      <c r="D1241">
        <v>3.87</v>
      </c>
      <c r="E1241" t="s">
        <v>16</v>
      </c>
      <c r="F1241" t="s">
        <v>16</v>
      </c>
      <c r="H1241">
        <v>0</v>
      </c>
      <c r="I1241">
        <v>-17.66</v>
      </c>
      <c r="J1241">
        <v>-2.27</v>
      </c>
      <c r="L1241">
        <v>-1.03</v>
      </c>
      <c r="M1241">
        <v>28.37</v>
      </c>
      <c r="N1241">
        <v>0.02</v>
      </c>
      <c r="O1241">
        <v>2.02</v>
      </c>
    </row>
    <row r="1242" spans="1:15">
      <c r="A1242" t="str">
        <f>"002767"</f>
        <v>002767</v>
      </c>
      <c r="B1242" t="s">
        <v>1278</v>
      </c>
      <c r="C1242">
        <v>0.7</v>
      </c>
      <c r="D1242">
        <v>17.35</v>
      </c>
      <c r="E1242" t="s">
        <v>16</v>
      </c>
      <c r="F1242" t="s">
        <v>16</v>
      </c>
      <c r="H1242">
        <v>-0.11</v>
      </c>
      <c r="I1242">
        <v>-1.59</v>
      </c>
      <c r="J1242">
        <v>-1.64</v>
      </c>
      <c r="L1242">
        <v>0.06</v>
      </c>
      <c r="M1242">
        <v>1.72</v>
      </c>
      <c r="N1242">
        <v>0</v>
      </c>
      <c r="O1242">
        <v>0.23</v>
      </c>
    </row>
    <row r="1243" spans="1:15">
      <c r="A1243" t="str">
        <f>"002768"</f>
        <v>002768</v>
      </c>
      <c r="B1243" t="s">
        <v>1279</v>
      </c>
      <c r="C1243">
        <v>2.81</v>
      </c>
      <c r="D1243">
        <v>54.5</v>
      </c>
      <c r="E1243" t="s">
        <v>16</v>
      </c>
      <c r="F1243" t="s">
        <v>16</v>
      </c>
      <c r="H1243">
        <v>0.29</v>
      </c>
      <c r="I1243">
        <v>26.86</v>
      </c>
      <c r="J1243">
        <v>-1.3</v>
      </c>
      <c r="L1243">
        <v>-0.25</v>
      </c>
      <c r="M1243">
        <v>550.88</v>
      </c>
      <c r="N1243">
        <v>0.06</v>
      </c>
      <c r="O1243">
        <v>1.53</v>
      </c>
    </row>
    <row r="1244" spans="1:15">
      <c r="A1244" t="str">
        <f>"002769"</f>
        <v>002769</v>
      </c>
      <c r="B1244" t="s">
        <v>1280</v>
      </c>
      <c r="C1244">
        <v>-3.44</v>
      </c>
      <c r="D1244">
        <v>7.3</v>
      </c>
      <c r="E1244" t="s">
        <v>16</v>
      </c>
      <c r="F1244" t="s">
        <v>16</v>
      </c>
      <c r="H1244">
        <v>-0.53</v>
      </c>
      <c r="I1244">
        <v>-6.89</v>
      </c>
      <c r="J1244">
        <v>-3.31</v>
      </c>
      <c r="L1244">
        <v>-1.46</v>
      </c>
      <c r="M1244">
        <v>18.33</v>
      </c>
      <c r="N1244">
        <v>0.01</v>
      </c>
      <c r="O1244">
        <v>0.74</v>
      </c>
    </row>
    <row r="1245" spans="1:15">
      <c r="A1245" t="str">
        <f>"002771"</f>
        <v>002771</v>
      </c>
      <c r="B1245" t="s">
        <v>1281</v>
      </c>
      <c r="C1245">
        <v>-2.68</v>
      </c>
      <c r="D1245">
        <v>14.16</v>
      </c>
      <c r="E1245" t="s">
        <v>16</v>
      </c>
      <c r="F1245" t="s">
        <v>16</v>
      </c>
      <c r="H1245">
        <v>-0.06</v>
      </c>
      <c r="I1245">
        <v>-12.92</v>
      </c>
      <c r="J1245">
        <v>-2.68</v>
      </c>
      <c r="L1245">
        <v>0</v>
      </c>
      <c r="M1245">
        <v>59.22</v>
      </c>
      <c r="N1245">
        <v>0.02</v>
      </c>
      <c r="O1245">
        <v>0.3</v>
      </c>
    </row>
    <row r="1246" spans="1:15">
      <c r="A1246" t="str">
        <f>"002772"</f>
        <v>002772</v>
      </c>
      <c r="B1246" t="s">
        <v>1282</v>
      </c>
      <c r="C1246">
        <v>-0.63</v>
      </c>
      <c r="D1246">
        <v>12.61</v>
      </c>
      <c r="E1246" t="s">
        <v>16</v>
      </c>
      <c r="F1246" t="s">
        <v>16</v>
      </c>
      <c r="H1246">
        <v>-0.07</v>
      </c>
      <c r="I1246">
        <v>0</v>
      </c>
      <c r="J1246">
        <v>-1.79</v>
      </c>
      <c r="L1246">
        <v>-0.79</v>
      </c>
      <c r="M1246">
        <v>61.06</v>
      </c>
      <c r="N1246">
        <v>0.02</v>
      </c>
      <c r="O1246">
        <v>2.79</v>
      </c>
    </row>
    <row r="1247" spans="1:15">
      <c r="A1247" t="str">
        <f>"002773"</f>
        <v>002773</v>
      </c>
      <c r="B1247" t="s">
        <v>1283</v>
      </c>
      <c r="C1247">
        <v>0</v>
      </c>
      <c r="D1247">
        <v>19.81</v>
      </c>
      <c r="E1247" t="s">
        <v>16</v>
      </c>
      <c r="F1247" t="s">
        <v>16</v>
      </c>
      <c r="H1247">
        <v>-0.14</v>
      </c>
      <c r="I1247">
        <v>-5.4</v>
      </c>
      <c r="J1247">
        <v>-2.12</v>
      </c>
      <c r="L1247">
        <v>-0.05</v>
      </c>
      <c r="M1247">
        <v>36.43</v>
      </c>
      <c r="N1247">
        <v>0.01</v>
      </c>
      <c r="O1247">
        <v>1.28</v>
      </c>
    </row>
    <row r="1248" spans="1:15">
      <c r="A1248" t="str">
        <f>"002774"</f>
        <v>002774</v>
      </c>
      <c r="B1248" t="s">
        <v>1284</v>
      </c>
      <c r="C1248">
        <v>-0.41</v>
      </c>
      <c r="D1248">
        <v>12.29</v>
      </c>
      <c r="E1248" t="s">
        <v>16</v>
      </c>
      <c r="F1248" t="s">
        <v>16</v>
      </c>
      <c r="H1248">
        <v>-0.4</v>
      </c>
      <c r="I1248">
        <v>7.06</v>
      </c>
      <c r="J1248">
        <v>-5.17</v>
      </c>
      <c r="K1248" t="s">
        <v>26</v>
      </c>
      <c r="L1248">
        <v>-0.49</v>
      </c>
      <c r="M1248">
        <v>319.77</v>
      </c>
      <c r="N1248">
        <v>0.23</v>
      </c>
      <c r="O1248">
        <v>1.87</v>
      </c>
    </row>
    <row r="1249" spans="1:15">
      <c r="A1249" t="str">
        <f>"002775"</f>
        <v>002775</v>
      </c>
      <c r="B1249" t="s">
        <v>1285</v>
      </c>
      <c r="C1249">
        <v>2.24</v>
      </c>
      <c r="D1249">
        <v>4.11</v>
      </c>
      <c r="E1249" t="s">
        <v>16</v>
      </c>
      <c r="F1249" t="s">
        <v>16</v>
      </c>
      <c r="H1249">
        <v>3.53</v>
      </c>
      <c r="I1249">
        <v>7.59</v>
      </c>
      <c r="J1249">
        <v>0</v>
      </c>
      <c r="L1249">
        <v>-1.24</v>
      </c>
      <c r="M1249">
        <v>92.46</v>
      </c>
      <c r="N1249">
        <v>0.08</v>
      </c>
      <c r="O1249">
        <v>3.12</v>
      </c>
    </row>
    <row r="1250" spans="1:15">
      <c r="A1250" t="str">
        <f>"002777"</f>
        <v>002777</v>
      </c>
      <c r="B1250" t="s">
        <v>1286</v>
      </c>
      <c r="C1250">
        <v>0</v>
      </c>
      <c r="D1250">
        <v>13.12</v>
      </c>
      <c r="E1250" t="s">
        <v>16</v>
      </c>
      <c r="F1250" t="s">
        <v>16</v>
      </c>
      <c r="H1250">
        <v>-0.07</v>
      </c>
      <c r="I1250">
        <v>-2.16</v>
      </c>
      <c r="J1250">
        <v>-1.2</v>
      </c>
      <c r="L1250">
        <v>-0.08</v>
      </c>
      <c r="M1250">
        <v>7.73</v>
      </c>
      <c r="N1250">
        <v>0</v>
      </c>
      <c r="O1250">
        <v>0.73</v>
      </c>
    </row>
    <row r="1251" spans="1:15">
      <c r="A1251" t="str">
        <f>"002778"</f>
        <v>002778</v>
      </c>
      <c r="B1251" t="s">
        <v>1287</v>
      </c>
      <c r="C1251">
        <v>5.44</v>
      </c>
      <c r="D1251">
        <v>17.25</v>
      </c>
      <c r="E1251" t="s">
        <v>16</v>
      </c>
      <c r="F1251" t="s">
        <v>16</v>
      </c>
      <c r="H1251">
        <v>0.29</v>
      </c>
      <c r="I1251">
        <v>-6.1</v>
      </c>
      <c r="J1251">
        <v>-4.17</v>
      </c>
      <c r="L1251">
        <v>-0.06</v>
      </c>
      <c r="M1251">
        <v>5.07</v>
      </c>
      <c r="N1251">
        <v>0</v>
      </c>
      <c r="O1251">
        <v>3.88</v>
      </c>
    </row>
    <row r="1252" spans="1:15">
      <c r="A1252" t="str">
        <f>"002779"</f>
        <v>002779</v>
      </c>
      <c r="B1252" t="s">
        <v>1288</v>
      </c>
      <c r="C1252">
        <v>-1.94</v>
      </c>
      <c r="D1252">
        <v>82.8</v>
      </c>
      <c r="E1252" t="s">
        <v>16</v>
      </c>
      <c r="F1252" t="s">
        <v>16</v>
      </c>
      <c r="H1252">
        <v>0.04</v>
      </c>
      <c r="I1252">
        <v>22.98</v>
      </c>
      <c r="J1252">
        <v>-1.94</v>
      </c>
      <c r="L1252">
        <v>0</v>
      </c>
      <c r="M1252">
        <v>25.33</v>
      </c>
      <c r="N1252">
        <v>0</v>
      </c>
      <c r="O1252">
        <v>0.33</v>
      </c>
    </row>
    <row r="1253" spans="1:15">
      <c r="A1253" t="str">
        <f>"002780"</f>
        <v>002780</v>
      </c>
      <c r="B1253" t="s">
        <v>1289</v>
      </c>
      <c r="C1253">
        <v>-1.22</v>
      </c>
      <c r="D1253">
        <v>12.97</v>
      </c>
      <c r="E1253" t="s">
        <v>16</v>
      </c>
      <c r="F1253" t="s">
        <v>16</v>
      </c>
      <c r="H1253">
        <v>-0.22</v>
      </c>
      <c r="I1253">
        <v>-2.85</v>
      </c>
      <c r="J1253">
        <v>-1.22</v>
      </c>
      <c r="L1253">
        <v>0</v>
      </c>
      <c r="M1253">
        <v>20.61</v>
      </c>
      <c r="N1253">
        <v>0.01</v>
      </c>
      <c r="O1253">
        <v>2.31</v>
      </c>
    </row>
    <row r="1254" spans="1:15">
      <c r="A1254" t="str">
        <f>"002782"</f>
        <v>002782</v>
      </c>
      <c r="B1254" t="s">
        <v>1290</v>
      </c>
      <c r="C1254">
        <v>-1.3</v>
      </c>
      <c r="D1254">
        <v>24.37</v>
      </c>
      <c r="E1254" t="s">
        <v>16</v>
      </c>
      <c r="F1254" t="s">
        <v>16</v>
      </c>
      <c r="H1254">
        <v>-0.03</v>
      </c>
      <c r="I1254">
        <v>-3.29</v>
      </c>
      <c r="J1254">
        <v>-1.89</v>
      </c>
      <c r="K1254" t="s">
        <v>26</v>
      </c>
      <c r="L1254">
        <v>-0.49</v>
      </c>
      <c r="M1254">
        <v>556.51</v>
      </c>
      <c r="N1254">
        <v>0.11</v>
      </c>
      <c r="O1254">
        <v>0.75</v>
      </c>
    </row>
    <row r="1255" spans="1:15">
      <c r="A1255" t="str">
        <f>"002783"</f>
        <v>002783</v>
      </c>
      <c r="B1255" t="s">
        <v>1291</v>
      </c>
      <c r="C1255">
        <v>0.27</v>
      </c>
      <c r="D1255">
        <v>7.31</v>
      </c>
      <c r="E1255" t="s">
        <v>16</v>
      </c>
      <c r="F1255" t="s">
        <v>16</v>
      </c>
      <c r="H1255">
        <v>0</v>
      </c>
      <c r="I1255">
        <v>-11.61</v>
      </c>
      <c r="J1255">
        <v>-1.48</v>
      </c>
      <c r="L1255">
        <v>0.55</v>
      </c>
      <c r="M1255">
        <v>2.35</v>
      </c>
      <c r="N1255">
        <v>0</v>
      </c>
      <c r="O1255">
        <v>0.13</v>
      </c>
    </row>
    <row r="1256" spans="1:15">
      <c r="A1256" t="str">
        <f>"002785"</f>
        <v>002785</v>
      </c>
      <c r="B1256" t="s">
        <v>1292</v>
      </c>
      <c r="C1256">
        <v>4.5</v>
      </c>
      <c r="D1256">
        <v>40.88</v>
      </c>
      <c r="E1256" t="s">
        <v>16</v>
      </c>
      <c r="F1256" t="s">
        <v>16</v>
      </c>
      <c r="H1256">
        <v>0.02</v>
      </c>
      <c r="I1256">
        <v>-3.65</v>
      </c>
      <c r="J1256">
        <v>-4.26</v>
      </c>
      <c r="L1256">
        <v>-0.43</v>
      </c>
      <c r="M1256">
        <v>134.38</v>
      </c>
      <c r="N1256">
        <v>0.02</v>
      </c>
      <c r="O1256">
        <v>6.76</v>
      </c>
    </row>
    <row r="1257" spans="1:15">
      <c r="A1257" t="str">
        <f>"002786"</f>
        <v>002786</v>
      </c>
      <c r="B1257" t="s">
        <v>1293</v>
      </c>
      <c r="C1257">
        <v>-4.15</v>
      </c>
      <c r="D1257">
        <v>8.09</v>
      </c>
      <c r="E1257" t="s">
        <v>16</v>
      </c>
      <c r="F1257" t="s">
        <v>16</v>
      </c>
      <c r="H1257">
        <v>-0.24</v>
      </c>
      <c r="I1257">
        <v>0.75</v>
      </c>
      <c r="J1257">
        <v>-3.23</v>
      </c>
      <c r="L1257">
        <v>-1.07</v>
      </c>
      <c r="M1257">
        <v>88.93</v>
      </c>
      <c r="N1257">
        <v>0.03</v>
      </c>
      <c r="O1257">
        <v>2.13</v>
      </c>
    </row>
    <row r="1258" spans="1:15">
      <c r="A1258" t="str">
        <f>"002787"</f>
        <v>002787</v>
      </c>
      <c r="B1258" t="s">
        <v>1294</v>
      </c>
      <c r="C1258">
        <v>-2.2</v>
      </c>
      <c r="D1258">
        <v>28.85</v>
      </c>
      <c r="E1258" t="s">
        <v>16</v>
      </c>
      <c r="F1258" t="s">
        <v>16</v>
      </c>
      <c r="H1258">
        <v>0.07</v>
      </c>
      <c r="I1258">
        <v>-5.16</v>
      </c>
      <c r="J1258">
        <v>-3.19</v>
      </c>
      <c r="L1258">
        <v>-0.03</v>
      </c>
      <c r="M1258">
        <v>698.91</v>
      </c>
      <c r="N1258">
        <v>0.12</v>
      </c>
      <c r="O1258">
        <v>3.89</v>
      </c>
    </row>
    <row r="1259" spans="1:15">
      <c r="A1259" t="str">
        <f>"002788"</f>
        <v>002788</v>
      </c>
      <c r="B1259" t="s">
        <v>1295</v>
      </c>
      <c r="C1259">
        <v>-0.18</v>
      </c>
      <c r="D1259">
        <v>10.93</v>
      </c>
      <c r="E1259" t="s">
        <v>16</v>
      </c>
      <c r="F1259" t="s">
        <v>16</v>
      </c>
      <c r="H1259">
        <v>0.18</v>
      </c>
      <c r="I1259">
        <v>-7.69</v>
      </c>
      <c r="J1259">
        <v>-1.44</v>
      </c>
      <c r="L1259">
        <v>-0.27</v>
      </c>
      <c r="M1259">
        <v>40.19</v>
      </c>
      <c r="N1259">
        <v>0.02</v>
      </c>
      <c r="O1259">
        <v>0.6</v>
      </c>
    </row>
    <row r="1260" spans="1:15">
      <c r="A1260" t="str">
        <f>"002789"</f>
        <v>002789</v>
      </c>
      <c r="B1260" t="s">
        <v>1296</v>
      </c>
      <c r="C1260">
        <v>5.01</v>
      </c>
      <c r="D1260">
        <v>14.87</v>
      </c>
      <c r="E1260">
        <v>3239.43</v>
      </c>
      <c r="F1260">
        <v>2</v>
      </c>
      <c r="H1260">
        <v>0</v>
      </c>
      <c r="I1260">
        <v>13.51</v>
      </c>
      <c r="J1260">
        <v>0</v>
      </c>
      <c r="K1260" t="s">
        <v>747</v>
      </c>
      <c r="L1260">
        <v>5.01</v>
      </c>
      <c r="M1260">
        <v>44.76</v>
      </c>
      <c r="N1260">
        <v>0.04</v>
      </c>
      <c r="O1260">
        <v>0.23</v>
      </c>
    </row>
    <row r="1261" spans="1:15">
      <c r="A1261" t="str">
        <f>"002790"</f>
        <v>002790</v>
      </c>
      <c r="B1261" t="s">
        <v>1297</v>
      </c>
      <c r="C1261">
        <v>-1.89</v>
      </c>
      <c r="D1261">
        <v>5.72</v>
      </c>
      <c r="E1261" t="s">
        <v>16</v>
      </c>
      <c r="F1261" t="s">
        <v>16</v>
      </c>
      <c r="H1261">
        <v>0.18</v>
      </c>
      <c r="I1261">
        <v>-7.14</v>
      </c>
      <c r="J1261">
        <v>-2.39</v>
      </c>
      <c r="L1261">
        <v>-0.17</v>
      </c>
      <c r="M1261">
        <v>6.87</v>
      </c>
      <c r="N1261">
        <v>0.01</v>
      </c>
      <c r="O1261">
        <v>1.74</v>
      </c>
    </row>
    <row r="1262" spans="1:15">
      <c r="A1262" t="str">
        <f>"002791"</f>
        <v>002791</v>
      </c>
      <c r="B1262" t="s">
        <v>1298</v>
      </c>
      <c r="C1262">
        <v>-0.07</v>
      </c>
      <c r="D1262">
        <v>14.09</v>
      </c>
      <c r="E1262" t="s">
        <v>16</v>
      </c>
      <c r="F1262" t="s">
        <v>16</v>
      </c>
      <c r="H1262">
        <v>-0.13</v>
      </c>
      <c r="I1262">
        <v>-7.3</v>
      </c>
      <c r="J1262">
        <v>-1.4</v>
      </c>
      <c r="L1262">
        <v>-0.64</v>
      </c>
      <c r="M1262">
        <v>75.51</v>
      </c>
      <c r="N1262">
        <v>0.03</v>
      </c>
      <c r="O1262">
        <v>4.81</v>
      </c>
    </row>
    <row r="1263" spans="1:15">
      <c r="A1263" t="str">
        <f>"002792"</f>
        <v>002792</v>
      </c>
      <c r="B1263" t="s">
        <v>1299</v>
      </c>
      <c r="C1263">
        <v>0.03</v>
      </c>
      <c r="D1263">
        <v>37.11</v>
      </c>
      <c r="E1263" t="s">
        <v>16</v>
      </c>
      <c r="F1263" t="s">
        <v>16</v>
      </c>
      <c r="H1263">
        <v>-0.02</v>
      </c>
      <c r="I1263">
        <v>-6.59</v>
      </c>
      <c r="J1263">
        <v>-1.64</v>
      </c>
      <c r="L1263">
        <v>-1.78</v>
      </c>
      <c r="M1263">
        <v>524.37</v>
      </c>
      <c r="N1263">
        <v>0.05</v>
      </c>
      <c r="O1263">
        <v>0.84</v>
      </c>
    </row>
    <row r="1264" spans="1:15">
      <c r="A1264" t="str">
        <f>"002793"</f>
        <v>002793</v>
      </c>
      <c r="B1264" t="s">
        <v>1300</v>
      </c>
      <c r="C1264">
        <v>0.5</v>
      </c>
      <c r="D1264">
        <v>4</v>
      </c>
      <c r="E1264" t="s">
        <v>16</v>
      </c>
      <c r="F1264" t="s">
        <v>16</v>
      </c>
      <c r="H1264">
        <v>-0.24</v>
      </c>
      <c r="I1264">
        <v>-4.31</v>
      </c>
      <c r="J1264">
        <v>-1.23</v>
      </c>
      <c r="L1264">
        <v>-1.26</v>
      </c>
      <c r="M1264">
        <v>23.82</v>
      </c>
      <c r="N1264">
        <v>0.01</v>
      </c>
      <c r="O1264">
        <v>6.59</v>
      </c>
    </row>
    <row r="1265" spans="1:15">
      <c r="A1265" t="str">
        <f>"002795"</f>
        <v>002795</v>
      </c>
      <c r="B1265" t="s">
        <v>1301</v>
      </c>
      <c r="C1265">
        <v>-2.4</v>
      </c>
      <c r="D1265">
        <v>7.32</v>
      </c>
      <c r="E1265" t="s">
        <v>16</v>
      </c>
      <c r="F1265" t="s">
        <v>16</v>
      </c>
      <c r="H1265">
        <v>0.41</v>
      </c>
      <c r="I1265">
        <v>-5.79</v>
      </c>
      <c r="J1265">
        <v>-4.56</v>
      </c>
      <c r="L1265">
        <v>0.13</v>
      </c>
      <c r="M1265">
        <v>74.87</v>
      </c>
      <c r="N1265">
        <v>0.03</v>
      </c>
      <c r="O1265">
        <v>0.3</v>
      </c>
    </row>
    <row r="1266" spans="1:15">
      <c r="A1266" t="str">
        <f>"002796"</f>
        <v>002796</v>
      </c>
      <c r="B1266" t="s">
        <v>1302</v>
      </c>
      <c r="C1266">
        <v>-2.04</v>
      </c>
      <c r="D1266">
        <v>41.76</v>
      </c>
      <c r="E1266" t="s">
        <v>16</v>
      </c>
      <c r="F1266" t="s">
        <v>16</v>
      </c>
      <c r="H1266">
        <v>0.02</v>
      </c>
      <c r="I1266">
        <v>-8.84</v>
      </c>
      <c r="J1266">
        <v>-2.59</v>
      </c>
      <c r="L1266">
        <v>-0.19</v>
      </c>
      <c r="M1266">
        <v>100.84</v>
      </c>
      <c r="N1266">
        <v>0.02</v>
      </c>
      <c r="O1266">
        <v>0.66</v>
      </c>
    </row>
    <row r="1267" spans="1:15">
      <c r="A1267" t="str">
        <f>"002797"</f>
        <v>002797</v>
      </c>
      <c r="B1267" t="s">
        <v>1303</v>
      </c>
      <c r="C1267">
        <v>-3.07</v>
      </c>
      <c r="D1267">
        <v>6.31</v>
      </c>
      <c r="E1267" t="s">
        <v>16</v>
      </c>
      <c r="F1267" t="s">
        <v>16</v>
      </c>
      <c r="H1267">
        <v>-0.15</v>
      </c>
      <c r="I1267">
        <v>-4.39</v>
      </c>
      <c r="J1267">
        <v>-2.92</v>
      </c>
      <c r="L1267">
        <v>-0.31</v>
      </c>
      <c r="M1267">
        <v>83.4</v>
      </c>
      <c r="N1267">
        <v>0</v>
      </c>
      <c r="O1267">
        <v>0.32</v>
      </c>
    </row>
    <row r="1268" spans="1:15">
      <c r="A1268" t="str">
        <f>"002798"</f>
        <v>002798</v>
      </c>
      <c r="B1268" t="s">
        <v>1304</v>
      </c>
      <c r="C1268">
        <v>2.76</v>
      </c>
      <c r="D1268">
        <v>5.95</v>
      </c>
      <c r="E1268" t="s">
        <v>16</v>
      </c>
      <c r="F1268" t="s">
        <v>16</v>
      </c>
      <c r="H1268">
        <v>0.68</v>
      </c>
      <c r="I1268">
        <v>-4.19</v>
      </c>
      <c r="J1268">
        <v>-0.17</v>
      </c>
      <c r="L1268">
        <v>0.17</v>
      </c>
      <c r="M1268">
        <v>17.81</v>
      </c>
      <c r="N1268">
        <v>0.01</v>
      </c>
      <c r="O1268">
        <v>0.37</v>
      </c>
    </row>
    <row r="1269" spans="1:15">
      <c r="A1269" t="str">
        <f>"002799"</f>
        <v>002799</v>
      </c>
      <c r="B1269" t="s">
        <v>1305</v>
      </c>
      <c r="C1269">
        <v>-0.45</v>
      </c>
      <c r="D1269">
        <v>6.6</v>
      </c>
      <c r="E1269" t="s">
        <v>16</v>
      </c>
      <c r="F1269" t="s">
        <v>16</v>
      </c>
      <c r="H1269">
        <v>0.46</v>
      </c>
      <c r="I1269">
        <v>-7.17</v>
      </c>
      <c r="J1269">
        <v>-1.2</v>
      </c>
      <c r="L1269">
        <v>0.3</v>
      </c>
      <c r="M1269">
        <v>301.31</v>
      </c>
      <c r="N1269">
        <v>0.26</v>
      </c>
      <c r="O1269">
        <v>28.14</v>
      </c>
    </row>
    <row r="1270" spans="1:15">
      <c r="A1270" t="str">
        <f>"002800"</f>
        <v>002800</v>
      </c>
      <c r="B1270" t="s">
        <v>1306</v>
      </c>
      <c r="C1270">
        <v>0.42</v>
      </c>
      <c r="D1270">
        <v>14.48</v>
      </c>
      <c r="E1270" t="s">
        <v>16</v>
      </c>
      <c r="F1270" t="s">
        <v>16</v>
      </c>
      <c r="H1270">
        <v>-0.06</v>
      </c>
      <c r="I1270">
        <v>-10.45</v>
      </c>
      <c r="J1270">
        <v>-1.5</v>
      </c>
      <c r="L1270">
        <v>-1.11</v>
      </c>
      <c r="M1270">
        <v>5.99</v>
      </c>
      <c r="N1270">
        <v>0.01</v>
      </c>
      <c r="O1270">
        <v>0.4</v>
      </c>
    </row>
    <row r="1271" spans="1:15">
      <c r="A1271" t="str">
        <f>"002801"</f>
        <v>002801</v>
      </c>
      <c r="B1271" t="s">
        <v>1307</v>
      </c>
      <c r="C1271">
        <v>0.75</v>
      </c>
      <c r="D1271">
        <v>31.04</v>
      </c>
      <c r="E1271" t="s">
        <v>16</v>
      </c>
      <c r="F1271" t="s">
        <v>16</v>
      </c>
      <c r="H1271">
        <v>0.03</v>
      </c>
      <c r="I1271">
        <v>2.07</v>
      </c>
      <c r="J1271">
        <v>-0.29</v>
      </c>
      <c r="L1271">
        <v>-0.91</v>
      </c>
      <c r="M1271">
        <v>31.75</v>
      </c>
      <c r="N1271">
        <v>0.02</v>
      </c>
      <c r="O1271">
        <v>1.42</v>
      </c>
    </row>
    <row r="1272" spans="1:15">
      <c r="A1272" t="str">
        <f>"002802"</f>
        <v>002802</v>
      </c>
      <c r="B1272" t="s">
        <v>1308</v>
      </c>
      <c r="C1272">
        <v>-0.76</v>
      </c>
      <c r="D1272">
        <v>11.7</v>
      </c>
      <c r="E1272" t="s">
        <v>16</v>
      </c>
      <c r="F1272" t="s">
        <v>16</v>
      </c>
      <c r="H1272">
        <v>-0.08</v>
      </c>
      <c r="I1272">
        <v>-5.26</v>
      </c>
      <c r="J1272">
        <v>-1.35</v>
      </c>
      <c r="L1272">
        <v>-0.93</v>
      </c>
      <c r="M1272">
        <v>6.89</v>
      </c>
      <c r="N1272">
        <v>0.01</v>
      </c>
      <c r="O1272">
        <v>0.03</v>
      </c>
    </row>
    <row r="1273" spans="1:15">
      <c r="A1273" t="str">
        <f>"002803"</f>
        <v>002803</v>
      </c>
      <c r="B1273" t="s">
        <v>1309</v>
      </c>
      <c r="C1273">
        <v>5.43</v>
      </c>
      <c r="D1273">
        <v>23.9</v>
      </c>
      <c r="E1273" t="s">
        <v>16</v>
      </c>
      <c r="F1273" t="s">
        <v>16</v>
      </c>
      <c r="H1273">
        <v>-0.16</v>
      </c>
      <c r="I1273">
        <v>11.63</v>
      </c>
      <c r="J1273">
        <v>-0.95</v>
      </c>
      <c r="L1273">
        <v>0.13</v>
      </c>
      <c r="M1273">
        <v>56.75</v>
      </c>
      <c r="N1273">
        <v>0.01</v>
      </c>
      <c r="O1273">
        <v>3.42</v>
      </c>
    </row>
    <row r="1274" spans="1:15">
      <c r="A1274" t="str">
        <f>"002805"</f>
        <v>002805</v>
      </c>
      <c r="B1274" t="s">
        <v>1310</v>
      </c>
      <c r="C1274">
        <v>9.98</v>
      </c>
      <c r="D1274">
        <v>26.88</v>
      </c>
      <c r="E1274">
        <v>2922.93</v>
      </c>
      <c r="F1274">
        <v>1</v>
      </c>
      <c r="H1274">
        <v>0</v>
      </c>
      <c r="I1274">
        <v>31.31</v>
      </c>
      <c r="J1274">
        <v>0</v>
      </c>
      <c r="K1274" t="s">
        <v>233</v>
      </c>
      <c r="L1274">
        <v>4.79</v>
      </c>
      <c r="M1274">
        <v>1818.11</v>
      </c>
      <c r="N1274">
        <v>0.37</v>
      </c>
      <c r="O1274">
        <v>1.33</v>
      </c>
    </row>
    <row r="1275" spans="1:15">
      <c r="A1275" t="str">
        <f>"002806"</f>
        <v>002806</v>
      </c>
      <c r="B1275" t="s">
        <v>1311</v>
      </c>
      <c r="C1275">
        <v>3.51</v>
      </c>
      <c r="D1275">
        <v>21.51</v>
      </c>
      <c r="E1275" t="s">
        <v>16</v>
      </c>
      <c r="F1275" t="s">
        <v>16</v>
      </c>
      <c r="H1275">
        <v>0.09</v>
      </c>
      <c r="I1275">
        <v>4.01</v>
      </c>
      <c r="J1275">
        <v>-3.02</v>
      </c>
      <c r="K1275" t="s">
        <v>220</v>
      </c>
      <c r="L1275">
        <v>0.82</v>
      </c>
      <c r="M1275">
        <v>848.48</v>
      </c>
      <c r="N1275">
        <v>0.25</v>
      </c>
      <c r="O1275">
        <v>0.47</v>
      </c>
    </row>
    <row r="1276" spans="1:15">
      <c r="A1276" t="str">
        <f>"002807"</f>
        <v>002807</v>
      </c>
      <c r="B1276" t="s">
        <v>1312</v>
      </c>
      <c r="C1276">
        <v>-0.76</v>
      </c>
      <c r="D1276">
        <v>3.92</v>
      </c>
      <c r="E1276" t="s">
        <v>16</v>
      </c>
      <c r="F1276" t="s">
        <v>16</v>
      </c>
      <c r="H1276">
        <v>0.51</v>
      </c>
      <c r="I1276">
        <v>0.26</v>
      </c>
      <c r="J1276">
        <v>-1.01</v>
      </c>
      <c r="L1276">
        <v>0</v>
      </c>
      <c r="M1276">
        <v>108.11</v>
      </c>
      <c r="N1276">
        <v>0.01</v>
      </c>
      <c r="O1276">
        <v>4.49</v>
      </c>
    </row>
    <row r="1277" spans="1:15">
      <c r="A1277" t="str">
        <f>"002808"</f>
        <v>002808</v>
      </c>
      <c r="B1277" t="s">
        <v>1313</v>
      </c>
      <c r="C1277" t="s">
        <v>16</v>
      </c>
      <c r="D1277">
        <v>2.83</v>
      </c>
      <c r="E1277" t="s">
        <v>16</v>
      </c>
      <c r="F1277" t="s">
        <v>16</v>
      </c>
      <c r="H1277" t="s">
        <v>16</v>
      </c>
      <c r="I1277">
        <v>0</v>
      </c>
      <c r="J1277" t="s">
        <v>16</v>
      </c>
      <c r="L1277" t="s">
        <v>16</v>
      </c>
      <c r="M1277">
        <v>0</v>
      </c>
      <c r="N1277" t="s">
        <v>16</v>
      </c>
      <c r="O1277" t="s">
        <v>16</v>
      </c>
    </row>
    <row r="1278" spans="1:15">
      <c r="A1278" t="str">
        <f>"002809"</f>
        <v>002809</v>
      </c>
      <c r="B1278" t="s">
        <v>1314</v>
      </c>
      <c r="C1278">
        <v>-1.46</v>
      </c>
      <c r="D1278">
        <v>8.08</v>
      </c>
      <c r="E1278" t="s">
        <v>16</v>
      </c>
      <c r="F1278" t="s">
        <v>16</v>
      </c>
      <c r="H1278">
        <v>-0.11</v>
      </c>
      <c r="I1278">
        <v>-6.26</v>
      </c>
      <c r="J1278">
        <v>-1.82</v>
      </c>
      <c r="L1278">
        <v>-0.61</v>
      </c>
      <c r="M1278">
        <v>68.61</v>
      </c>
      <c r="N1278">
        <v>0.06</v>
      </c>
      <c r="O1278">
        <v>4.68</v>
      </c>
    </row>
    <row r="1279" spans="1:15">
      <c r="A1279" t="str">
        <f>"002810"</f>
        <v>002810</v>
      </c>
      <c r="B1279" t="s">
        <v>1315</v>
      </c>
      <c r="C1279">
        <v>-3.74</v>
      </c>
      <c r="D1279">
        <v>23.7</v>
      </c>
      <c r="E1279" t="s">
        <v>16</v>
      </c>
      <c r="F1279" t="s">
        <v>16</v>
      </c>
      <c r="H1279">
        <v>-0.28</v>
      </c>
      <c r="I1279">
        <v>8.87</v>
      </c>
      <c r="J1279">
        <v>-3.66</v>
      </c>
      <c r="L1279">
        <v>-0.49</v>
      </c>
      <c r="M1279">
        <v>73.01</v>
      </c>
      <c r="N1279">
        <v>0.01</v>
      </c>
      <c r="O1279">
        <v>0.36</v>
      </c>
    </row>
    <row r="1280" spans="1:15">
      <c r="A1280" t="str">
        <f>"002811"</f>
        <v>002811</v>
      </c>
      <c r="B1280" t="s">
        <v>1316</v>
      </c>
      <c r="C1280">
        <v>-0.25</v>
      </c>
      <c r="D1280">
        <v>11.74</v>
      </c>
      <c r="E1280" t="s">
        <v>16</v>
      </c>
      <c r="F1280" t="s">
        <v>16</v>
      </c>
      <c r="H1280">
        <v>-0.33</v>
      </c>
      <c r="I1280">
        <v>2.44</v>
      </c>
      <c r="J1280">
        <v>-2.09</v>
      </c>
      <c r="L1280">
        <v>0.42</v>
      </c>
      <c r="M1280">
        <v>4.85</v>
      </c>
      <c r="N1280">
        <v>0</v>
      </c>
      <c r="O1280">
        <v>1.95</v>
      </c>
    </row>
    <row r="1281" spans="1:15">
      <c r="A1281" t="str">
        <f>"002812"</f>
        <v>002812</v>
      </c>
      <c r="B1281" t="s">
        <v>1317</v>
      </c>
      <c r="C1281">
        <v>-3.81</v>
      </c>
      <c r="D1281">
        <v>67.7</v>
      </c>
      <c r="E1281" t="s">
        <v>16</v>
      </c>
      <c r="F1281" t="s">
        <v>16</v>
      </c>
      <c r="H1281">
        <v>-0.03</v>
      </c>
      <c r="I1281">
        <v>5.17</v>
      </c>
      <c r="J1281">
        <v>-4.11</v>
      </c>
      <c r="L1281">
        <v>-0.85</v>
      </c>
      <c r="M1281">
        <v>570.8</v>
      </c>
      <c r="N1281">
        <v>0.01</v>
      </c>
      <c r="O1281">
        <v>0.53</v>
      </c>
    </row>
    <row r="1282" spans="1:15">
      <c r="A1282" t="str">
        <f>"002813"</f>
        <v>002813</v>
      </c>
      <c r="B1282" t="s">
        <v>1318</v>
      </c>
      <c r="C1282">
        <v>0.24</v>
      </c>
      <c r="D1282">
        <v>20.47</v>
      </c>
      <c r="E1282" t="s">
        <v>16</v>
      </c>
      <c r="F1282" t="s">
        <v>16</v>
      </c>
      <c r="H1282">
        <v>-0.09</v>
      </c>
      <c r="I1282">
        <v>-7.08</v>
      </c>
      <c r="J1282">
        <v>-0.49</v>
      </c>
      <c r="L1282">
        <v>-0.49</v>
      </c>
      <c r="M1282">
        <v>9.35</v>
      </c>
      <c r="N1282">
        <v>0.01</v>
      </c>
      <c r="O1282">
        <v>0.45</v>
      </c>
    </row>
    <row r="1283" spans="1:15">
      <c r="A1283" t="str">
        <f>"002815"</f>
        <v>002815</v>
      </c>
      <c r="B1283" t="s">
        <v>1319</v>
      </c>
      <c r="C1283">
        <v>-2.09</v>
      </c>
      <c r="D1283">
        <v>19.72</v>
      </c>
      <c r="E1283" t="s">
        <v>16</v>
      </c>
      <c r="F1283" t="s">
        <v>16</v>
      </c>
      <c r="H1283">
        <v>-0.24</v>
      </c>
      <c r="I1283">
        <v>10.72</v>
      </c>
      <c r="J1283">
        <v>-1.35</v>
      </c>
      <c r="K1283" t="s">
        <v>57</v>
      </c>
      <c r="L1283">
        <v>-2.68</v>
      </c>
      <c r="M1283">
        <v>1400.22</v>
      </c>
      <c r="N1283">
        <v>0.11</v>
      </c>
      <c r="O1283">
        <v>0.54</v>
      </c>
    </row>
    <row r="1284" spans="1:15">
      <c r="A1284" t="str">
        <f>"002816"</f>
        <v>002816</v>
      </c>
      <c r="B1284" t="s">
        <v>1320</v>
      </c>
      <c r="C1284">
        <v>5.02</v>
      </c>
      <c r="D1284">
        <v>28.46</v>
      </c>
      <c r="E1284">
        <v>467.88</v>
      </c>
      <c r="F1284">
        <v>1</v>
      </c>
      <c r="H1284">
        <v>0</v>
      </c>
      <c r="I1284">
        <v>14.11</v>
      </c>
      <c r="J1284">
        <v>0</v>
      </c>
      <c r="K1284" t="s">
        <v>140</v>
      </c>
      <c r="L1284">
        <v>0.26</v>
      </c>
      <c r="M1284">
        <v>77.98</v>
      </c>
      <c r="N1284">
        <v>0.03</v>
      </c>
      <c r="O1284">
        <v>2.26</v>
      </c>
    </row>
    <row r="1285" spans="1:15">
      <c r="A1285" t="str">
        <f>"002817"</f>
        <v>002817</v>
      </c>
      <c r="B1285" t="s">
        <v>1321</v>
      </c>
      <c r="C1285">
        <v>-0.48</v>
      </c>
      <c r="D1285">
        <v>6.17</v>
      </c>
      <c r="E1285" t="s">
        <v>16</v>
      </c>
      <c r="F1285" t="s">
        <v>16</v>
      </c>
      <c r="H1285">
        <v>0.33</v>
      </c>
      <c r="I1285">
        <v>-7.08</v>
      </c>
      <c r="J1285">
        <v>-0.8</v>
      </c>
      <c r="L1285">
        <v>-0.48</v>
      </c>
      <c r="M1285">
        <v>30.29</v>
      </c>
      <c r="N1285">
        <v>0.03</v>
      </c>
      <c r="O1285">
        <v>3.69</v>
      </c>
    </row>
    <row r="1286" spans="1:15">
      <c r="A1286" t="str">
        <f>"002818"</f>
        <v>002818</v>
      </c>
      <c r="B1286" t="s">
        <v>1322</v>
      </c>
      <c r="C1286">
        <v>0.81</v>
      </c>
      <c r="D1286">
        <v>11.24</v>
      </c>
      <c r="E1286" t="s">
        <v>16</v>
      </c>
      <c r="F1286" t="s">
        <v>16</v>
      </c>
      <c r="H1286">
        <v>0.27</v>
      </c>
      <c r="I1286">
        <v>2</v>
      </c>
      <c r="J1286">
        <v>-1.14</v>
      </c>
      <c r="L1286">
        <v>0.9</v>
      </c>
      <c r="M1286">
        <v>12.94</v>
      </c>
      <c r="N1286">
        <v>0.01</v>
      </c>
      <c r="O1286">
        <v>2.3</v>
      </c>
    </row>
    <row r="1287" spans="1:15">
      <c r="A1287" t="str">
        <f>"002819"</f>
        <v>002819</v>
      </c>
      <c r="B1287" t="s">
        <v>1323</v>
      </c>
      <c r="C1287">
        <v>2.25</v>
      </c>
      <c r="D1287">
        <v>21.84</v>
      </c>
      <c r="E1287" t="s">
        <v>16</v>
      </c>
      <c r="F1287" t="s">
        <v>16</v>
      </c>
      <c r="H1287">
        <v>-0.4</v>
      </c>
      <c r="I1287">
        <v>-4.59</v>
      </c>
      <c r="J1287">
        <v>-1.53</v>
      </c>
      <c r="L1287">
        <v>-0.23</v>
      </c>
      <c r="M1287">
        <v>3.2</v>
      </c>
      <c r="N1287">
        <v>0</v>
      </c>
      <c r="O1287">
        <v>0.33</v>
      </c>
    </row>
    <row r="1288" spans="1:15">
      <c r="A1288" t="str">
        <f>"002820"</f>
        <v>002820</v>
      </c>
      <c r="B1288" t="s">
        <v>1324</v>
      </c>
      <c r="C1288">
        <v>-0.78</v>
      </c>
      <c r="D1288">
        <v>8.86</v>
      </c>
      <c r="E1288" t="s">
        <v>16</v>
      </c>
      <c r="F1288" t="s">
        <v>16</v>
      </c>
      <c r="H1288">
        <v>0.11</v>
      </c>
      <c r="I1288">
        <v>-6.24</v>
      </c>
      <c r="J1288">
        <v>-1.45</v>
      </c>
      <c r="L1288">
        <v>-1.01</v>
      </c>
      <c r="M1288">
        <v>150.72</v>
      </c>
      <c r="N1288">
        <v>0.13</v>
      </c>
      <c r="O1288">
        <v>14.96</v>
      </c>
    </row>
    <row r="1289" spans="1:15">
      <c r="A1289" t="str">
        <f>"002821"</f>
        <v>002821</v>
      </c>
      <c r="B1289" t="s">
        <v>1325</v>
      </c>
      <c r="C1289">
        <v>7.67</v>
      </c>
      <c r="D1289">
        <v>123.82</v>
      </c>
      <c r="E1289" t="s">
        <v>16</v>
      </c>
      <c r="F1289" t="s">
        <v>16</v>
      </c>
      <c r="H1289">
        <v>-0.05</v>
      </c>
      <c r="I1289">
        <v>3.51</v>
      </c>
      <c r="J1289">
        <v>-0.77</v>
      </c>
      <c r="L1289">
        <v>-0.17</v>
      </c>
      <c r="M1289">
        <v>110.21</v>
      </c>
      <c r="N1289">
        <v>0</v>
      </c>
      <c r="O1289">
        <v>4</v>
      </c>
    </row>
    <row r="1290" spans="1:15">
      <c r="A1290" t="str">
        <f>"002822"</f>
        <v>002822</v>
      </c>
      <c r="B1290" t="s">
        <v>1326</v>
      </c>
      <c r="C1290">
        <v>-0.79</v>
      </c>
      <c r="D1290">
        <v>2.5</v>
      </c>
      <c r="E1290" t="s">
        <v>16</v>
      </c>
      <c r="F1290" t="s">
        <v>16</v>
      </c>
      <c r="H1290">
        <v>-0.39</v>
      </c>
      <c r="I1290">
        <v>-14.97</v>
      </c>
      <c r="J1290">
        <v>-2.34</v>
      </c>
      <c r="L1290">
        <v>1.59</v>
      </c>
      <c r="M1290">
        <v>6.55</v>
      </c>
      <c r="N1290">
        <v>0</v>
      </c>
      <c r="O1290">
        <v>0.76</v>
      </c>
    </row>
    <row r="1291" spans="1:15">
      <c r="A1291" t="str">
        <f>"002823"</f>
        <v>002823</v>
      </c>
      <c r="B1291" t="s">
        <v>1327</v>
      </c>
      <c r="C1291">
        <v>-1.98</v>
      </c>
      <c r="D1291">
        <v>16.81</v>
      </c>
      <c r="E1291" t="s">
        <v>16</v>
      </c>
      <c r="F1291" t="s">
        <v>16</v>
      </c>
      <c r="H1291">
        <v>-0.05</v>
      </c>
      <c r="I1291">
        <v>-19.38</v>
      </c>
      <c r="J1291">
        <v>-2.15</v>
      </c>
      <c r="L1291">
        <v>-0.64</v>
      </c>
      <c r="M1291">
        <v>109.06</v>
      </c>
      <c r="N1291">
        <v>0.04</v>
      </c>
      <c r="O1291">
        <v>1.41</v>
      </c>
    </row>
    <row r="1292" spans="1:15">
      <c r="A1292" t="str">
        <f>"002824"</f>
        <v>002824</v>
      </c>
      <c r="B1292" t="s">
        <v>1328</v>
      </c>
      <c r="C1292">
        <v>5.51</v>
      </c>
      <c r="D1292">
        <v>37.92</v>
      </c>
      <c r="E1292" t="s">
        <v>16</v>
      </c>
      <c r="F1292" t="s">
        <v>16</v>
      </c>
      <c r="H1292">
        <v>-0.04</v>
      </c>
      <c r="I1292">
        <v>38.14</v>
      </c>
      <c r="J1292">
        <v>-1.12</v>
      </c>
      <c r="K1292" t="s">
        <v>120</v>
      </c>
      <c r="L1292">
        <v>-0.95</v>
      </c>
      <c r="M1292">
        <v>748.31</v>
      </c>
      <c r="N1292">
        <v>0.13</v>
      </c>
      <c r="O1292">
        <v>0.3</v>
      </c>
    </row>
    <row r="1293" spans="1:15">
      <c r="A1293" t="str">
        <f>"002825"</f>
        <v>002825</v>
      </c>
      <c r="B1293" t="s">
        <v>1329</v>
      </c>
      <c r="C1293">
        <v>-5.25</v>
      </c>
      <c r="D1293">
        <v>8.84</v>
      </c>
      <c r="E1293" t="s">
        <v>16</v>
      </c>
      <c r="F1293" t="s">
        <v>16</v>
      </c>
      <c r="H1293">
        <v>-0.22</v>
      </c>
      <c r="I1293">
        <v>-12.39</v>
      </c>
      <c r="J1293">
        <v>-5.45</v>
      </c>
      <c r="L1293">
        <v>0</v>
      </c>
      <c r="M1293">
        <v>11.29</v>
      </c>
      <c r="N1293">
        <v>0.01</v>
      </c>
      <c r="O1293">
        <v>2.05</v>
      </c>
    </row>
    <row r="1294" spans="1:15">
      <c r="A1294" t="str">
        <f>"002826"</f>
        <v>002826</v>
      </c>
      <c r="B1294" t="s">
        <v>1330</v>
      </c>
      <c r="C1294">
        <v>1.94</v>
      </c>
      <c r="D1294">
        <v>16.83</v>
      </c>
      <c r="E1294" t="s">
        <v>16</v>
      </c>
      <c r="F1294" t="s">
        <v>16</v>
      </c>
      <c r="H1294">
        <v>0.48</v>
      </c>
      <c r="I1294">
        <v>3.76</v>
      </c>
      <c r="J1294">
        <v>-0.71</v>
      </c>
      <c r="L1294">
        <v>0</v>
      </c>
      <c r="M1294">
        <v>2.15</v>
      </c>
      <c r="N1294">
        <v>0</v>
      </c>
      <c r="O1294">
        <v>0.07</v>
      </c>
    </row>
    <row r="1295" spans="1:15">
      <c r="A1295" t="str">
        <f>"002827"</f>
        <v>002827</v>
      </c>
      <c r="B1295" t="s">
        <v>1331</v>
      </c>
      <c r="C1295">
        <v>1.86</v>
      </c>
      <c r="D1295">
        <v>25.78</v>
      </c>
      <c r="E1295" t="s">
        <v>16</v>
      </c>
      <c r="F1295" t="s">
        <v>16</v>
      </c>
      <c r="H1295">
        <v>-0.03</v>
      </c>
      <c r="I1295">
        <v>-5.53</v>
      </c>
      <c r="J1295">
        <v>-0.54</v>
      </c>
      <c r="L1295">
        <v>-0.08</v>
      </c>
      <c r="M1295">
        <v>32.88</v>
      </c>
      <c r="N1295">
        <v>0.01</v>
      </c>
      <c r="O1295">
        <v>2.55</v>
      </c>
    </row>
    <row r="1296" spans="1:15">
      <c r="A1296" t="str">
        <f>"002828"</f>
        <v>002828</v>
      </c>
      <c r="B1296" t="s">
        <v>1332</v>
      </c>
      <c r="C1296">
        <v>-5.22</v>
      </c>
      <c r="D1296">
        <v>9.26</v>
      </c>
      <c r="E1296" t="s">
        <v>16</v>
      </c>
      <c r="F1296" t="s">
        <v>16</v>
      </c>
      <c r="H1296">
        <v>0.54</v>
      </c>
      <c r="I1296">
        <v>0.87</v>
      </c>
      <c r="J1296">
        <v>-8.13</v>
      </c>
      <c r="K1296" t="s">
        <v>54</v>
      </c>
      <c r="L1296">
        <v>1.23</v>
      </c>
      <c r="M1296">
        <v>1271.16</v>
      </c>
      <c r="N1296">
        <v>0.74</v>
      </c>
      <c r="O1296">
        <v>7.11</v>
      </c>
    </row>
    <row r="1297" spans="1:15">
      <c r="A1297" t="str">
        <f>"002829"</f>
        <v>002829</v>
      </c>
      <c r="B1297" t="s">
        <v>1333</v>
      </c>
      <c r="C1297">
        <v>-2.41</v>
      </c>
      <c r="D1297">
        <v>18.65</v>
      </c>
      <c r="E1297" t="s">
        <v>16</v>
      </c>
      <c r="F1297" t="s">
        <v>16</v>
      </c>
      <c r="H1297">
        <v>0</v>
      </c>
      <c r="I1297">
        <v>-18.95</v>
      </c>
      <c r="J1297">
        <v>-3.92</v>
      </c>
      <c r="L1297">
        <v>0.05</v>
      </c>
      <c r="M1297">
        <v>57.55</v>
      </c>
      <c r="N1297">
        <v>0.02</v>
      </c>
      <c r="O1297">
        <v>4.12</v>
      </c>
    </row>
    <row r="1298" spans="1:15">
      <c r="A1298" t="str">
        <f>"002830"</f>
        <v>002830</v>
      </c>
      <c r="B1298" t="s">
        <v>1334</v>
      </c>
      <c r="C1298">
        <v>-0.2</v>
      </c>
      <c r="D1298">
        <v>14.68</v>
      </c>
      <c r="E1298" t="s">
        <v>16</v>
      </c>
      <c r="F1298" t="s">
        <v>16</v>
      </c>
      <c r="H1298">
        <v>0.55</v>
      </c>
      <c r="I1298">
        <v>-7.79</v>
      </c>
      <c r="J1298">
        <v>-1.54</v>
      </c>
      <c r="L1298">
        <v>-0.41</v>
      </c>
      <c r="M1298">
        <v>109.14</v>
      </c>
      <c r="N1298">
        <v>0.12</v>
      </c>
      <c r="O1298">
        <v>0.6</v>
      </c>
    </row>
    <row r="1299" spans="1:15">
      <c r="A1299" t="str">
        <f>"002831"</f>
        <v>002831</v>
      </c>
      <c r="B1299" t="s">
        <v>1335</v>
      </c>
      <c r="C1299">
        <v>4.63</v>
      </c>
      <c r="D1299">
        <v>32.33</v>
      </c>
      <c r="E1299" t="s">
        <v>16</v>
      </c>
      <c r="F1299" t="s">
        <v>16</v>
      </c>
      <c r="H1299">
        <v>2.15</v>
      </c>
      <c r="I1299">
        <v>13.96</v>
      </c>
      <c r="J1299">
        <v>0</v>
      </c>
      <c r="L1299">
        <v>-0.16</v>
      </c>
      <c r="M1299">
        <v>89.77</v>
      </c>
      <c r="N1299">
        <v>0.01</v>
      </c>
      <c r="O1299">
        <v>0.18</v>
      </c>
    </row>
    <row r="1300" spans="1:15">
      <c r="A1300" t="str">
        <f>"002832"</f>
        <v>002832</v>
      </c>
      <c r="B1300" t="s">
        <v>1336</v>
      </c>
      <c r="C1300">
        <v>-1.65</v>
      </c>
      <c r="D1300">
        <v>20.8</v>
      </c>
      <c r="E1300" t="s">
        <v>16</v>
      </c>
      <c r="F1300" t="s">
        <v>16</v>
      </c>
      <c r="H1300">
        <v>-0.09</v>
      </c>
      <c r="I1300">
        <v>11.95</v>
      </c>
      <c r="J1300">
        <v>-1.79</v>
      </c>
      <c r="L1300">
        <v>-0.85</v>
      </c>
      <c r="M1300">
        <v>142.18</v>
      </c>
      <c r="N1300">
        <v>0.02</v>
      </c>
      <c r="O1300">
        <v>1.3</v>
      </c>
    </row>
    <row r="1301" spans="1:15">
      <c r="A1301" t="str">
        <f>"002833"</f>
        <v>002833</v>
      </c>
      <c r="B1301" t="s">
        <v>1337</v>
      </c>
      <c r="C1301">
        <v>1.36</v>
      </c>
      <c r="D1301">
        <v>17.83</v>
      </c>
      <c r="E1301" t="s">
        <v>16</v>
      </c>
      <c r="F1301" t="s">
        <v>16</v>
      </c>
      <c r="H1301">
        <v>-0.1</v>
      </c>
      <c r="I1301">
        <v>-2.46</v>
      </c>
      <c r="J1301">
        <v>-0.94</v>
      </c>
      <c r="L1301">
        <v>-0.74</v>
      </c>
      <c r="M1301">
        <v>22</v>
      </c>
      <c r="N1301">
        <v>0.01</v>
      </c>
      <c r="O1301">
        <v>2.25</v>
      </c>
    </row>
    <row r="1302" spans="1:15">
      <c r="A1302" t="str">
        <f>"002835"</f>
        <v>002835</v>
      </c>
      <c r="B1302" t="s">
        <v>1338</v>
      </c>
      <c r="C1302">
        <v>-0.4</v>
      </c>
      <c r="D1302">
        <v>12.35</v>
      </c>
      <c r="E1302" t="s">
        <v>16</v>
      </c>
      <c r="F1302" t="s">
        <v>16</v>
      </c>
      <c r="H1302">
        <v>0.24</v>
      </c>
      <c r="I1302">
        <v>-6.44</v>
      </c>
      <c r="J1302">
        <v>-1.75</v>
      </c>
      <c r="L1302">
        <v>-0.32</v>
      </c>
      <c r="M1302">
        <v>18.54</v>
      </c>
      <c r="N1302">
        <v>0.02</v>
      </c>
      <c r="O1302">
        <v>1.61</v>
      </c>
    </row>
    <row r="1303" spans="1:15">
      <c r="A1303" t="str">
        <f>"002836"</f>
        <v>002836</v>
      </c>
      <c r="B1303" t="s">
        <v>1339</v>
      </c>
      <c r="C1303">
        <v>-0.88</v>
      </c>
      <c r="D1303">
        <v>10.11</v>
      </c>
      <c r="E1303" t="s">
        <v>16</v>
      </c>
      <c r="F1303" t="s">
        <v>16</v>
      </c>
      <c r="H1303">
        <v>0.2</v>
      </c>
      <c r="I1303">
        <v>-7.76</v>
      </c>
      <c r="J1303">
        <v>-1.37</v>
      </c>
      <c r="L1303">
        <v>-0.98</v>
      </c>
      <c r="M1303">
        <v>16.06</v>
      </c>
      <c r="N1303">
        <v>0.02</v>
      </c>
      <c r="O1303">
        <v>0.35</v>
      </c>
    </row>
    <row r="1304" spans="1:15">
      <c r="A1304" t="str">
        <f>"002837"</f>
        <v>002837</v>
      </c>
      <c r="B1304" t="s">
        <v>1340</v>
      </c>
      <c r="C1304">
        <v>-0.34</v>
      </c>
      <c r="D1304">
        <v>74.37</v>
      </c>
      <c r="E1304" t="s">
        <v>16</v>
      </c>
      <c r="F1304" t="s">
        <v>16</v>
      </c>
      <c r="H1304">
        <v>-0.02</v>
      </c>
      <c r="I1304">
        <v>7.44</v>
      </c>
      <c r="J1304">
        <v>-2.31</v>
      </c>
      <c r="L1304">
        <v>0.55</v>
      </c>
      <c r="M1304">
        <v>2071.73</v>
      </c>
      <c r="N1304">
        <v>0.04</v>
      </c>
      <c r="O1304">
        <v>0.79</v>
      </c>
    </row>
    <row r="1305" spans="1:15">
      <c r="A1305" t="str">
        <f>"002838"</f>
        <v>002838</v>
      </c>
      <c r="B1305" t="s">
        <v>1341</v>
      </c>
      <c r="C1305">
        <v>1.41</v>
      </c>
      <c r="D1305">
        <v>35.29</v>
      </c>
      <c r="E1305" t="s">
        <v>16</v>
      </c>
      <c r="F1305" t="s">
        <v>16</v>
      </c>
      <c r="H1305">
        <v>0.09</v>
      </c>
      <c r="I1305">
        <v>9.19</v>
      </c>
      <c r="J1305">
        <v>-1.56</v>
      </c>
      <c r="L1305">
        <v>-0.86</v>
      </c>
      <c r="M1305">
        <v>38.64</v>
      </c>
      <c r="N1305">
        <v>0.01</v>
      </c>
      <c r="O1305">
        <v>0.77</v>
      </c>
    </row>
    <row r="1306" spans="1:15">
      <c r="A1306" t="str">
        <f>"002839"</f>
        <v>002839</v>
      </c>
      <c r="B1306" t="s">
        <v>1342</v>
      </c>
      <c r="C1306">
        <v>-2.37</v>
      </c>
      <c r="D1306">
        <v>4.12</v>
      </c>
      <c r="E1306" t="s">
        <v>16</v>
      </c>
      <c r="F1306" t="s">
        <v>16</v>
      </c>
      <c r="H1306">
        <v>-0.47</v>
      </c>
      <c r="I1306">
        <v>-1.44</v>
      </c>
      <c r="J1306">
        <v>-2.37</v>
      </c>
      <c r="L1306">
        <v>-0.47</v>
      </c>
      <c r="M1306">
        <v>13.69</v>
      </c>
      <c r="N1306">
        <v>0</v>
      </c>
      <c r="O1306">
        <v>0.73</v>
      </c>
    </row>
    <row r="1307" spans="1:15">
      <c r="A1307" t="str">
        <f>"002840"</f>
        <v>002840</v>
      </c>
      <c r="B1307" t="s">
        <v>1343</v>
      </c>
      <c r="C1307">
        <v>1.64</v>
      </c>
      <c r="D1307">
        <v>8.08</v>
      </c>
      <c r="E1307" t="s">
        <v>16</v>
      </c>
      <c r="F1307" t="s">
        <v>16</v>
      </c>
      <c r="H1307">
        <v>-0.6</v>
      </c>
      <c r="I1307">
        <v>-1.58</v>
      </c>
      <c r="J1307">
        <v>-0.86</v>
      </c>
      <c r="L1307">
        <v>-0.63</v>
      </c>
      <c r="M1307">
        <v>18.01</v>
      </c>
      <c r="N1307">
        <v>0</v>
      </c>
      <c r="O1307">
        <v>1.01</v>
      </c>
    </row>
    <row r="1308" spans="1:15">
      <c r="A1308" t="str">
        <f>"002841"</f>
        <v>002841</v>
      </c>
      <c r="B1308" t="s">
        <v>1344</v>
      </c>
      <c r="C1308">
        <v>-0.23</v>
      </c>
      <c r="D1308">
        <v>34.92</v>
      </c>
      <c r="E1308" t="s">
        <v>16</v>
      </c>
      <c r="F1308" t="s">
        <v>16</v>
      </c>
      <c r="H1308">
        <v>-0.3</v>
      </c>
      <c r="I1308">
        <v>-1.24</v>
      </c>
      <c r="J1308">
        <v>-1.72</v>
      </c>
      <c r="L1308">
        <v>-0.03</v>
      </c>
      <c r="M1308">
        <v>30.09</v>
      </c>
      <c r="N1308">
        <v>0</v>
      </c>
      <c r="O1308">
        <v>2.53</v>
      </c>
    </row>
    <row r="1309" spans="1:15">
      <c r="A1309" t="str">
        <f>"002842"</f>
        <v>002842</v>
      </c>
      <c r="B1309" t="s">
        <v>1345</v>
      </c>
      <c r="C1309">
        <v>10</v>
      </c>
      <c r="D1309">
        <v>47.72</v>
      </c>
      <c r="E1309">
        <v>258.17</v>
      </c>
      <c r="F1309">
        <v>1</v>
      </c>
      <c r="H1309">
        <v>0</v>
      </c>
      <c r="I1309">
        <v>38.68</v>
      </c>
      <c r="J1309">
        <v>0</v>
      </c>
      <c r="K1309" t="s">
        <v>140</v>
      </c>
      <c r="L1309">
        <v>-3.64</v>
      </c>
      <c r="M1309">
        <v>2584.08</v>
      </c>
      <c r="N1309">
        <v>0.28</v>
      </c>
      <c r="O1309">
        <v>1.02</v>
      </c>
    </row>
    <row r="1310" spans="1:15">
      <c r="A1310" t="str">
        <f>"002843"</f>
        <v>002843</v>
      </c>
      <c r="B1310" t="s">
        <v>1346</v>
      </c>
      <c r="C1310">
        <v>0.23</v>
      </c>
      <c r="D1310">
        <v>22.19</v>
      </c>
      <c r="E1310" t="s">
        <v>16</v>
      </c>
      <c r="F1310" t="s">
        <v>16</v>
      </c>
      <c r="H1310">
        <v>0.05</v>
      </c>
      <c r="I1310">
        <v>-2.76</v>
      </c>
      <c r="J1310">
        <v>-2.25</v>
      </c>
      <c r="L1310">
        <v>-0.09</v>
      </c>
      <c r="M1310">
        <v>101.53</v>
      </c>
      <c r="N1310">
        <v>0.03</v>
      </c>
      <c r="O1310">
        <v>1.27</v>
      </c>
    </row>
    <row r="1311" spans="1:15">
      <c r="A1311" t="str">
        <f>"002845"</f>
        <v>002845</v>
      </c>
      <c r="B1311" t="s">
        <v>1347</v>
      </c>
      <c r="C1311">
        <v>-1.86</v>
      </c>
      <c r="D1311">
        <v>15.85</v>
      </c>
      <c r="E1311" t="s">
        <v>16</v>
      </c>
      <c r="F1311" t="s">
        <v>16</v>
      </c>
      <c r="H1311">
        <v>0.13</v>
      </c>
      <c r="I1311">
        <v>2.06</v>
      </c>
      <c r="J1311">
        <v>-1.37</v>
      </c>
      <c r="L1311">
        <v>-0.93</v>
      </c>
      <c r="M1311">
        <v>144.64</v>
      </c>
      <c r="N1311">
        <v>0.05</v>
      </c>
      <c r="O1311">
        <v>1.52</v>
      </c>
    </row>
    <row r="1312" spans="1:15">
      <c r="A1312" t="str">
        <f>"002846"</f>
        <v>002846</v>
      </c>
      <c r="B1312" t="s">
        <v>1348</v>
      </c>
      <c r="C1312">
        <v>-2.23</v>
      </c>
      <c r="D1312">
        <v>12.3</v>
      </c>
      <c r="E1312" t="s">
        <v>16</v>
      </c>
      <c r="F1312" t="s">
        <v>16</v>
      </c>
      <c r="H1312">
        <v>-0.15</v>
      </c>
      <c r="I1312">
        <v>4.59</v>
      </c>
      <c r="J1312">
        <v>-2.61</v>
      </c>
      <c r="L1312">
        <v>-0.79</v>
      </c>
      <c r="M1312">
        <v>55.66</v>
      </c>
      <c r="N1312">
        <v>0.03</v>
      </c>
      <c r="O1312">
        <v>0.21</v>
      </c>
    </row>
    <row r="1313" spans="1:15">
      <c r="A1313" t="str">
        <f>"002847"</f>
        <v>002847</v>
      </c>
      <c r="B1313" t="s">
        <v>1349</v>
      </c>
      <c r="C1313">
        <v>-2.52</v>
      </c>
      <c r="D1313">
        <v>48.03</v>
      </c>
      <c r="E1313" t="s">
        <v>16</v>
      </c>
      <c r="F1313" t="s">
        <v>16</v>
      </c>
      <c r="H1313">
        <v>-0.24</v>
      </c>
      <c r="I1313">
        <v>-15.26</v>
      </c>
      <c r="J1313">
        <v>-2.93</v>
      </c>
      <c r="L1313">
        <v>-0.81</v>
      </c>
      <c r="M1313">
        <v>85.03</v>
      </c>
      <c r="N1313">
        <v>0.02</v>
      </c>
      <c r="O1313">
        <v>3.87</v>
      </c>
    </row>
    <row r="1314" spans="1:15">
      <c r="A1314" t="str">
        <f>"002848"</f>
        <v>002848</v>
      </c>
      <c r="B1314" t="s">
        <v>1350</v>
      </c>
      <c r="C1314">
        <v>0.36</v>
      </c>
      <c r="D1314">
        <v>13.99</v>
      </c>
      <c r="E1314" t="s">
        <v>16</v>
      </c>
      <c r="F1314" t="s">
        <v>16</v>
      </c>
      <c r="H1314">
        <v>-0.2</v>
      </c>
      <c r="I1314">
        <v>-15.11</v>
      </c>
      <c r="J1314">
        <v>-1.41</v>
      </c>
      <c r="L1314">
        <v>0</v>
      </c>
      <c r="M1314">
        <v>43.91</v>
      </c>
      <c r="N1314">
        <v>0.03</v>
      </c>
      <c r="O1314">
        <v>0.27</v>
      </c>
    </row>
    <row r="1315" spans="1:15">
      <c r="A1315" t="str">
        <f>"002849"</f>
        <v>002849</v>
      </c>
      <c r="B1315" t="s">
        <v>1351</v>
      </c>
      <c r="C1315">
        <v>0.9</v>
      </c>
      <c r="D1315">
        <v>17.9</v>
      </c>
      <c r="E1315" t="s">
        <v>16</v>
      </c>
      <c r="F1315" t="s">
        <v>16</v>
      </c>
      <c r="H1315">
        <v>-0.21</v>
      </c>
      <c r="I1315">
        <v>11.25</v>
      </c>
      <c r="J1315">
        <v>-1.16</v>
      </c>
      <c r="K1315" t="s">
        <v>57</v>
      </c>
      <c r="L1315">
        <v>0</v>
      </c>
      <c r="M1315">
        <v>128.62</v>
      </c>
      <c r="N1315">
        <v>0.04</v>
      </c>
      <c r="O1315">
        <v>0.38</v>
      </c>
    </row>
    <row r="1316" spans="1:15">
      <c r="A1316" t="str">
        <f>"002850"</f>
        <v>002850</v>
      </c>
      <c r="B1316" t="s">
        <v>1352</v>
      </c>
      <c r="C1316">
        <v>-0.03</v>
      </c>
      <c r="D1316">
        <v>203.81</v>
      </c>
      <c r="E1316" t="s">
        <v>16</v>
      </c>
      <c r="F1316" t="s">
        <v>16</v>
      </c>
      <c r="H1316">
        <v>-0.34</v>
      </c>
      <c r="I1316">
        <v>18.94</v>
      </c>
      <c r="J1316">
        <v>-2.24</v>
      </c>
      <c r="L1316">
        <v>0.06</v>
      </c>
      <c r="M1316">
        <v>408</v>
      </c>
      <c r="N1316">
        <v>0.01</v>
      </c>
      <c r="O1316">
        <v>0.27</v>
      </c>
    </row>
    <row r="1317" spans="1:15">
      <c r="A1317" t="str">
        <f>"002851"</f>
        <v>002851</v>
      </c>
      <c r="B1317" t="s">
        <v>1353</v>
      </c>
      <c r="C1317">
        <v>0.34</v>
      </c>
      <c r="D1317">
        <v>179.5</v>
      </c>
      <c r="E1317" t="s">
        <v>16</v>
      </c>
      <c r="F1317" t="s">
        <v>16</v>
      </c>
      <c r="H1317">
        <v>0.31</v>
      </c>
      <c r="I1317">
        <v>16.48</v>
      </c>
      <c r="J1317">
        <v>-1.7</v>
      </c>
      <c r="K1317" t="s">
        <v>220</v>
      </c>
      <c r="L1317">
        <v>-1.2</v>
      </c>
      <c r="M1317">
        <v>6736.9</v>
      </c>
      <c r="N1317">
        <v>0.1</v>
      </c>
      <c r="O1317">
        <v>0.39</v>
      </c>
    </row>
    <row r="1318" spans="1:15">
      <c r="A1318" t="str">
        <f>"002852"</f>
        <v>002852</v>
      </c>
      <c r="B1318" t="s">
        <v>1354</v>
      </c>
      <c r="C1318">
        <v>2.27</v>
      </c>
      <c r="D1318">
        <v>7.66</v>
      </c>
      <c r="E1318" t="s">
        <v>16</v>
      </c>
      <c r="F1318" t="s">
        <v>16</v>
      </c>
      <c r="H1318">
        <v>0</v>
      </c>
      <c r="I1318">
        <v>-2.17</v>
      </c>
      <c r="J1318">
        <v>-0.91</v>
      </c>
      <c r="L1318">
        <v>0</v>
      </c>
      <c r="M1318">
        <v>0.67</v>
      </c>
      <c r="N1318">
        <v>0</v>
      </c>
      <c r="O1318">
        <v>0.24</v>
      </c>
    </row>
    <row r="1319" spans="1:15">
      <c r="A1319" t="str">
        <f>"002853"</f>
        <v>002853</v>
      </c>
      <c r="B1319" t="s">
        <v>1355</v>
      </c>
      <c r="C1319">
        <v>-0.96</v>
      </c>
      <c r="D1319">
        <v>22.76</v>
      </c>
      <c r="E1319" t="s">
        <v>16</v>
      </c>
      <c r="F1319" t="s">
        <v>16</v>
      </c>
      <c r="H1319">
        <v>-0.3</v>
      </c>
      <c r="I1319">
        <v>-6.87</v>
      </c>
      <c r="J1319">
        <v>-0.87</v>
      </c>
      <c r="L1319">
        <v>-0.09</v>
      </c>
      <c r="M1319">
        <v>7.58</v>
      </c>
      <c r="N1319">
        <v>0</v>
      </c>
      <c r="O1319">
        <v>0.59</v>
      </c>
    </row>
    <row r="1320" spans="1:15">
      <c r="A1320" t="str">
        <f>"002855"</f>
        <v>002855</v>
      </c>
      <c r="B1320" t="s">
        <v>1356</v>
      </c>
      <c r="C1320">
        <v>-2.39</v>
      </c>
      <c r="D1320">
        <v>10.62</v>
      </c>
      <c r="E1320" t="s">
        <v>16</v>
      </c>
      <c r="F1320" t="s">
        <v>16</v>
      </c>
      <c r="H1320">
        <v>0</v>
      </c>
      <c r="I1320">
        <v>-6.92</v>
      </c>
      <c r="J1320">
        <v>-2.48</v>
      </c>
      <c r="L1320">
        <v>0.09</v>
      </c>
      <c r="M1320">
        <v>19.49</v>
      </c>
      <c r="N1320">
        <v>0.02</v>
      </c>
      <c r="O1320">
        <v>0.62</v>
      </c>
    </row>
    <row r="1321" spans="1:15">
      <c r="A1321" t="str">
        <f>"002856"</f>
        <v>002856</v>
      </c>
      <c r="B1321" t="s">
        <v>1357</v>
      </c>
      <c r="C1321">
        <v>-4.99</v>
      </c>
      <c r="D1321">
        <v>19.8</v>
      </c>
      <c r="E1321">
        <v>5786.35</v>
      </c>
      <c r="F1321" t="s">
        <v>16</v>
      </c>
      <c r="H1321">
        <v>0</v>
      </c>
      <c r="I1321">
        <v>-19.12</v>
      </c>
      <c r="J1321">
        <v>0</v>
      </c>
      <c r="L1321">
        <v>-4.99</v>
      </c>
      <c r="M1321">
        <v>439.96</v>
      </c>
      <c r="N1321">
        <v>0.28</v>
      </c>
      <c r="O1321">
        <v>0.73</v>
      </c>
    </row>
    <row r="1322" spans="1:15">
      <c r="A1322" t="str">
        <f>"002857"</f>
        <v>002857</v>
      </c>
      <c r="B1322" t="s">
        <v>1358</v>
      </c>
      <c r="C1322">
        <v>-0.41</v>
      </c>
      <c r="D1322">
        <v>17.2</v>
      </c>
      <c r="E1322" t="s">
        <v>16</v>
      </c>
      <c r="F1322" t="s">
        <v>16</v>
      </c>
      <c r="H1322">
        <v>0.06</v>
      </c>
      <c r="I1322">
        <v>-11.34</v>
      </c>
      <c r="J1322">
        <v>-1.94</v>
      </c>
      <c r="L1322">
        <v>0.69</v>
      </c>
      <c r="M1322">
        <v>37.39</v>
      </c>
      <c r="N1322">
        <v>0.02</v>
      </c>
      <c r="O1322">
        <v>0.35</v>
      </c>
    </row>
    <row r="1323" spans="1:15">
      <c r="A1323" t="str">
        <f>"002858"</f>
        <v>002858</v>
      </c>
      <c r="B1323" t="s">
        <v>1359</v>
      </c>
      <c r="C1323">
        <v>0.32</v>
      </c>
      <c r="D1323">
        <v>12.44</v>
      </c>
      <c r="E1323" t="s">
        <v>16</v>
      </c>
      <c r="F1323" t="s">
        <v>16</v>
      </c>
      <c r="H1323">
        <v>0.24</v>
      </c>
      <c r="I1323">
        <v>-1.11</v>
      </c>
      <c r="J1323">
        <v>-2.51</v>
      </c>
      <c r="L1323">
        <v>0.08</v>
      </c>
      <c r="M1323">
        <v>63.29</v>
      </c>
      <c r="N1323">
        <v>0.04</v>
      </c>
      <c r="O1323">
        <v>3.09</v>
      </c>
    </row>
    <row r="1324" spans="1:15">
      <c r="A1324" t="str">
        <f>"002859"</f>
        <v>002859</v>
      </c>
      <c r="B1324" t="s">
        <v>1360</v>
      </c>
      <c r="C1324">
        <v>10</v>
      </c>
      <c r="D1324">
        <v>99.73</v>
      </c>
      <c r="E1324">
        <v>1353.34</v>
      </c>
      <c r="F1324">
        <v>1</v>
      </c>
      <c r="H1324">
        <v>0</v>
      </c>
      <c r="I1324">
        <v>5.66</v>
      </c>
      <c r="J1324">
        <v>0</v>
      </c>
      <c r="K1324" t="s">
        <v>38</v>
      </c>
      <c r="L1324">
        <v>-0.02</v>
      </c>
      <c r="M1324">
        <v>2085.63</v>
      </c>
      <c r="N1324">
        <v>0.12</v>
      </c>
      <c r="O1324">
        <v>0.6</v>
      </c>
    </row>
    <row r="1325" spans="1:15">
      <c r="A1325" t="str">
        <f>"002860"</f>
        <v>002860</v>
      </c>
      <c r="B1325" t="s">
        <v>1361</v>
      </c>
      <c r="C1325">
        <v>4.07</v>
      </c>
      <c r="D1325">
        <v>14.56</v>
      </c>
      <c r="E1325" t="s">
        <v>16</v>
      </c>
      <c r="F1325" t="s">
        <v>16</v>
      </c>
      <c r="H1325">
        <v>-1.08</v>
      </c>
      <c r="I1325">
        <v>10.64</v>
      </c>
      <c r="J1325">
        <v>-4.59</v>
      </c>
      <c r="L1325">
        <v>-0.29</v>
      </c>
      <c r="M1325">
        <v>19.95</v>
      </c>
      <c r="N1325">
        <v>0.01</v>
      </c>
      <c r="O1325">
        <v>0.25</v>
      </c>
    </row>
    <row r="1326" spans="1:15">
      <c r="A1326" t="str">
        <f>"002861"</f>
        <v>002861</v>
      </c>
      <c r="B1326" t="s">
        <v>1362</v>
      </c>
      <c r="C1326">
        <v>2.75</v>
      </c>
      <c r="D1326">
        <v>18.7</v>
      </c>
      <c r="E1326" t="s">
        <v>16</v>
      </c>
      <c r="F1326" t="s">
        <v>16</v>
      </c>
      <c r="H1326">
        <v>0.32</v>
      </c>
      <c r="I1326">
        <v>3.83</v>
      </c>
      <c r="J1326">
        <v>-3.11</v>
      </c>
      <c r="L1326">
        <v>-0.55</v>
      </c>
      <c r="M1326">
        <v>37.29</v>
      </c>
      <c r="N1326">
        <v>0.02</v>
      </c>
      <c r="O1326">
        <v>0.9</v>
      </c>
    </row>
    <row r="1327" spans="1:15">
      <c r="A1327" t="str">
        <f>"002862"</f>
        <v>002862</v>
      </c>
      <c r="B1327" t="s">
        <v>1363</v>
      </c>
      <c r="C1327">
        <v>-0.57</v>
      </c>
      <c r="D1327">
        <v>14.04</v>
      </c>
      <c r="E1327" t="s">
        <v>16</v>
      </c>
      <c r="F1327" t="s">
        <v>16</v>
      </c>
      <c r="H1327">
        <v>-0.06</v>
      </c>
      <c r="I1327">
        <v>-11.25</v>
      </c>
      <c r="J1327">
        <v>-1.27</v>
      </c>
      <c r="L1327">
        <v>0.14</v>
      </c>
      <c r="M1327">
        <v>4.95</v>
      </c>
      <c r="N1327">
        <v>0</v>
      </c>
      <c r="O1327">
        <v>0.49</v>
      </c>
    </row>
    <row r="1328" spans="1:15">
      <c r="A1328" t="str">
        <f>"002863"</f>
        <v>002863</v>
      </c>
      <c r="B1328" t="s">
        <v>1364</v>
      </c>
      <c r="C1328">
        <v>-1.28</v>
      </c>
      <c r="D1328">
        <v>4.61</v>
      </c>
      <c r="E1328" t="s">
        <v>16</v>
      </c>
      <c r="F1328" t="s">
        <v>16</v>
      </c>
      <c r="H1328">
        <v>0.22</v>
      </c>
      <c r="I1328">
        <v>-8.17</v>
      </c>
      <c r="J1328">
        <v>-1.5</v>
      </c>
      <c r="L1328">
        <v>-0.43</v>
      </c>
      <c r="M1328">
        <v>20.41</v>
      </c>
      <c r="N1328">
        <v>0.01</v>
      </c>
      <c r="O1328">
        <v>1.14</v>
      </c>
    </row>
    <row r="1329" spans="1:15">
      <c r="A1329" t="str">
        <f>"002864"</f>
        <v>002864</v>
      </c>
      <c r="B1329" t="s">
        <v>1365</v>
      </c>
      <c r="C1329">
        <v>-1.75</v>
      </c>
      <c r="D1329">
        <v>26.34</v>
      </c>
      <c r="E1329" t="s">
        <v>16</v>
      </c>
      <c r="F1329" t="s">
        <v>16</v>
      </c>
      <c r="H1329">
        <v>-0.22</v>
      </c>
      <c r="I1329">
        <v>-5.59</v>
      </c>
      <c r="J1329">
        <v>-2.26</v>
      </c>
      <c r="L1329">
        <v>0.04</v>
      </c>
      <c r="M1329">
        <v>4.29</v>
      </c>
      <c r="N1329">
        <v>0</v>
      </c>
      <c r="O1329">
        <v>0.39</v>
      </c>
    </row>
    <row r="1330" spans="1:15">
      <c r="A1330" t="str">
        <f>"002865"</f>
        <v>002865</v>
      </c>
      <c r="B1330" t="s">
        <v>1366</v>
      </c>
      <c r="C1330">
        <v>-4.41</v>
      </c>
      <c r="D1330">
        <v>63.88</v>
      </c>
      <c r="E1330" t="s">
        <v>16</v>
      </c>
      <c r="F1330" t="s">
        <v>16</v>
      </c>
      <c r="H1330">
        <v>-0.02</v>
      </c>
      <c r="I1330">
        <v>-13.05</v>
      </c>
      <c r="J1330">
        <v>-3.65</v>
      </c>
      <c r="L1330">
        <v>-0.82</v>
      </c>
      <c r="M1330">
        <v>2134.22</v>
      </c>
      <c r="N1330">
        <v>0.21</v>
      </c>
      <c r="O1330">
        <v>1.03</v>
      </c>
    </row>
    <row r="1331" spans="1:15">
      <c r="A1331" t="str">
        <f>"002866"</f>
        <v>002866</v>
      </c>
      <c r="B1331" t="s">
        <v>1367</v>
      </c>
      <c r="C1331">
        <v>-1.16</v>
      </c>
      <c r="D1331">
        <v>17.97</v>
      </c>
      <c r="E1331" t="s">
        <v>16</v>
      </c>
      <c r="F1331" t="s">
        <v>16</v>
      </c>
      <c r="H1331">
        <v>-0.05</v>
      </c>
      <c r="I1331">
        <v>-4.87</v>
      </c>
      <c r="J1331">
        <v>-0.66</v>
      </c>
      <c r="L1331">
        <v>-0.55</v>
      </c>
      <c r="M1331">
        <v>12.48</v>
      </c>
      <c r="N1331">
        <v>0</v>
      </c>
      <c r="O1331">
        <v>0.63</v>
      </c>
    </row>
    <row r="1332" spans="1:15">
      <c r="A1332" t="str">
        <f>"002867"</f>
        <v>002867</v>
      </c>
      <c r="B1332" t="s">
        <v>1368</v>
      </c>
      <c r="C1332">
        <v>-1.17</v>
      </c>
      <c r="D1332">
        <v>11.83</v>
      </c>
      <c r="E1332" t="s">
        <v>16</v>
      </c>
      <c r="F1332" t="s">
        <v>16</v>
      </c>
      <c r="H1332">
        <v>-0.07</v>
      </c>
      <c r="I1332">
        <v>-2.63</v>
      </c>
      <c r="J1332">
        <v>-1.42</v>
      </c>
      <c r="L1332">
        <v>-0.17</v>
      </c>
      <c r="M1332">
        <v>12.07</v>
      </c>
      <c r="N1332">
        <v>0</v>
      </c>
      <c r="O1332">
        <v>0.4</v>
      </c>
    </row>
    <row r="1333" spans="1:15">
      <c r="A1333" t="str">
        <f>"002868"</f>
        <v>002868</v>
      </c>
      <c r="B1333" t="s">
        <v>1369</v>
      </c>
      <c r="C1333">
        <v>-2.63</v>
      </c>
      <c r="D1333">
        <v>24.83</v>
      </c>
      <c r="E1333" t="s">
        <v>16</v>
      </c>
      <c r="F1333" t="s">
        <v>16</v>
      </c>
      <c r="H1333">
        <v>0.24</v>
      </c>
      <c r="I1333">
        <v>-8.71</v>
      </c>
      <c r="J1333">
        <v>-2.74</v>
      </c>
      <c r="L1333">
        <v>0.12</v>
      </c>
      <c r="M1333">
        <v>26.04</v>
      </c>
      <c r="N1333">
        <v>0.01</v>
      </c>
      <c r="O1333">
        <v>1.42</v>
      </c>
    </row>
    <row r="1334" spans="1:15">
      <c r="A1334" t="str">
        <f>"002869"</f>
        <v>002869</v>
      </c>
      <c r="B1334" t="s">
        <v>1370</v>
      </c>
      <c r="C1334">
        <v>-1.87</v>
      </c>
      <c r="D1334">
        <v>18.34</v>
      </c>
      <c r="E1334" t="s">
        <v>16</v>
      </c>
      <c r="F1334" t="s">
        <v>16</v>
      </c>
      <c r="H1334">
        <v>-0.1</v>
      </c>
      <c r="I1334">
        <v>-5.27</v>
      </c>
      <c r="J1334">
        <v>-2.55</v>
      </c>
      <c r="L1334">
        <v>0.32</v>
      </c>
      <c r="M1334">
        <v>17.44</v>
      </c>
      <c r="N1334">
        <v>0.01</v>
      </c>
      <c r="O1334">
        <v>0.31</v>
      </c>
    </row>
    <row r="1335" spans="1:15">
      <c r="A1335" t="str">
        <f>"002870"</f>
        <v>002870</v>
      </c>
      <c r="B1335" t="s">
        <v>1371</v>
      </c>
      <c r="C1335">
        <v>-3.7</v>
      </c>
      <c r="D1335">
        <v>39.34</v>
      </c>
      <c r="E1335" t="s">
        <v>16</v>
      </c>
      <c r="F1335" t="s">
        <v>16</v>
      </c>
      <c r="H1335">
        <v>0.05</v>
      </c>
      <c r="I1335">
        <v>0.05</v>
      </c>
      <c r="J1335">
        <v>-4.31</v>
      </c>
      <c r="L1335">
        <v>-1.15</v>
      </c>
      <c r="M1335">
        <v>5.25</v>
      </c>
      <c r="N1335">
        <v>0</v>
      </c>
      <c r="O1335">
        <v>0.54</v>
      </c>
    </row>
    <row r="1336" spans="1:15">
      <c r="A1336" t="str">
        <f>"002871"</f>
        <v>002871</v>
      </c>
      <c r="B1336" t="s">
        <v>1372</v>
      </c>
      <c r="C1336">
        <v>2.02</v>
      </c>
      <c r="D1336">
        <v>20.19</v>
      </c>
      <c r="E1336" t="s">
        <v>16</v>
      </c>
      <c r="F1336" t="s">
        <v>16</v>
      </c>
      <c r="H1336">
        <v>0.15</v>
      </c>
      <c r="I1336">
        <v>-3.12</v>
      </c>
      <c r="J1336">
        <v>-4.81</v>
      </c>
      <c r="L1336">
        <v>-0.25</v>
      </c>
      <c r="M1336">
        <v>13.82</v>
      </c>
      <c r="N1336">
        <v>0.01</v>
      </c>
      <c r="O1336">
        <v>0.15</v>
      </c>
    </row>
    <row r="1337" spans="1:15">
      <c r="A1337" t="str">
        <f>"002872"</f>
        <v>002872</v>
      </c>
      <c r="B1337" t="s">
        <v>1373</v>
      </c>
      <c r="C1337">
        <v>-1.99</v>
      </c>
      <c r="D1337">
        <v>4.93</v>
      </c>
      <c r="E1337" t="s">
        <v>16</v>
      </c>
      <c r="F1337" t="s">
        <v>16</v>
      </c>
      <c r="H1337">
        <v>0</v>
      </c>
      <c r="I1337">
        <v>-6.1</v>
      </c>
      <c r="J1337">
        <v>-2.18</v>
      </c>
      <c r="L1337">
        <v>0.2</v>
      </c>
      <c r="M1337">
        <v>0</v>
      </c>
      <c r="N1337">
        <v>0</v>
      </c>
      <c r="O1337">
        <v>0</v>
      </c>
    </row>
    <row r="1338" spans="1:15">
      <c r="A1338" t="str">
        <f>"002873"</f>
        <v>002873</v>
      </c>
      <c r="B1338" t="s">
        <v>1374</v>
      </c>
      <c r="C1338">
        <v>-0.26</v>
      </c>
      <c r="D1338">
        <v>7.75</v>
      </c>
      <c r="E1338" t="s">
        <v>16</v>
      </c>
      <c r="F1338" t="s">
        <v>16</v>
      </c>
      <c r="H1338">
        <v>-0.12</v>
      </c>
      <c r="I1338">
        <v>-6.17</v>
      </c>
      <c r="J1338">
        <v>-1.4</v>
      </c>
      <c r="L1338">
        <v>0</v>
      </c>
      <c r="M1338">
        <v>48.64</v>
      </c>
      <c r="N1338">
        <v>0.04</v>
      </c>
      <c r="O1338">
        <v>3.64</v>
      </c>
    </row>
    <row r="1339" spans="1:15">
      <c r="A1339" t="str">
        <f>"002875"</f>
        <v>002875</v>
      </c>
      <c r="B1339" t="s">
        <v>1375</v>
      </c>
      <c r="C1339">
        <v>-3.38</v>
      </c>
      <c r="D1339">
        <v>16.01</v>
      </c>
      <c r="E1339" t="s">
        <v>16</v>
      </c>
      <c r="F1339" t="s">
        <v>16</v>
      </c>
      <c r="H1339">
        <v>0.06</v>
      </c>
      <c r="I1339">
        <v>-18.44</v>
      </c>
      <c r="J1339">
        <v>-4.07</v>
      </c>
      <c r="L1339">
        <v>-0.3</v>
      </c>
      <c r="M1339">
        <v>13.38</v>
      </c>
      <c r="N1339">
        <v>0.01</v>
      </c>
      <c r="O1339">
        <v>0.11</v>
      </c>
    </row>
    <row r="1340" spans="1:15">
      <c r="A1340" t="str">
        <f>"002876"</f>
        <v>002876</v>
      </c>
      <c r="B1340" t="s">
        <v>1376</v>
      </c>
      <c r="C1340">
        <v>1.69</v>
      </c>
      <c r="D1340">
        <v>33.1</v>
      </c>
      <c r="E1340" t="s">
        <v>16</v>
      </c>
      <c r="F1340" t="s">
        <v>16</v>
      </c>
      <c r="H1340">
        <v>0.61</v>
      </c>
      <c r="I1340">
        <v>3.86</v>
      </c>
      <c r="J1340">
        <v>-0.15</v>
      </c>
      <c r="L1340">
        <v>-0.77</v>
      </c>
      <c r="M1340">
        <v>88.83</v>
      </c>
      <c r="N1340">
        <v>0.02</v>
      </c>
      <c r="O1340">
        <v>2.15</v>
      </c>
    </row>
    <row r="1341" spans="1:15">
      <c r="A1341" t="str">
        <f>"002877"</f>
        <v>002877</v>
      </c>
      <c r="B1341" t="s">
        <v>1377</v>
      </c>
      <c r="C1341">
        <v>-2.34</v>
      </c>
      <c r="D1341">
        <v>7.51</v>
      </c>
      <c r="E1341" t="s">
        <v>16</v>
      </c>
      <c r="F1341" t="s">
        <v>16</v>
      </c>
      <c r="H1341">
        <v>0.13</v>
      </c>
      <c r="I1341">
        <v>-4.33</v>
      </c>
      <c r="J1341">
        <v>-2.09</v>
      </c>
      <c r="L1341">
        <v>-0.26</v>
      </c>
      <c r="M1341">
        <v>5.68</v>
      </c>
      <c r="N1341">
        <v>0</v>
      </c>
      <c r="O1341">
        <v>0.4</v>
      </c>
    </row>
    <row r="1342" spans="1:15">
      <c r="A1342" t="str">
        <f>"002878"</f>
        <v>002878</v>
      </c>
      <c r="B1342" t="s">
        <v>1378</v>
      </c>
      <c r="C1342">
        <v>0</v>
      </c>
      <c r="D1342">
        <v>12.8</v>
      </c>
      <c r="E1342" t="s">
        <v>16</v>
      </c>
      <c r="F1342" t="s">
        <v>16</v>
      </c>
      <c r="H1342">
        <v>-0.22</v>
      </c>
      <c r="I1342">
        <v>-18.83</v>
      </c>
      <c r="J1342">
        <v>-1.46</v>
      </c>
      <c r="L1342">
        <v>0</v>
      </c>
      <c r="M1342">
        <v>29.82</v>
      </c>
      <c r="N1342">
        <v>0.02</v>
      </c>
      <c r="O1342">
        <v>0.58</v>
      </c>
    </row>
    <row r="1343" spans="1:15">
      <c r="A1343" t="str">
        <f>"002879"</f>
        <v>002879</v>
      </c>
      <c r="B1343" t="s">
        <v>1379</v>
      </c>
      <c r="C1343">
        <v>0</v>
      </c>
      <c r="D1343">
        <v>14.47</v>
      </c>
      <c r="E1343" t="s">
        <v>16</v>
      </c>
      <c r="F1343" t="s">
        <v>16</v>
      </c>
      <c r="H1343">
        <v>0.42</v>
      </c>
      <c r="I1343">
        <v>-5.79</v>
      </c>
      <c r="J1343">
        <v>-0.69</v>
      </c>
      <c r="L1343">
        <v>0</v>
      </c>
      <c r="M1343">
        <v>7.24</v>
      </c>
      <c r="N1343">
        <v>0</v>
      </c>
      <c r="O1343">
        <v>0.44</v>
      </c>
    </row>
    <row r="1344" spans="1:15">
      <c r="A1344" t="str">
        <f>"002880"</f>
        <v>002880</v>
      </c>
      <c r="B1344" t="s">
        <v>1380</v>
      </c>
      <c r="C1344">
        <v>0.18</v>
      </c>
      <c r="D1344">
        <v>22.18</v>
      </c>
      <c r="E1344" t="s">
        <v>16</v>
      </c>
      <c r="F1344" t="s">
        <v>16</v>
      </c>
      <c r="H1344">
        <v>-0.26</v>
      </c>
      <c r="I1344">
        <v>-6.26</v>
      </c>
      <c r="J1344">
        <v>-2.03</v>
      </c>
      <c r="L1344">
        <v>-0.27</v>
      </c>
      <c r="M1344">
        <v>5.52</v>
      </c>
      <c r="N1344">
        <v>0</v>
      </c>
      <c r="O1344">
        <v>4.17</v>
      </c>
    </row>
    <row r="1345" spans="1:15">
      <c r="A1345" t="str">
        <f>"002881"</f>
        <v>002881</v>
      </c>
      <c r="B1345" t="s">
        <v>1381</v>
      </c>
      <c r="C1345">
        <v>5</v>
      </c>
      <c r="D1345">
        <v>43.68</v>
      </c>
      <c r="E1345" t="s">
        <v>16</v>
      </c>
      <c r="F1345" t="s">
        <v>16</v>
      </c>
      <c r="H1345">
        <v>0</v>
      </c>
      <c r="I1345">
        <v>2.46</v>
      </c>
      <c r="J1345">
        <v>-1.47</v>
      </c>
      <c r="L1345">
        <v>0</v>
      </c>
      <c r="M1345">
        <v>72.38</v>
      </c>
      <c r="N1345">
        <v>0.01</v>
      </c>
      <c r="O1345">
        <v>0.57</v>
      </c>
    </row>
    <row r="1346" spans="1:15">
      <c r="A1346" t="str">
        <f>"002882"</f>
        <v>002882</v>
      </c>
      <c r="B1346" t="s">
        <v>1382</v>
      </c>
      <c r="C1346">
        <v>-1.85</v>
      </c>
      <c r="D1346">
        <v>21.28</v>
      </c>
      <c r="E1346" t="s">
        <v>16</v>
      </c>
      <c r="F1346" t="s">
        <v>16</v>
      </c>
      <c r="H1346">
        <v>0.09</v>
      </c>
      <c r="I1346">
        <v>1.33</v>
      </c>
      <c r="J1346">
        <v>-2.74</v>
      </c>
      <c r="L1346">
        <v>-0.83</v>
      </c>
      <c r="M1346">
        <v>93.1</v>
      </c>
      <c r="N1346">
        <v>0.04</v>
      </c>
      <c r="O1346">
        <v>0.64</v>
      </c>
    </row>
    <row r="1347" spans="1:15">
      <c r="A1347" t="str">
        <f>"002883"</f>
        <v>002883</v>
      </c>
      <c r="B1347" t="s">
        <v>1383</v>
      </c>
      <c r="C1347">
        <v>1.16</v>
      </c>
      <c r="D1347">
        <v>8.7</v>
      </c>
      <c r="E1347" t="s">
        <v>16</v>
      </c>
      <c r="F1347" t="s">
        <v>16</v>
      </c>
      <c r="H1347">
        <v>0.46</v>
      </c>
      <c r="I1347">
        <v>-7.55</v>
      </c>
      <c r="J1347">
        <v>0</v>
      </c>
      <c r="L1347">
        <v>-0.47</v>
      </c>
      <c r="M1347">
        <v>0.68</v>
      </c>
      <c r="N1347">
        <v>0</v>
      </c>
      <c r="O1347">
        <v>0.03</v>
      </c>
    </row>
    <row r="1348" spans="1:15">
      <c r="A1348" t="str">
        <f>"002884"</f>
        <v>002884</v>
      </c>
      <c r="B1348" t="s">
        <v>1384</v>
      </c>
      <c r="C1348">
        <v>-1.52</v>
      </c>
      <c r="D1348">
        <v>15.56</v>
      </c>
      <c r="E1348" t="s">
        <v>16</v>
      </c>
      <c r="F1348" t="s">
        <v>16</v>
      </c>
      <c r="H1348">
        <v>0</v>
      </c>
      <c r="I1348">
        <v>-4.54</v>
      </c>
      <c r="J1348">
        <v>-1.77</v>
      </c>
      <c r="L1348">
        <v>0.19</v>
      </c>
      <c r="M1348">
        <v>3.64</v>
      </c>
      <c r="N1348">
        <v>0</v>
      </c>
      <c r="O1348">
        <v>0.74</v>
      </c>
    </row>
    <row r="1349" spans="1:15">
      <c r="A1349" t="str">
        <f>"002885"</f>
        <v>002885</v>
      </c>
      <c r="B1349" t="s">
        <v>1385</v>
      </c>
      <c r="C1349">
        <v>0.69</v>
      </c>
      <c r="D1349">
        <v>42.61</v>
      </c>
      <c r="E1349" t="s">
        <v>16</v>
      </c>
      <c r="F1349" t="s">
        <v>16</v>
      </c>
      <c r="H1349">
        <v>0.16</v>
      </c>
      <c r="I1349">
        <v>-2.02</v>
      </c>
      <c r="J1349">
        <v>-1.62</v>
      </c>
      <c r="K1349" t="s">
        <v>26</v>
      </c>
      <c r="L1349">
        <v>0.09</v>
      </c>
      <c r="M1349">
        <v>989.53</v>
      </c>
      <c r="N1349">
        <v>0.14</v>
      </c>
      <c r="O1349">
        <v>0.45</v>
      </c>
    </row>
    <row r="1350" spans="1:15">
      <c r="A1350" t="str">
        <f>"002886"</f>
        <v>002886</v>
      </c>
      <c r="B1350" t="s">
        <v>1386</v>
      </c>
      <c r="C1350">
        <v>3.54</v>
      </c>
      <c r="D1350">
        <v>32.19</v>
      </c>
      <c r="E1350" t="s">
        <v>16</v>
      </c>
      <c r="F1350" t="s">
        <v>16</v>
      </c>
      <c r="H1350">
        <v>0.16</v>
      </c>
      <c r="I1350">
        <v>14.23</v>
      </c>
      <c r="J1350">
        <v>-1.92</v>
      </c>
      <c r="L1350">
        <v>0.35</v>
      </c>
      <c r="M1350">
        <v>333.22</v>
      </c>
      <c r="N1350">
        <v>0.07</v>
      </c>
      <c r="O1350">
        <v>0.65</v>
      </c>
    </row>
    <row r="1351" spans="1:15">
      <c r="A1351" t="str">
        <f>"002887"</f>
        <v>002887</v>
      </c>
      <c r="B1351" t="s">
        <v>1387</v>
      </c>
      <c r="C1351">
        <v>0.26</v>
      </c>
      <c r="D1351">
        <v>11.54</v>
      </c>
      <c r="E1351" t="s">
        <v>16</v>
      </c>
      <c r="F1351" t="s">
        <v>16</v>
      </c>
      <c r="H1351">
        <v>0</v>
      </c>
      <c r="I1351">
        <v>-9.49</v>
      </c>
      <c r="J1351">
        <v>-2.12</v>
      </c>
      <c r="L1351">
        <v>-0.87</v>
      </c>
      <c r="M1351">
        <v>13.92</v>
      </c>
      <c r="N1351">
        <v>0.01</v>
      </c>
      <c r="O1351">
        <v>0.6</v>
      </c>
    </row>
    <row r="1352" spans="1:15">
      <c r="A1352" t="str">
        <f>"002888"</f>
        <v>002888</v>
      </c>
      <c r="B1352" t="s">
        <v>1388</v>
      </c>
      <c r="C1352">
        <v>7.08</v>
      </c>
      <c r="D1352">
        <v>21.79</v>
      </c>
      <c r="E1352" t="s">
        <v>16</v>
      </c>
      <c r="F1352" t="s">
        <v>16</v>
      </c>
      <c r="H1352">
        <v>0</v>
      </c>
      <c r="I1352">
        <v>15.97</v>
      </c>
      <c r="J1352">
        <v>-0.73</v>
      </c>
      <c r="L1352">
        <v>0.49</v>
      </c>
      <c r="M1352">
        <v>48.67</v>
      </c>
      <c r="N1352">
        <v>0.05</v>
      </c>
      <c r="O1352">
        <v>15.87</v>
      </c>
    </row>
    <row r="1353" spans="1:15">
      <c r="A1353" t="str">
        <f>"002889"</f>
        <v>002889</v>
      </c>
      <c r="B1353" t="s">
        <v>1389</v>
      </c>
      <c r="C1353">
        <v>-0.46</v>
      </c>
      <c r="D1353">
        <v>10.93</v>
      </c>
      <c r="E1353" t="s">
        <v>16</v>
      </c>
      <c r="F1353" t="s">
        <v>16</v>
      </c>
      <c r="H1353">
        <v>-0.08</v>
      </c>
      <c r="I1353">
        <v>-3.27</v>
      </c>
      <c r="J1353">
        <v>-1.18</v>
      </c>
      <c r="L1353">
        <v>0</v>
      </c>
      <c r="M1353">
        <v>6.92</v>
      </c>
      <c r="N1353">
        <v>0.01</v>
      </c>
      <c r="O1353">
        <v>1.75</v>
      </c>
    </row>
    <row r="1354" spans="1:15">
      <c r="A1354" t="str">
        <f>"002890"</f>
        <v>002890</v>
      </c>
      <c r="B1354" t="s">
        <v>1390</v>
      </c>
      <c r="C1354">
        <v>-2.34</v>
      </c>
      <c r="D1354">
        <v>14.59</v>
      </c>
      <c r="E1354" t="s">
        <v>16</v>
      </c>
      <c r="F1354" t="s">
        <v>16</v>
      </c>
      <c r="H1354">
        <v>0.07</v>
      </c>
      <c r="I1354">
        <v>-1.49</v>
      </c>
      <c r="J1354">
        <v>-2.15</v>
      </c>
      <c r="L1354">
        <v>-1.74</v>
      </c>
      <c r="M1354">
        <v>5.28</v>
      </c>
      <c r="N1354">
        <v>0</v>
      </c>
      <c r="O1354">
        <v>1.63</v>
      </c>
    </row>
    <row r="1355" spans="1:15">
      <c r="A1355" t="str">
        <f>"002891"</f>
        <v>002891</v>
      </c>
      <c r="B1355" t="s">
        <v>1391</v>
      </c>
      <c r="C1355">
        <v>-2.09</v>
      </c>
      <c r="D1355">
        <v>27.61</v>
      </c>
      <c r="E1355" t="s">
        <v>16</v>
      </c>
      <c r="F1355" t="s">
        <v>16</v>
      </c>
      <c r="H1355">
        <v>-0.35</v>
      </c>
      <c r="I1355">
        <v>-3.56</v>
      </c>
      <c r="J1355">
        <v>-2.09</v>
      </c>
      <c r="L1355">
        <v>-0.14</v>
      </c>
      <c r="M1355">
        <v>37.73</v>
      </c>
      <c r="N1355">
        <v>0.01</v>
      </c>
      <c r="O1355">
        <v>0.74</v>
      </c>
    </row>
    <row r="1356" spans="1:15">
      <c r="A1356" t="str">
        <f>"002892"</f>
        <v>002892</v>
      </c>
      <c r="B1356" t="s">
        <v>1392</v>
      </c>
      <c r="C1356">
        <v>0</v>
      </c>
      <c r="D1356">
        <v>10.21</v>
      </c>
      <c r="E1356" t="s">
        <v>16</v>
      </c>
      <c r="F1356" t="s">
        <v>16</v>
      </c>
      <c r="H1356">
        <v>0</v>
      </c>
      <c r="I1356">
        <v>3.24</v>
      </c>
      <c r="J1356">
        <v>-0.97</v>
      </c>
      <c r="L1356">
        <v>-0.2</v>
      </c>
      <c r="M1356">
        <v>22.42</v>
      </c>
      <c r="N1356">
        <v>0.01</v>
      </c>
      <c r="O1356">
        <v>0.61</v>
      </c>
    </row>
    <row r="1357" spans="1:15">
      <c r="A1357" t="str">
        <f>"002893"</f>
        <v>002893</v>
      </c>
      <c r="B1357" t="s">
        <v>1393</v>
      </c>
      <c r="C1357">
        <v>2.31</v>
      </c>
      <c r="D1357">
        <v>10.19</v>
      </c>
      <c r="E1357" t="s">
        <v>16</v>
      </c>
      <c r="F1357" t="s">
        <v>16</v>
      </c>
      <c r="H1357">
        <v>0</v>
      </c>
      <c r="I1357">
        <v>-13.42</v>
      </c>
      <c r="J1357">
        <v>-3.69</v>
      </c>
      <c r="L1357">
        <v>0.4</v>
      </c>
      <c r="M1357">
        <v>37</v>
      </c>
      <c r="N1357">
        <v>0.02</v>
      </c>
      <c r="O1357">
        <v>2.26</v>
      </c>
    </row>
    <row r="1358" spans="1:15">
      <c r="A1358" t="str">
        <f>"002895"</f>
        <v>002895</v>
      </c>
      <c r="B1358" t="s">
        <v>1394</v>
      </c>
      <c r="C1358">
        <v>-3.47</v>
      </c>
      <c r="D1358">
        <v>29.17</v>
      </c>
      <c r="E1358" t="s">
        <v>16</v>
      </c>
      <c r="F1358" t="s">
        <v>16</v>
      </c>
      <c r="H1358">
        <v>0.07</v>
      </c>
      <c r="I1358">
        <v>-9.44</v>
      </c>
      <c r="J1358">
        <v>-4.52</v>
      </c>
      <c r="L1358">
        <v>-0.73</v>
      </c>
      <c r="M1358">
        <v>43.2</v>
      </c>
      <c r="N1358">
        <v>0</v>
      </c>
      <c r="O1358">
        <v>0.26</v>
      </c>
    </row>
    <row r="1359" spans="1:15">
      <c r="A1359" t="str">
        <f>"002896"</f>
        <v>002896</v>
      </c>
      <c r="B1359" t="s">
        <v>1395</v>
      </c>
      <c r="C1359">
        <v>3.28</v>
      </c>
      <c r="D1359">
        <v>82.3</v>
      </c>
      <c r="E1359" t="s">
        <v>16</v>
      </c>
      <c r="F1359" t="s">
        <v>16</v>
      </c>
      <c r="H1359">
        <v>0.05</v>
      </c>
      <c r="I1359">
        <v>4.34</v>
      </c>
      <c r="J1359">
        <v>-1.26</v>
      </c>
      <c r="L1359">
        <v>0.04</v>
      </c>
      <c r="M1359">
        <v>719.07</v>
      </c>
      <c r="N1359">
        <v>0.09</v>
      </c>
      <c r="O1359">
        <v>2.32</v>
      </c>
    </row>
    <row r="1360" spans="1:15">
      <c r="A1360" t="str">
        <f>"002897"</f>
        <v>002897</v>
      </c>
      <c r="B1360" t="s">
        <v>1396</v>
      </c>
      <c r="C1360">
        <v>10</v>
      </c>
      <c r="D1360">
        <v>96.8</v>
      </c>
      <c r="E1360">
        <v>10138.83</v>
      </c>
      <c r="F1360">
        <v>1</v>
      </c>
      <c r="H1360">
        <v>0</v>
      </c>
      <c r="I1360">
        <v>0.68</v>
      </c>
      <c r="J1360">
        <v>0</v>
      </c>
      <c r="K1360" t="s">
        <v>220</v>
      </c>
      <c r="L1360">
        <v>-0.34</v>
      </c>
      <c r="M1360">
        <v>820.87</v>
      </c>
      <c r="N1360">
        <v>0.09</v>
      </c>
      <c r="O1360">
        <v>1.52</v>
      </c>
    </row>
    <row r="1361" spans="1:15">
      <c r="A1361" t="str">
        <f>"002898"</f>
        <v>002898</v>
      </c>
      <c r="B1361" t="s">
        <v>1397</v>
      </c>
      <c r="C1361" t="s">
        <v>16</v>
      </c>
      <c r="D1361">
        <v>8.3</v>
      </c>
      <c r="E1361" t="s">
        <v>16</v>
      </c>
      <c r="F1361" t="s">
        <v>16</v>
      </c>
      <c r="H1361" t="s">
        <v>16</v>
      </c>
      <c r="I1361">
        <v>0</v>
      </c>
      <c r="J1361" t="s">
        <v>16</v>
      </c>
      <c r="L1361" t="s">
        <v>16</v>
      </c>
      <c r="M1361">
        <v>0</v>
      </c>
      <c r="N1361" t="s">
        <v>16</v>
      </c>
      <c r="O1361" t="s">
        <v>16</v>
      </c>
    </row>
    <row r="1362" spans="1:15">
      <c r="A1362" t="str">
        <f>"002899"</f>
        <v>002899</v>
      </c>
      <c r="B1362" t="s">
        <v>1398</v>
      </c>
      <c r="C1362">
        <v>-3.47</v>
      </c>
      <c r="D1362">
        <v>22.52</v>
      </c>
      <c r="E1362" t="s">
        <v>16</v>
      </c>
      <c r="F1362" t="s">
        <v>16</v>
      </c>
      <c r="H1362">
        <v>-0.43</v>
      </c>
      <c r="I1362">
        <v>-15.11</v>
      </c>
      <c r="J1362">
        <v>-4.05</v>
      </c>
      <c r="L1362">
        <v>-1.59</v>
      </c>
      <c r="M1362">
        <v>49.36</v>
      </c>
      <c r="N1362">
        <v>0.02</v>
      </c>
      <c r="O1362">
        <v>1.36</v>
      </c>
    </row>
    <row r="1363" spans="1:15">
      <c r="A1363" t="str">
        <f>"002900"</f>
        <v>002900</v>
      </c>
      <c r="B1363" t="s">
        <v>1399</v>
      </c>
      <c r="C1363">
        <v>-1.79</v>
      </c>
      <c r="D1363">
        <v>9.87</v>
      </c>
      <c r="E1363" t="s">
        <v>16</v>
      </c>
      <c r="F1363" t="s">
        <v>16</v>
      </c>
      <c r="H1363">
        <v>0</v>
      </c>
      <c r="I1363">
        <v>-1.4</v>
      </c>
      <c r="J1363">
        <v>-2.76</v>
      </c>
      <c r="L1363">
        <v>-0.1</v>
      </c>
      <c r="M1363">
        <v>14.96</v>
      </c>
      <c r="N1363">
        <v>0.01</v>
      </c>
      <c r="O1363">
        <v>0.81</v>
      </c>
    </row>
    <row r="1364" spans="1:15">
      <c r="A1364" t="str">
        <f>"002901"</f>
        <v>002901</v>
      </c>
      <c r="B1364" t="s">
        <v>1400</v>
      </c>
      <c r="C1364">
        <v>1.51</v>
      </c>
      <c r="D1364">
        <v>42.27</v>
      </c>
      <c r="E1364" t="s">
        <v>16</v>
      </c>
      <c r="F1364" t="s">
        <v>16</v>
      </c>
      <c r="H1364">
        <v>0.21</v>
      </c>
      <c r="I1364">
        <v>5.89</v>
      </c>
      <c r="J1364">
        <v>-0.49</v>
      </c>
      <c r="L1364">
        <v>0.07</v>
      </c>
      <c r="M1364">
        <v>17.08</v>
      </c>
      <c r="N1364">
        <v>0.01</v>
      </c>
      <c r="O1364">
        <v>1.46</v>
      </c>
    </row>
    <row r="1365" spans="1:15">
      <c r="A1365" t="str">
        <f>"002902"</f>
        <v>002902</v>
      </c>
      <c r="B1365" t="s">
        <v>1401</v>
      </c>
      <c r="C1365">
        <v>4.61</v>
      </c>
      <c r="D1365">
        <v>36.77</v>
      </c>
      <c r="E1365" t="s">
        <v>16</v>
      </c>
      <c r="F1365" t="s">
        <v>16</v>
      </c>
      <c r="H1365">
        <v>0</v>
      </c>
      <c r="I1365">
        <v>12.04</v>
      </c>
      <c r="J1365">
        <v>-1.02</v>
      </c>
      <c r="L1365">
        <v>-1</v>
      </c>
      <c r="M1365">
        <v>642.76</v>
      </c>
      <c r="N1365">
        <v>0.13</v>
      </c>
      <c r="O1365">
        <v>0.46</v>
      </c>
    </row>
    <row r="1366" spans="1:15">
      <c r="A1366" t="str">
        <f>"002903"</f>
        <v>002903</v>
      </c>
      <c r="B1366" t="s">
        <v>1402</v>
      </c>
      <c r="C1366">
        <v>1.74</v>
      </c>
      <c r="D1366">
        <v>54.25</v>
      </c>
      <c r="E1366" t="s">
        <v>16</v>
      </c>
      <c r="F1366" t="s">
        <v>16</v>
      </c>
      <c r="H1366">
        <v>-0.05</v>
      </c>
      <c r="I1366">
        <v>24.57</v>
      </c>
      <c r="J1366">
        <v>-1.18</v>
      </c>
      <c r="K1366" t="s">
        <v>57</v>
      </c>
      <c r="L1366">
        <v>-0.6</v>
      </c>
      <c r="M1366">
        <v>160.59</v>
      </c>
      <c r="N1366">
        <v>0.03</v>
      </c>
      <c r="O1366">
        <v>0.3</v>
      </c>
    </row>
    <row r="1367" spans="1:15">
      <c r="A1367" t="str">
        <f>"002905"</f>
        <v>002905</v>
      </c>
      <c r="B1367" t="s">
        <v>1403</v>
      </c>
      <c r="C1367">
        <v>-0.14</v>
      </c>
      <c r="D1367">
        <v>7.21</v>
      </c>
      <c r="E1367" t="s">
        <v>16</v>
      </c>
      <c r="F1367" t="s">
        <v>16</v>
      </c>
      <c r="H1367">
        <v>-0.68</v>
      </c>
      <c r="I1367">
        <v>-7.8</v>
      </c>
      <c r="J1367">
        <v>-1.23</v>
      </c>
      <c r="L1367">
        <v>-0.28</v>
      </c>
      <c r="M1367">
        <v>5.4</v>
      </c>
      <c r="N1367">
        <v>0.01</v>
      </c>
      <c r="O1367">
        <v>0.48</v>
      </c>
    </row>
    <row r="1368" spans="1:15">
      <c r="A1368" t="str">
        <f>"002906"</f>
        <v>002906</v>
      </c>
      <c r="B1368" t="s">
        <v>1404</v>
      </c>
      <c r="C1368">
        <v>1</v>
      </c>
      <c r="D1368">
        <v>29.19</v>
      </c>
      <c r="E1368" t="s">
        <v>16</v>
      </c>
      <c r="F1368" t="s">
        <v>16</v>
      </c>
      <c r="H1368">
        <v>0.14</v>
      </c>
      <c r="I1368">
        <v>1.11</v>
      </c>
      <c r="J1368">
        <v>-4.92</v>
      </c>
      <c r="K1368" t="s">
        <v>54</v>
      </c>
      <c r="L1368">
        <v>2.8</v>
      </c>
      <c r="M1368">
        <v>1390.43</v>
      </c>
      <c r="N1368">
        <v>0.21</v>
      </c>
      <c r="O1368">
        <v>45</v>
      </c>
    </row>
    <row r="1369" spans="1:15">
      <c r="A1369" t="str">
        <f>"002907"</f>
        <v>002907</v>
      </c>
      <c r="B1369" t="s">
        <v>1405</v>
      </c>
      <c r="C1369">
        <v>10.01</v>
      </c>
      <c r="D1369">
        <v>13.3</v>
      </c>
      <c r="E1369">
        <v>2744.19</v>
      </c>
      <c r="F1369">
        <v>1</v>
      </c>
      <c r="H1369">
        <v>0</v>
      </c>
      <c r="I1369">
        <v>10.74</v>
      </c>
      <c r="J1369">
        <v>0</v>
      </c>
      <c r="K1369" t="s">
        <v>140</v>
      </c>
      <c r="L1369">
        <v>-0.17</v>
      </c>
      <c r="M1369">
        <v>22.21</v>
      </c>
      <c r="N1369">
        <v>0.02</v>
      </c>
      <c r="O1369">
        <v>0.32</v>
      </c>
    </row>
    <row r="1370" spans="1:15">
      <c r="A1370" t="str">
        <f>"002908"</f>
        <v>002908</v>
      </c>
      <c r="B1370" t="s">
        <v>1406</v>
      </c>
      <c r="C1370">
        <v>-0.86</v>
      </c>
      <c r="D1370">
        <v>6.88</v>
      </c>
      <c r="E1370" t="s">
        <v>16</v>
      </c>
      <c r="F1370" t="s">
        <v>16</v>
      </c>
      <c r="H1370">
        <v>0</v>
      </c>
      <c r="I1370">
        <v>-5.36</v>
      </c>
      <c r="J1370">
        <v>-1.71</v>
      </c>
      <c r="L1370">
        <v>-0.58</v>
      </c>
      <c r="M1370">
        <v>15.25</v>
      </c>
      <c r="N1370">
        <v>0.01</v>
      </c>
      <c r="O1370">
        <v>2.57</v>
      </c>
    </row>
    <row r="1371" spans="1:15">
      <c r="A1371" t="str">
        <f>"002909"</f>
        <v>002909</v>
      </c>
      <c r="B1371" t="s">
        <v>1407</v>
      </c>
      <c r="C1371">
        <v>-0.94</v>
      </c>
      <c r="D1371">
        <v>5.29</v>
      </c>
      <c r="E1371" t="s">
        <v>16</v>
      </c>
      <c r="F1371" t="s">
        <v>16</v>
      </c>
      <c r="H1371">
        <v>0</v>
      </c>
      <c r="I1371">
        <v>-6.7</v>
      </c>
      <c r="J1371">
        <v>-2.22</v>
      </c>
      <c r="L1371">
        <v>-1.12</v>
      </c>
      <c r="M1371">
        <v>28.41</v>
      </c>
      <c r="N1371">
        <v>0.02</v>
      </c>
      <c r="O1371">
        <v>2.23</v>
      </c>
    </row>
    <row r="1372" spans="1:15">
      <c r="A1372" t="str">
        <f>"002910"</f>
        <v>002910</v>
      </c>
      <c r="B1372" t="s">
        <v>1408</v>
      </c>
      <c r="C1372">
        <v>4.39</v>
      </c>
      <c r="D1372">
        <v>11.65</v>
      </c>
      <c r="E1372" t="s">
        <v>16</v>
      </c>
      <c r="F1372" t="s">
        <v>16</v>
      </c>
      <c r="H1372">
        <v>0.26</v>
      </c>
      <c r="I1372">
        <v>24.6</v>
      </c>
      <c r="J1372">
        <v>-5.13</v>
      </c>
      <c r="K1372" t="s">
        <v>26</v>
      </c>
      <c r="L1372">
        <v>2.15</v>
      </c>
      <c r="M1372">
        <v>356.48</v>
      </c>
      <c r="N1372">
        <v>0.33</v>
      </c>
      <c r="O1372">
        <v>0.88</v>
      </c>
    </row>
    <row r="1373" spans="1:15">
      <c r="A1373" t="str">
        <f>"002911"</f>
        <v>002911</v>
      </c>
      <c r="B1373" t="s">
        <v>1409</v>
      </c>
      <c r="C1373">
        <v>-1.45</v>
      </c>
      <c r="D1373">
        <v>10.21</v>
      </c>
      <c r="E1373" t="s">
        <v>16</v>
      </c>
      <c r="F1373" t="s">
        <v>16</v>
      </c>
      <c r="H1373">
        <v>-0.09</v>
      </c>
      <c r="I1373">
        <v>-7.52</v>
      </c>
      <c r="J1373">
        <v>-2.02</v>
      </c>
      <c r="L1373">
        <v>0.19</v>
      </c>
      <c r="M1373">
        <v>5.09</v>
      </c>
      <c r="N1373">
        <v>0</v>
      </c>
      <c r="O1373">
        <v>0.56</v>
      </c>
    </row>
    <row r="1374" spans="1:15">
      <c r="A1374" t="str">
        <f>"002912"</f>
        <v>002912</v>
      </c>
      <c r="B1374" t="s">
        <v>1410</v>
      </c>
      <c r="C1374">
        <v>0.36</v>
      </c>
      <c r="D1374">
        <v>19.46</v>
      </c>
      <c r="E1374" t="s">
        <v>16</v>
      </c>
      <c r="F1374" t="s">
        <v>16</v>
      </c>
      <c r="H1374">
        <v>0</v>
      </c>
      <c r="I1374">
        <v>-5.49</v>
      </c>
      <c r="J1374">
        <v>-1.72</v>
      </c>
      <c r="L1374">
        <v>0.83</v>
      </c>
      <c r="M1374">
        <v>10.75</v>
      </c>
      <c r="N1374">
        <v>0.01</v>
      </c>
      <c r="O1374">
        <v>0.48</v>
      </c>
    </row>
    <row r="1375" spans="1:15">
      <c r="A1375" t="str">
        <f>"002913"</f>
        <v>002913</v>
      </c>
      <c r="B1375" t="s">
        <v>1411</v>
      </c>
      <c r="C1375">
        <v>3.93</v>
      </c>
      <c r="D1375">
        <v>70.03</v>
      </c>
      <c r="E1375" t="s">
        <v>16</v>
      </c>
      <c r="F1375" t="s">
        <v>16</v>
      </c>
      <c r="H1375">
        <v>-0.37</v>
      </c>
      <c r="I1375">
        <v>30.29</v>
      </c>
      <c r="J1375">
        <v>-0.89</v>
      </c>
      <c r="K1375" t="s">
        <v>971</v>
      </c>
      <c r="L1375">
        <v>0.13</v>
      </c>
      <c r="M1375">
        <v>575.52</v>
      </c>
      <c r="N1375">
        <v>0.09</v>
      </c>
      <c r="O1375">
        <v>1.32</v>
      </c>
    </row>
    <row r="1376" spans="1:15">
      <c r="A1376" t="str">
        <f>"002915"</f>
        <v>002915</v>
      </c>
      <c r="B1376" t="s">
        <v>1412</v>
      </c>
      <c r="C1376">
        <v>-4.01</v>
      </c>
      <c r="D1376">
        <v>19.87</v>
      </c>
      <c r="E1376" t="s">
        <v>16</v>
      </c>
      <c r="F1376" t="s">
        <v>16</v>
      </c>
      <c r="H1376">
        <v>-0.09</v>
      </c>
      <c r="I1376">
        <v>1.43</v>
      </c>
      <c r="J1376">
        <v>-2.84</v>
      </c>
      <c r="L1376">
        <v>-2.85</v>
      </c>
      <c r="M1376">
        <v>314.12</v>
      </c>
      <c r="N1376">
        <v>0.08</v>
      </c>
      <c r="O1376">
        <v>0.55</v>
      </c>
    </row>
    <row r="1377" spans="1:15">
      <c r="A1377" t="str">
        <f>"002916"</f>
        <v>002916</v>
      </c>
      <c r="B1377" t="s">
        <v>1413</v>
      </c>
      <c r="C1377">
        <v>2.15</v>
      </c>
      <c r="D1377">
        <v>453.8</v>
      </c>
      <c r="E1377" t="s">
        <v>16</v>
      </c>
      <c r="F1377" t="s">
        <v>16</v>
      </c>
      <c r="H1377">
        <v>-0.3</v>
      </c>
      <c r="I1377">
        <v>15.36</v>
      </c>
      <c r="J1377">
        <v>-1.13</v>
      </c>
      <c r="K1377" t="s">
        <v>54</v>
      </c>
      <c r="L1377">
        <v>2.64</v>
      </c>
      <c r="M1377">
        <v>12722.4</v>
      </c>
      <c r="N1377">
        <v>0.12</v>
      </c>
      <c r="O1377">
        <v>1.81</v>
      </c>
    </row>
    <row r="1378" spans="1:15">
      <c r="A1378" t="str">
        <f>"002917"</f>
        <v>002917</v>
      </c>
      <c r="B1378" t="s">
        <v>1414</v>
      </c>
      <c r="C1378">
        <v>-0.35</v>
      </c>
      <c r="D1378">
        <v>11.32</v>
      </c>
      <c r="E1378" t="s">
        <v>16</v>
      </c>
      <c r="F1378" t="s">
        <v>16</v>
      </c>
      <c r="H1378">
        <v>-0.17</v>
      </c>
      <c r="I1378">
        <v>-11.84</v>
      </c>
      <c r="J1378">
        <v>-1.14</v>
      </c>
      <c r="L1378">
        <v>-0.35</v>
      </c>
      <c r="M1378">
        <v>0.45</v>
      </c>
      <c r="N1378">
        <v>0</v>
      </c>
      <c r="O1378">
        <v>0.06</v>
      </c>
    </row>
    <row r="1379" spans="1:15">
      <c r="A1379" t="str">
        <f>"002918"</f>
        <v>002918</v>
      </c>
      <c r="B1379" t="s">
        <v>1415</v>
      </c>
      <c r="C1379">
        <v>-8.19</v>
      </c>
      <c r="D1379">
        <v>11.43</v>
      </c>
      <c r="E1379" t="s">
        <v>16</v>
      </c>
      <c r="F1379" t="s">
        <v>16</v>
      </c>
      <c r="H1379">
        <v>0.09</v>
      </c>
      <c r="I1379">
        <v>-7.37</v>
      </c>
      <c r="J1379">
        <v>-9.93</v>
      </c>
      <c r="K1379" t="s">
        <v>54</v>
      </c>
      <c r="L1379">
        <v>-1.77</v>
      </c>
      <c r="M1379">
        <v>1105.35</v>
      </c>
      <c r="N1379">
        <v>0.64</v>
      </c>
      <c r="O1379">
        <v>6.72</v>
      </c>
    </row>
    <row r="1380" spans="1:15">
      <c r="A1380" t="str">
        <f>"002919"</f>
        <v>002919</v>
      </c>
      <c r="B1380" t="s">
        <v>1416</v>
      </c>
      <c r="C1380">
        <v>-1.16</v>
      </c>
      <c r="D1380">
        <v>19.68</v>
      </c>
      <c r="E1380" t="s">
        <v>16</v>
      </c>
      <c r="F1380" t="s">
        <v>16</v>
      </c>
      <c r="H1380">
        <v>-0.04</v>
      </c>
      <c r="I1380">
        <v>-8.64</v>
      </c>
      <c r="J1380">
        <v>-2.81</v>
      </c>
      <c r="L1380">
        <v>-1.31</v>
      </c>
      <c r="M1380">
        <v>193.55</v>
      </c>
      <c r="N1380">
        <v>0.06</v>
      </c>
      <c r="O1380">
        <v>27.36</v>
      </c>
    </row>
    <row r="1381" spans="1:15">
      <c r="A1381" t="str">
        <f>"002920"</f>
        <v>002920</v>
      </c>
      <c r="B1381" t="s">
        <v>1417</v>
      </c>
      <c r="C1381">
        <v>-0.51</v>
      </c>
      <c r="D1381">
        <v>87.75</v>
      </c>
      <c r="E1381" t="s">
        <v>16</v>
      </c>
      <c r="F1381" t="s">
        <v>16</v>
      </c>
      <c r="H1381">
        <v>-0.09</v>
      </c>
      <c r="I1381">
        <v>-10.4</v>
      </c>
      <c r="J1381">
        <v>-0.62</v>
      </c>
      <c r="L1381">
        <v>-0.87</v>
      </c>
      <c r="M1381">
        <v>180.11</v>
      </c>
      <c r="N1381">
        <v>0.01</v>
      </c>
      <c r="O1381">
        <v>0.67</v>
      </c>
    </row>
    <row r="1382" spans="1:15">
      <c r="A1382" t="str">
        <f>"002921"</f>
        <v>002921</v>
      </c>
      <c r="B1382" t="s">
        <v>1418</v>
      </c>
      <c r="C1382">
        <v>0.21</v>
      </c>
      <c r="D1382">
        <v>23.86</v>
      </c>
      <c r="E1382" t="s">
        <v>16</v>
      </c>
      <c r="F1382" t="s">
        <v>16</v>
      </c>
      <c r="H1382">
        <v>0.04</v>
      </c>
      <c r="I1382">
        <v>-6.76</v>
      </c>
      <c r="J1382">
        <v>-2.45</v>
      </c>
      <c r="L1382">
        <v>-0.17</v>
      </c>
      <c r="M1382">
        <v>81.53</v>
      </c>
      <c r="N1382">
        <v>0.03</v>
      </c>
      <c r="O1382">
        <v>14.91</v>
      </c>
    </row>
    <row r="1383" spans="1:15">
      <c r="A1383" t="str">
        <f>"002922"</f>
        <v>002922</v>
      </c>
      <c r="B1383" t="s">
        <v>1419</v>
      </c>
      <c r="C1383">
        <v>-1.33</v>
      </c>
      <c r="D1383">
        <v>36.41</v>
      </c>
      <c r="E1383" t="s">
        <v>16</v>
      </c>
      <c r="F1383" t="s">
        <v>16</v>
      </c>
      <c r="H1383">
        <v>0.03</v>
      </c>
      <c r="I1383">
        <v>-5.67</v>
      </c>
      <c r="J1383">
        <v>-3.14</v>
      </c>
      <c r="L1383">
        <v>-0.16</v>
      </c>
      <c r="M1383">
        <v>365.08</v>
      </c>
      <c r="N1383">
        <v>0.04</v>
      </c>
      <c r="O1383">
        <v>0.64</v>
      </c>
    </row>
    <row r="1384" spans="1:15">
      <c r="A1384" t="str">
        <f>"002923"</f>
        <v>002923</v>
      </c>
      <c r="B1384" t="s">
        <v>1420</v>
      </c>
      <c r="C1384">
        <v>-0.2</v>
      </c>
      <c r="D1384">
        <v>9.78</v>
      </c>
      <c r="E1384" t="s">
        <v>16</v>
      </c>
      <c r="F1384" t="s">
        <v>16</v>
      </c>
      <c r="H1384">
        <v>-0.19</v>
      </c>
      <c r="I1384">
        <v>-3.83</v>
      </c>
      <c r="J1384">
        <v>-1.71</v>
      </c>
      <c r="L1384">
        <v>0.31</v>
      </c>
      <c r="M1384">
        <v>9.2</v>
      </c>
      <c r="N1384">
        <v>0.01</v>
      </c>
      <c r="O1384">
        <v>0.41</v>
      </c>
    </row>
    <row r="1385" spans="1:15">
      <c r="A1385" t="str">
        <f>"002925"</f>
        <v>002925</v>
      </c>
      <c r="B1385" t="s">
        <v>1421</v>
      </c>
      <c r="C1385">
        <v>-1.01</v>
      </c>
      <c r="D1385">
        <v>21.63</v>
      </c>
      <c r="E1385" t="s">
        <v>16</v>
      </c>
      <c r="F1385" t="s">
        <v>16</v>
      </c>
      <c r="H1385">
        <v>-0.08</v>
      </c>
      <c r="I1385">
        <v>-4.29</v>
      </c>
      <c r="J1385">
        <v>-1.77</v>
      </c>
      <c r="L1385">
        <v>-0.09</v>
      </c>
      <c r="M1385">
        <v>384.64</v>
      </c>
      <c r="N1385">
        <v>0.07</v>
      </c>
      <c r="O1385">
        <v>1.24</v>
      </c>
    </row>
    <row r="1386" spans="1:15">
      <c r="A1386" t="str">
        <f>"002926"</f>
        <v>002926</v>
      </c>
      <c r="B1386" t="s">
        <v>1422</v>
      </c>
      <c r="C1386">
        <v>-2.81</v>
      </c>
      <c r="D1386">
        <v>7.95</v>
      </c>
      <c r="E1386" t="s">
        <v>16</v>
      </c>
      <c r="F1386" t="s">
        <v>16</v>
      </c>
      <c r="H1386">
        <v>0.25</v>
      </c>
      <c r="I1386">
        <v>0</v>
      </c>
      <c r="J1386">
        <v>-2.81</v>
      </c>
      <c r="L1386">
        <v>0</v>
      </c>
      <c r="M1386">
        <v>5.81</v>
      </c>
      <c r="N1386">
        <v>0</v>
      </c>
      <c r="O1386">
        <v>0.27</v>
      </c>
    </row>
    <row r="1387" spans="1:15">
      <c r="A1387" t="str">
        <f>"002927"</f>
        <v>002927</v>
      </c>
      <c r="B1387" t="s">
        <v>1423</v>
      </c>
      <c r="C1387">
        <v>3.57</v>
      </c>
      <c r="D1387">
        <v>22.6</v>
      </c>
      <c r="E1387" t="s">
        <v>16</v>
      </c>
      <c r="F1387" t="s">
        <v>16</v>
      </c>
      <c r="H1387">
        <v>-0.61</v>
      </c>
      <c r="I1387">
        <v>6.1</v>
      </c>
      <c r="J1387">
        <v>-3.62</v>
      </c>
      <c r="K1387" t="s">
        <v>116</v>
      </c>
      <c r="L1387">
        <v>-0.92</v>
      </c>
      <c r="M1387">
        <v>504.83</v>
      </c>
      <c r="N1387">
        <v>0.22</v>
      </c>
      <c r="O1387">
        <v>0.61</v>
      </c>
    </row>
    <row r="1388" spans="1:15">
      <c r="A1388" t="str">
        <f>"002928"</f>
        <v>002928</v>
      </c>
      <c r="B1388" t="s">
        <v>1424</v>
      </c>
      <c r="C1388">
        <v>-3.51</v>
      </c>
      <c r="D1388">
        <v>7.14</v>
      </c>
      <c r="E1388" t="s">
        <v>16</v>
      </c>
      <c r="F1388" t="s">
        <v>16</v>
      </c>
      <c r="H1388">
        <v>-0.41</v>
      </c>
      <c r="I1388">
        <v>-3.12</v>
      </c>
      <c r="J1388">
        <v>-2.86</v>
      </c>
      <c r="L1388">
        <v>-1.35</v>
      </c>
      <c r="M1388">
        <v>374.29</v>
      </c>
      <c r="N1388">
        <v>0.07</v>
      </c>
      <c r="O1388">
        <v>0.36</v>
      </c>
    </row>
    <row r="1389" spans="1:15">
      <c r="A1389" t="str">
        <f>"002929"</f>
        <v>002929</v>
      </c>
      <c r="B1389" t="s">
        <v>1425</v>
      </c>
      <c r="C1389">
        <v>0.94</v>
      </c>
      <c r="D1389">
        <v>62.18</v>
      </c>
      <c r="E1389" t="s">
        <v>16</v>
      </c>
      <c r="F1389" t="s">
        <v>16</v>
      </c>
      <c r="H1389">
        <v>0.23</v>
      </c>
      <c r="I1389">
        <v>-7.5</v>
      </c>
      <c r="J1389">
        <v>-3.15</v>
      </c>
      <c r="L1389">
        <v>1.57</v>
      </c>
      <c r="M1389">
        <v>1323.98</v>
      </c>
      <c r="N1389">
        <v>0.15</v>
      </c>
      <c r="O1389">
        <v>2.25</v>
      </c>
    </row>
    <row r="1390" spans="1:15">
      <c r="A1390" t="str">
        <f>"002930"</f>
        <v>002930</v>
      </c>
      <c r="B1390" t="s">
        <v>1426</v>
      </c>
      <c r="C1390">
        <v>-1.27</v>
      </c>
      <c r="D1390">
        <v>9.31</v>
      </c>
      <c r="E1390" t="s">
        <v>16</v>
      </c>
      <c r="F1390" t="s">
        <v>16</v>
      </c>
      <c r="H1390">
        <v>0.22</v>
      </c>
      <c r="I1390">
        <v>-4.9</v>
      </c>
      <c r="J1390">
        <v>-2</v>
      </c>
      <c r="L1390">
        <v>0.21</v>
      </c>
      <c r="M1390">
        <v>32.79</v>
      </c>
      <c r="N1390">
        <v>0.02</v>
      </c>
      <c r="O1390">
        <v>0.71</v>
      </c>
    </row>
    <row r="1391" spans="1:15">
      <c r="A1391" t="str">
        <f>"002931"</f>
        <v>002931</v>
      </c>
      <c r="B1391" t="s">
        <v>1427</v>
      </c>
      <c r="C1391">
        <v>-1.59</v>
      </c>
      <c r="D1391">
        <v>74.81</v>
      </c>
      <c r="E1391" t="s">
        <v>16</v>
      </c>
      <c r="F1391" t="s">
        <v>16</v>
      </c>
      <c r="H1391">
        <v>0.01</v>
      </c>
      <c r="I1391">
        <v>29.29</v>
      </c>
      <c r="J1391">
        <v>-10.54</v>
      </c>
      <c r="K1391" t="s">
        <v>26</v>
      </c>
      <c r="L1391">
        <v>1.13</v>
      </c>
      <c r="M1391">
        <v>1908.93</v>
      </c>
      <c r="N1391">
        <v>0.24</v>
      </c>
      <c r="O1391">
        <v>0.72</v>
      </c>
    </row>
    <row r="1392" spans="1:15">
      <c r="A1392" t="str">
        <f>"002932"</f>
        <v>002932</v>
      </c>
      <c r="B1392" t="s">
        <v>1428</v>
      </c>
      <c r="C1392">
        <v>0.2</v>
      </c>
      <c r="D1392">
        <v>14.9</v>
      </c>
      <c r="E1392" t="s">
        <v>16</v>
      </c>
      <c r="F1392" t="s">
        <v>16</v>
      </c>
      <c r="H1392">
        <v>0.2</v>
      </c>
      <c r="I1392">
        <v>-3.87</v>
      </c>
      <c r="J1392">
        <v>-0.4</v>
      </c>
      <c r="L1392">
        <v>-0.47</v>
      </c>
      <c r="M1392">
        <v>1.04</v>
      </c>
      <c r="N1392">
        <v>0</v>
      </c>
      <c r="O1392">
        <v>1.17</v>
      </c>
    </row>
    <row r="1393" spans="1:15">
      <c r="A1393" t="str">
        <f>"002933"</f>
        <v>002933</v>
      </c>
      <c r="B1393" t="s">
        <v>1429</v>
      </c>
      <c r="C1393">
        <v>1.85</v>
      </c>
      <c r="D1393">
        <v>29.23</v>
      </c>
      <c r="E1393" t="s">
        <v>16</v>
      </c>
      <c r="F1393" t="s">
        <v>16</v>
      </c>
      <c r="H1393">
        <v>0.03</v>
      </c>
      <c r="I1393">
        <v>-0.37</v>
      </c>
      <c r="J1393">
        <v>-2.95</v>
      </c>
      <c r="L1393">
        <v>-0.03</v>
      </c>
      <c r="M1393">
        <v>5.45</v>
      </c>
      <c r="N1393">
        <v>0</v>
      </c>
      <c r="O1393">
        <v>0.24</v>
      </c>
    </row>
    <row r="1394" spans="1:15">
      <c r="A1394" t="str">
        <f>"002935"</f>
        <v>002935</v>
      </c>
      <c r="B1394" t="s">
        <v>1430</v>
      </c>
      <c r="C1394">
        <v>-2.84</v>
      </c>
      <c r="D1394">
        <v>21.52</v>
      </c>
      <c r="E1394" t="s">
        <v>16</v>
      </c>
      <c r="F1394" t="s">
        <v>16</v>
      </c>
      <c r="H1394">
        <v>-0.31</v>
      </c>
      <c r="I1394">
        <v>14.53</v>
      </c>
      <c r="J1394">
        <v>-2.67</v>
      </c>
      <c r="L1394">
        <v>-1.49</v>
      </c>
      <c r="M1394">
        <v>87.31</v>
      </c>
      <c r="N1394">
        <v>0.02</v>
      </c>
      <c r="O1394">
        <v>0.43</v>
      </c>
    </row>
    <row r="1395" spans="1:15">
      <c r="A1395" t="str">
        <f>"002936"</f>
        <v>002936</v>
      </c>
      <c r="B1395" t="s">
        <v>1431</v>
      </c>
      <c r="C1395">
        <v>-2.29</v>
      </c>
      <c r="D1395">
        <v>1.71</v>
      </c>
      <c r="E1395" t="s">
        <v>16</v>
      </c>
      <c r="F1395" t="s">
        <v>16</v>
      </c>
      <c r="H1395">
        <v>-0.57</v>
      </c>
      <c r="I1395">
        <v>-2.84</v>
      </c>
      <c r="J1395">
        <v>-2.29</v>
      </c>
      <c r="L1395">
        <v>-0.57</v>
      </c>
      <c r="M1395">
        <v>102.76</v>
      </c>
      <c r="N1395">
        <v>0.01</v>
      </c>
      <c r="O1395">
        <v>0.97</v>
      </c>
    </row>
    <row r="1396" spans="1:15">
      <c r="A1396" t="str">
        <f>"002937"</f>
        <v>002937</v>
      </c>
      <c r="B1396" t="s">
        <v>1432</v>
      </c>
      <c r="C1396">
        <v>4.64</v>
      </c>
      <c r="D1396">
        <v>42.6</v>
      </c>
      <c r="E1396" t="s">
        <v>16</v>
      </c>
      <c r="F1396" t="s">
        <v>16</v>
      </c>
      <c r="H1396">
        <v>0.16</v>
      </c>
      <c r="I1396">
        <v>22.55</v>
      </c>
      <c r="J1396">
        <v>-1.57</v>
      </c>
      <c r="L1396">
        <v>-0.27</v>
      </c>
      <c r="M1396">
        <v>273.64</v>
      </c>
      <c r="N1396">
        <v>0.04</v>
      </c>
      <c r="O1396">
        <v>0.35</v>
      </c>
    </row>
    <row r="1397" spans="1:15">
      <c r="A1397" t="str">
        <f>"002938"</f>
        <v>002938</v>
      </c>
      <c r="B1397" t="s">
        <v>1433</v>
      </c>
      <c r="C1397">
        <v>0.76</v>
      </c>
      <c r="D1397">
        <v>119.91</v>
      </c>
      <c r="E1397" t="s">
        <v>16</v>
      </c>
      <c r="F1397" t="s">
        <v>16</v>
      </c>
      <c r="H1397">
        <v>-0.22</v>
      </c>
      <c r="I1397">
        <v>9.01</v>
      </c>
      <c r="J1397">
        <v>-2.59</v>
      </c>
      <c r="K1397" t="s">
        <v>54</v>
      </c>
      <c r="L1397">
        <v>0</v>
      </c>
      <c r="M1397">
        <v>14091.41</v>
      </c>
      <c r="N1397">
        <v>0.19</v>
      </c>
      <c r="O1397">
        <v>2.27</v>
      </c>
    </row>
    <row r="1398" spans="1:15">
      <c r="A1398" t="str">
        <f>"002939"</f>
        <v>002939</v>
      </c>
      <c r="B1398" t="s">
        <v>1434</v>
      </c>
      <c r="C1398">
        <v>-2.26</v>
      </c>
      <c r="D1398">
        <v>8.22</v>
      </c>
      <c r="E1398" t="s">
        <v>16</v>
      </c>
      <c r="F1398" t="s">
        <v>16</v>
      </c>
      <c r="H1398">
        <v>0</v>
      </c>
      <c r="I1398">
        <v>1.48</v>
      </c>
      <c r="J1398">
        <v>-2.84</v>
      </c>
      <c r="L1398">
        <v>0.12</v>
      </c>
      <c r="M1398">
        <v>81.25</v>
      </c>
      <c r="N1398">
        <v>0.01</v>
      </c>
      <c r="O1398">
        <v>2.78</v>
      </c>
    </row>
    <row r="1399" spans="1:15">
      <c r="A1399" t="str">
        <f>"002940"</f>
        <v>002940</v>
      </c>
      <c r="B1399" t="s">
        <v>1435</v>
      </c>
      <c r="C1399">
        <v>2.19</v>
      </c>
      <c r="D1399">
        <v>28.52</v>
      </c>
      <c r="E1399" t="s">
        <v>16</v>
      </c>
      <c r="F1399" t="s">
        <v>16</v>
      </c>
      <c r="H1399">
        <v>0.04</v>
      </c>
      <c r="I1399">
        <v>-19</v>
      </c>
      <c r="J1399">
        <v>-2.4</v>
      </c>
      <c r="L1399">
        <v>-0.47</v>
      </c>
      <c r="M1399">
        <v>102.79</v>
      </c>
      <c r="N1399">
        <v>0.03</v>
      </c>
      <c r="O1399">
        <v>2.15</v>
      </c>
    </row>
    <row r="1400" spans="1:15">
      <c r="A1400" t="str">
        <f>"002941"</f>
        <v>002941</v>
      </c>
      <c r="B1400" t="s">
        <v>1436</v>
      </c>
      <c r="C1400">
        <v>-2.12</v>
      </c>
      <c r="D1400">
        <v>10.62</v>
      </c>
      <c r="E1400" t="s">
        <v>16</v>
      </c>
      <c r="F1400" t="s">
        <v>16</v>
      </c>
      <c r="H1400">
        <v>-0.18</v>
      </c>
      <c r="I1400">
        <v>-9.08</v>
      </c>
      <c r="J1400">
        <v>-2.3</v>
      </c>
      <c r="L1400">
        <v>-0.18</v>
      </c>
      <c r="M1400">
        <v>64.01</v>
      </c>
      <c r="N1400">
        <v>0.01</v>
      </c>
      <c r="O1400">
        <v>1.8</v>
      </c>
    </row>
    <row r="1401" spans="1:15">
      <c r="A1401" t="str">
        <f>"002942"</f>
        <v>002942</v>
      </c>
      <c r="B1401" t="s">
        <v>1437</v>
      </c>
      <c r="C1401">
        <v>-1.1</v>
      </c>
      <c r="D1401">
        <v>15.35</v>
      </c>
      <c r="E1401" t="s">
        <v>16</v>
      </c>
      <c r="F1401" t="s">
        <v>16</v>
      </c>
      <c r="H1401">
        <v>-0.19</v>
      </c>
      <c r="I1401">
        <v>-5.71</v>
      </c>
      <c r="J1401">
        <v>-2.04</v>
      </c>
      <c r="L1401">
        <v>-0.71</v>
      </c>
      <c r="M1401">
        <v>10.17</v>
      </c>
      <c r="N1401">
        <v>0.01</v>
      </c>
      <c r="O1401">
        <v>1.53</v>
      </c>
    </row>
    <row r="1402" spans="1:15">
      <c r="A1402" t="str">
        <f>"002943"</f>
        <v>002943</v>
      </c>
      <c r="B1402" t="s">
        <v>1438</v>
      </c>
      <c r="C1402">
        <v>0.33</v>
      </c>
      <c r="D1402">
        <v>51.75</v>
      </c>
      <c r="E1402" t="s">
        <v>16</v>
      </c>
      <c r="F1402" t="s">
        <v>16</v>
      </c>
      <c r="H1402">
        <v>-0.03</v>
      </c>
      <c r="I1402">
        <v>-13.66</v>
      </c>
      <c r="J1402">
        <v>-1.78</v>
      </c>
      <c r="L1402">
        <v>1.96</v>
      </c>
      <c r="M1402">
        <v>96.92</v>
      </c>
      <c r="N1402">
        <v>0.01</v>
      </c>
      <c r="O1402">
        <v>0.76</v>
      </c>
    </row>
    <row r="1403" spans="1:15">
      <c r="A1403" t="str">
        <f>"002945"</f>
        <v>002945</v>
      </c>
      <c r="B1403" t="s">
        <v>1439</v>
      </c>
      <c r="C1403">
        <v>-3.45</v>
      </c>
      <c r="D1403">
        <v>13.7</v>
      </c>
      <c r="E1403" t="s">
        <v>16</v>
      </c>
      <c r="F1403" t="s">
        <v>16</v>
      </c>
      <c r="H1403">
        <v>0</v>
      </c>
      <c r="I1403">
        <v>-2.7</v>
      </c>
      <c r="J1403">
        <v>-4.13</v>
      </c>
      <c r="L1403">
        <v>0.7</v>
      </c>
      <c r="M1403">
        <v>42.87</v>
      </c>
      <c r="N1403">
        <v>0.01</v>
      </c>
      <c r="O1403">
        <v>1.16</v>
      </c>
    </row>
    <row r="1404" spans="1:15">
      <c r="A1404" t="str">
        <f>"002946"</f>
        <v>002946</v>
      </c>
      <c r="B1404" t="s">
        <v>1440</v>
      </c>
      <c r="C1404">
        <v>-2.34</v>
      </c>
      <c r="D1404">
        <v>15.03</v>
      </c>
      <c r="E1404" t="s">
        <v>16</v>
      </c>
      <c r="F1404" t="s">
        <v>16</v>
      </c>
      <c r="H1404">
        <v>-0.26</v>
      </c>
      <c r="I1404">
        <v>-9.35</v>
      </c>
      <c r="J1404">
        <v>-2.34</v>
      </c>
      <c r="L1404">
        <v>-0.52</v>
      </c>
      <c r="M1404">
        <v>30.04</v>
      </c>
      <c r="N1404">
        <v>0.01</v>
      </c>
      <c r="O1404">
        <v>2.36</v>
      </c>
    </row>
    <row r="1405" spans="1:15">
      <c r="A1405" t="str">
        <f>"002947"</f>
        <v>002947</v>
      </c>
      <c r="B1405" t="s">
        <v>1441</v>
      </c>
      <c r="C1405">
        <v>-0.49</v>
      </c>
      <c r="D1405">
        <v>90.5</v>
      </c>
      <c r="E1405" t="s">
        <v>16</v>
      </c>
      <c r="F1405" t="s">
        <v>16</v>
      </c>
      <c r="H1405">
        <v>-0.91</v>
      </c>
      <c r="I1405">
        <v>2.82</v>
      </c>
      <c r="J1405">
        <v>-6.22</v>
      </c>
      <c r="L1405">
        <v>-0.27</v>
      </c>
      <c r="M1405">
        <v>235.82</v>
      </c>
      <c r="N1405">
        <v>0.02</v>
      </c>
      <c r="O1405">
        <v>2.77</v>
      </c>
    </row>
    <row r="1406" spans="1:15">
      <c r="A1406" t="str">
        <f>"002948"</f>
        <v>002948</v>
      </c>
      <c r="B1406" t="s">
        <v>1442</v>
      </c>
      <c r="C1406">
        <v>-4.16</v>
      </c>
      <c r="D1406">
        <v>5.53</v>
      </c>
      <c r="E1406" t="s">
        <v>16</v>
      </c>
      <c r="F1406" t="s">
        <v>16</v>
      </c>
      <c r="H1406">
        <v>0</v>
      </c>
      <c r="I1406">
        <v>2.6</v>
      </c>
      <c r="J1406">
        <v>-3.99</v>
      </c>
      <c r="L1406">
        <v>-0.35</v>
      </c>
      <c r="M1406">
        <v>63.42</v>
      </c>
      <c r="N1406">
        <v>0.01</v>
      </c>
      <c r="O1406">
        <v>0.39</v>
      </c>
    </row>
    <row r="1407" spans="1:15">
      <c r="A1407" t="str">
        <f>"002949"</f>
        <v>002949</v>
      </c>
      <c r="B1407" t="s">
        <v>1443</v>
      </c>
      <c r="C1407">
        <v>1.22</v>
      </c>
      <c r="D1407">
        <v>10.8</v>
      </c>
      <c r="E1407" t="s">
        <v>16</v>
      </c>
      <c r="F1407" t="s">
        <v>16</v>
      </c>
      <c r="H1407">
        <v>-0.08</v>
      </c>
      <c r="I1407">
        <v>-8.63</v>
      </c>
      <c r="J1407">
        <v>-3.83</v>
      </c>
      <c r="L1407">
        <v>0</v>
      </c>
      <c r="M1407">
        <v>12.91</v>
      </c>
      <c r="N1407">
        <v>0.01</v>
      </c>
      <c r="O1407">
        <v>4.03</v>
      </c>
    </row>
    <row r="1408" spans="1:15">
      <c r="A1408" t="str">
        <f>"002950"</f>
        <v>002950</v>
      </c>
      <c r="B1408" t="s">
        <v>1444</v>
      </c>
      <c r="C1408">
        <v>9.97</v>
      </c>
      <c r="D1408">
        <v>9.82</v>
      </c>
      <c r="E1408">
        <v>9270.37</v>
      </c>
      <c r="F1408">
        <v>1</v>
      </c>
      <c r="H1408">
        <v>0</v>
      </c>
      <c r="I1408">
        <v>4.8</v>
      </c>
      <c r="J1408">
        <v>0</v>
      </c>
      <c r="K1408" t="s">
        <v>140</v>
      </c>
      <c r="L1408">
        <v>1.23</v>
      </c>
      <c r="M1408">
        <v>53.16</v>
      </c>
      <c r="N1408">
        <v>0.02</v>
      </c>
      <c r="O1408">
        <v>4.29</v>
      </c>
    </row>
    <row r="1409" spans="1:15">
      <c r="A1409" t="str">
        <f>"002951"</f>
        <v>002951</v>
      </c>
      <c r="B1409" t="s">
        <v>1445</v>
      </c>
      <c r="C1409">
        <v>-0.43</v>
      </c>
      <c r="D1409">
        <v>16.1</v>
      </c>
      <c r="E1409" t="s">
        <v>16</v>
      </c>
      <c r="F1409" t="s">
        <v>16</v>
      </c>
      <c r="H1409">
        <v>0.06</v>
      </c>
      <c r="I1409">
        <v>-35.05</v>
      </c>
      <c r="J1409">
        <v>-1.47</v>
      </c>
      <c r="L1409">
        <v>-1.05</v>
      </c>
      <c r="M1409">
        <v>112.96</v>
      </c>
      <c r="N1409">
        <v>0.1</v>
      </c>
      <c r="O1409">
        <v>0.38</v>
      </c>
    </row>
    <row r="1410" spans="1:15">
      <c r="A1410" t="str">
        <f>"002952"</f>
        <v>002952</v>
      </c>
      <c r="B1410" t="s">
        <v>1446</v>
      </c>
      <c r="C1410">
        <v>-5.74</v>
      </c>
      <c r="D1410">
        <v>23.14</v>
      </c>
      <c r="E1410" t="s">
        <v>16</v>
      </c>
      <c r="F1410" t="s">
        <v>16</v>
      </c>
      <c r="H1410">
        <v>-0.16</v>
      </c>
      <c r="I1410">
        <v>-3.54</v>
      </c>
      <c r="J1410">
        <v>-4.81</v>
      </c>
      <c r="L1410">
        <v>-0.98</v>
      </c>
      <c r="M1410">
        <v>149.99</v>
      </c>
      <c r="N1410">
        <v>0.12</v>
      </c>
      <c r="O1410">
        <v>2.35</v>
      </c>
    </row>
    <row r="1411" spans="1:15">
      <c r="A1411" t="str">
        <f>"002953"</f>
        <v>002953</v>
      </c>
      <c r="B1411" t="s">
        <v>1447</v>
      </c>
      <c r="C1411">
        <v>-1.23</v>
      </c>
      <c r="D1411">
        <v>9.6</v>
      </c>
      <c r="E1411" t="s">
        <v>16</v>
      </c>
      <c r="F1411" t="s">
        <v>16</v>
      </c>
      <c r="H1411">
        <v>-0.09</v>
      </c>
      <c r="I1411">
        <v>-4.76</v>
      </c>
      <c r="J1411">
        <v>-1.54</v>
      </c>
      <c r="L1411">
        <v>-0.62</v>
      </c>
      <c r="M1411">
        <v>2.22</v>
      </c>
      <c r="N1411">
        <v>0</v>
      </c>
      <c r="O1411">
        <v>0.1</v>
      </c>
    </row>
    <row r="1412" spans="1:15">
      <c r="A1412" t="str">
        <f>"002955"</f>
        <v>002955</v>
      </c>
      <c r="B1412" t="s">
        <v>1448</v>
      </c>
      <c r="C1412">
        <v>2.75</v>
      </c>
      <c r="D1412">
        <v>34.77</v>
      </c>
      <c r="E1412" t="s">
        <v>16</v>
      </c>
      <c r="F1412" t="s">
        <v>16</v>
      </c>
      <c r="H1412">
        <v>0.14</v>
      </c>
      <c r="I1412">
        <v>37.21</v>
      </c>
      <c r="J1412">
        <v>-0.91</v>
      </c>
      <c r="L1412">
        <v>-1.54</v>
      </c>
      <c r="M1412">
        <v>115.62</v>
      </c>
      <c r="N1412">
        <v>0.03</v>
      </c>
      <c r="O1412">
        <v>1.26</v>
      </c>
    </row>
    <row r="1413" spans="1:15">
      <c r="A1413" t="str">
        <f>"002956"</f>
        <v>002956</v>
      </c>
      <c r="B1413" t="s">
        <v>1449</v>
      </c>
      <c r="C1413">
        <v>-1.48</v>
      </c>
      <c r="D1413">
        <v>20.65</v>
      </c>
      <c r="E1413" t="s">
        <v>16</v>
      </c>
      <c r="F1413" t="s">
        <v>16</v>
      </c>
      <c r="H1413">
        <v>-0.18</v>
      </c>
      <c r="I1413">
        <v>-0.91</v>
      </c>
      <c r="J1413">
        <v>-2.59</v>
      </c>
      <c r="L1413">
        <v>-0.19</v>
      </c>
      <c r="M1413">
        <v>40.17</v>
      </c>
      <c r="N1413">
        <v>0.01</v>
      </c>
      <c r="O1413">
        <v>9.14</v>
      </c>
    </row>
    <row r="1414" spans="1:15">
      <c r="A1414" t="str">
        <f>"002957"</f>
        <v>002957</v>
      </c>
      <c r="B1414" t="s">
        <v>1450</v>
      </c>
      <c r="C1414">
        <v>5.32</v>
      </c>
      <c r="D1414">
        <v>60.15</v>
      </c>
      <c r="E1414" t="s">
        <v>16</v>
      </c>
      <c r="F1414" t="s">
        <v>16</v>
      </c>
      <c r="H1414">
        <v>0.18</v>
      </c>
      <c r="I1414">
        <v>-6.6</v>
      </c>
      <c r="J1414">
        <v>-4.25</v>
      </c>
      <c r="L1414">
        <v>2.96</v>
      </c>
      <c r="M1414">
        <v>3002.33</v>
      </c>
      <c r="N1414">
        <v>0.28</v>
      </c>
      <c r="O1414">
        <v>1.46</v>
      </c>
    </row>
    <row r="1415" spans="1:15">
      <c r="A1415" t="str">
        <f>"002958"</f>
        <v>002958</v>
      </c>
      <c r="B1415" t="s">
        <v>1451</v>
      </c>
      <c r="C1415">
        <v>-1.4</v>
      </c>
      <c r="D1415">
        <v>2.82</v>
      </c>
      <c r="E1415" t="s">
        <v>16</v>
      </c>
      <c r="F1415" t="s">
        <v>16</v>
      </c>
      <c r="H1415">
        <v>0</v>
      </c>
      <c r="I1415">
        <v>-2.76</v>
      </c>
      <c r="J1415">
        <v>-1.4</v>
      </c>
      <c r="L1415">
        <v>-0.35</v>
      </c>
      <c r="M1415">
        <v>28.53</v>
      </c>
      <c r="N1415">
        <v>0</v>
      </c>
      <c r="O1415">
        <v>0.12</v>
      </c>
    </row>
    <row r="1416" spans="1:15">
      <c r="A1416" t="str">
        <f>"002959"</f>
        <v>002959</v>
      </c>
      <c r="B1416" t="s">
        <v>1452</v>
      </c>
      <c r="C1416">
        <v>-0.69</v>
      </c>
      <c r="D1416">
        <v>32.95</v>
      </c>
      <c r="E1416" t="s">
        <v>16</v>
      </c>
      <c r="F1416" t="s">
        <v>16</v>
      </c>
      <c r="H1416">
        <v>-0.05</v>
      </c>
      <c r="I1416">
        <v>-8.14</v>
      </c>
      <c r="J1416">
        <v>-1.02</v>
      </c>
      <c r="L1416">
        <v>-0.36</v>
      </c>
      <c r="M1416">
        <v>16.2</v>
      </c>
      <c r="N1416">
        <v>0.01</v>
      </c>
      <c r="O1416">
        <v>0.66</v>
      </c>
    </row>
    <row r="1417" spans="1:15">
      <c r="A1417" t="str">
        <f>"002960"</f>
        <v>002960</v>
      </c>
      <c r="B1417" t="s">
        <v>1453</v>
      </c>
      <c r="C1417">
        <v>2.24</v>
      </c>
      <c r="D1417">
        <v>9.12</v>
      </c>
      <c r="E1417" t="s">
        <v>16</v>
      </c>
      <c r="F1417" t="s">
        <v>16</v>
      </c>
      <c r="H1417">
        <v>0.11</v>
      </c>
      <c r="I1417">
        <v>13.43</v>
      </c>
      <c r="J1417">
        <v>-0.11</v>
      </c>
      <c r="L1417">
        <v>-0.45</v>
      </c>
      <c r="M1417">
        <v>104.34</v>
      </c>
      <c r="N1417">
        <v>0.02</v>
      </c>
      <c r="O1417">
        <v>0.33</v>
      </c>
    </row>
    <row r="1418" spans="1:15">
      <c r="A1418" t="str">
        <f>"002961"</f>
        <v>002961</v>
      </c>
      <c r="B1418" t="s">
        <v>1454</v>
      </c>
      <c r="C1418">
        <v>-2.11</v>
      </c>
      <c r="D1418">
        <v>20.38</v>
      </c>
      <c r="E1418" t="s">
        <v>16</v>
      </c>
      <c r="F1418" t="s">
        <v>16</v>
      </c>
      <c r="H1418">
        <v>-0.04</v>
      </c>
      <c r="I1418">
        <v>2.67</v>
      </c>
      <c r="J1418">
        <v>-2.81</v>
      </c>
      <c r="K1418" t="s">
        <v>57</v>
      </c>
      <c r="L1418">
        <v>0.67</v>
      </c>
      <c r="M1418">
        <v>154.68</v>
      </c>
      <c r="N1418">
        <v>0.05</v>
      </c>
      <c r="O1418">
        <v>1.11</v>
      </c>
    </row>
    <row r="1419" spans="1:15">
      <c r="A1419" t="str">
        <f>"002962"</f>
        <v>002962</v>
      </c>
      <c r="B1419" t="s">
        <v>1455</v>
      </c>
      <c r="C1419">
        <v>-6.54</v>
      </c>
      <c r="D1419">
        <v>17.29</v>
      </c>
      <c r="E1419" t="s">
        <v>16</v>
      </c>
      <c r="F1419" t="s">
        <v>16</v>
      </c>
      <c r="H1419">
        <v>0</v>
      </c>
      <c r="I1419">
        <v>-15.25</v>
      </c>
      <c r="J1419">
        <v>-6.03</v>
      </c>
      <c r="L1419">
        <v>-0.54</v>
      </c>
      <c r="M1419">
        <v>789.18</v>
      </c>
      <c r="N1419">
        <v>0.24</v>
      </c>
      <c r="O1419">
        <v>2.39</v>
      </c>
    </row>
    <row r="1420" spans="1:15">
      <c r="A1420" t="str">
        <f>"002963"</f>
        <v>002963</v>
      </c>
      <c r="B1420" t="s">
        <v>1456</v>
      </c>
      <c r="C1420">
        <v>6.91</v>
      </c>
      <c r="D1420">
        <v>19.49</v>
      </c>
      <c r="E1420" t="s">
        <v>16</v>
      </c>
      <c r="F1420" t="s">
        <v>16</v>
      </c>
      <c r="H1420">
        <v>-0.35</v>
      </c>
      <c r="I1420">
        <v>20.09</v>
      </c>
      <c r="J1420">
        <v>-2.79</v>
      </c>
      <c r="L1420">
        <v>0.55</v>
      </c>
      <c r="M1420">
        <v>45.28</v>
      </c>
      <c r="N1420">
        <v>0.04</v>
      </c>
      <c r="O1420">
        <v>1.65</v>
      </c>
    </row>
    <row r="1421" spans="1:15">
      <c r="A1421" t="str">
        <f>"002965"</f>
        <v>002965</v>
      </c>
      <c r="B1421" t="s">
        <v>1457</v>
      </c>
      <c r="C1421">
        <v>3.34</v>
      </c>
      <c r="D1421">
        <v>43.92</v>
      </c>
      <c r="E1421" t="s">
        <v>16</v>
      </c>
      <c r="F1421" t="s">
        <v>16</v>
      </c>
      <c r="H1421">
        <v>0.05</v>
      </c>
      <c r="I1421">
        <v>20.43</v>
      </c>
      <c r="J1421">
        <v>-0.79</v>
      </c>
      <c r="L1421">
        <v>-0.71</v>
      </c>
      <c r="M1421">
        <v>249.82</v>
      </c>
      <c r="N1421">
        <v>0.03</v>
      </c>
      <c r="O1421">
        <v>0.8</v>
      </c>
    </row>
    <row r="1422" spans="1:15">
      <c r="A1422" t="str">
        <f>"002966"</f>
        <v>002966</v>
      </c>
      <c r="B1422" t="s">
        <v>1458</v>
      </c>
      <c r="C1422">
        <v>-3.37</v>
      </c>
      <c r="D1422">
        <v>7.73</v>
      </c>
      <c r="E1422" t="s">
        <v>16</v>
      </c>
      <c r="F1422" t="s">
        <v>16</v>
      </c>
      <c r="H1422">
        <v>-0.12</v>
      </c>
      <c r="I1422">
        <v>-4.33</v>
      </c>
      <c r="J1422">
        <v>-3.62</v>
      </c>
      <c r="L1422">
        <v>0.13</v>
      </c>
      <c r="M1422">
        <v>86.67</v>
      </c>
      <c r="N1422">
        <v>0</v>
      </c>
      <c r="O1422">
        <v>0.82</v>
      </c>
    </row>
    <row r="1423" spans="1:15">
      <c r="A1423" t="str">
        <f>"002967"</f>
        <v>002967</v>
      </c>
      <c r="B1423" t="s">
        <v>1459</v>
      </c>
      <c r="C1423">
        <v>5.84</v>
      </c>
      <c r="D1423">
        <v>19.56</v>
      </c>
      <c r="E1423" t="s">
        <v>16</v>
      </c>
      <c r="F1423" t="s">
        <v>16</v>
      </c>
      <c r="H1423">
        <v>-0.09</v>
      </c>
      <c r="I1423">
        <v>-1.01</v>
      </c>
      <c r="J1423">
        <v>-2.2</v>
      </c>
      <c r="L1423">
        <v>-0.16</v>
      </c>
      <c r="M1423">
        <v>12.55</v>
      </c>
      <c r="N1423">
        <v>0</v>
      </c>
      <c r="O1423">
        <v>0.83</v>
      </c>
    </row>
    <row r="1424" spans="1:15">
      <c r="A1424" t="str">
        <f>"002968"</f>
        <v>002968</v>
      </c>
      <c r="B1424" t="s">
        <v>1460</v>
      </c>
      <c r="C1424">
        <v>0</v>
      </c>
      <c r="D1424">
        <v>8.96</v>
      </c>
      <c r="E1424" t="s">
        <v>16</v>
      </c>
      <c r="F1424" t="s">
        <v>16</v>
      </c>
      <c r="H1424">
        <v>-0.1</v>
      </c>
      <c r="I1424">
        <v>-7.05</v>
      </c>
      <c r="J1424">
        <v>-1.43</v>
      </c>
      <c r="L1424">
        <v>-0.33</v>
      </c>
      <c r="M1424">
        <v>15.54</v>
      </c>
      <c r="N1424">
        <v>0.02</v>
      </c>
      <c r="O1424">
        <v>0.89</v>
      </c>
    </row>
    <row r="1425" spans="1:15">
      <c r="A1425" t="str">
        <f>"002969"</f>
        <v>002969</v>
      </c>
      <c r="B1425" t="s">
        <v>1461</v>
      </c>
      <c r="C1425">
        <v>0.77</v>
      </c>
      <c r="D1425">
        <v>15.62</v>
      </c>
      <c r="E1425" t="s">
        <v>16</v>
      </c>
      <c r="F1425" t="s">
        <v>16</v>
      </c>
      <c r="H1425">
        <v>0.13</v>
      </c>
      <c r="I1425">
        <v>-16.25</v>
      </c>
      <c r="J1425">
        <v>-1.64</v>
      </c>
      <c r="L1425">
        <v>-0.97</v>
      </c>
      <c r="M1425">
        <v>315.44</v>
      </c>
      <c r="N1425">
        <v>0.04</v>
      </c>
      <c r="O1425">
        <v>0.95</v>
      </c>
    </row>
    <row r="1426" spans="1:15">
      <c r="A1426" t="str">
        <f>"002970"</f>
        <v>002970</v>
      </c>
      <c r="B1426" t="s">
        <v>1462</v>
      </c>
      <c r="C1426">
        <v>-2.74</v>
      </c>
      <c r="D1426">
        <v>66.45</v>
      </c>
      <c r="E1426" t="s">
        <v>16</v>
      </c>
      <c r="F1426" t="s">
        <v>16</v>
      </c>
      <c r="H1426">
        <v>0.11</v>
      </c>
      <c r="I1426">
        <v>4.27</v>
      </c>
      <c r="J1426">
        <v>-3.53</v>
      </c>
      <c r="L1426">
        <v>0.72</v>
      </c>
      <c r="M1426">
        <v>108.72</v>
      </c>
      <c r="N1426">
        <v>0.02</v>
      </c>
      <c r="O1426">
        <v>0.99</v>
      </c>
    </row>
    <row r="1427" spans="1:15">
      <c r="A1427" t="str">
        <f>"002971"</f>
        <v>002971</v>
      </c>
      <c r="B1427" t="s">
        <v>1463</v>
      </c>
      <c r="C1427">
        <v>10.01</v>
      </c>
      <c r="D1427">
        <v>67.38</v>
      </c>
      <c r="E1427">
        <v>3314.42</v>
      </c>
      <c r="F1427">
        <v>1</v>
      </c>
      <c r="H1427">
        <v>0</v>
      </c>
      <c r="I1427">
        <v>80.21</v>
      </c>
      <c r="J1427">
        <v>0</v>
      </c>
      <c r="K1427" t="s">
        <v>1464</v>
      </c>
      <c r="L1427">
        <v>-0.65</v>
      </c>
      <c r="M1427">
        <v>2987.13</v>
      </c>
      <c r="N1427">
        <v>0.43</v>
      </c>
      <c r="O1427">
        <v>0.48</v>
      </c>
    </row>
    <row r="1428" spans="1:15">
      <c r="A1428" t="str">
        <f>"002972"</f>
        <v>002972</v>
      </c>
      <c r="B1428" t="s">
        <v>1465</v>
      </c>
      <c r="C1428">
        <v>0.97</v>
      </c>
      <c r="D1428">
        <v>16.72</v>
      </c>
      <c r="E1428" t="s">
        <v>16</v>
      </c>
      <c r="F1428" t="s">
        <v>16</v>
      </c>
      <c r="H1428">
        <v>-0.29</v>
      </c>
      <c r="I1428">
        <v>30.93</v>
      </c>
      <c r="J1428">
        <v>-3.18</v>
      </c>
      <c r="K1428" t="s">
        <v>57</v>
      </c>
      <c r="L1428">
        <v>-0.3</v>
      </c>
      <c r="M1428">
        <v>473.34</v>
      </c>
      <c r="N1428">
        <v>0.28</v>
      </c>
      <c r="O1428">
        <v>0.41</v>
      </c>
    </row>
    <row r="1429" spans="1:15">
      <c r="A1429" t="str">
        <f>"002973"</f>
        <v>002973</v>
      </c>
      <c r="B1429" t="s">
        <v>1466</v>
      </c>
      <c r="C1429">
        <v>-1.3</v>
      </c>
      <c r="D1429">
        <v>12.11</v>
      </c>
      <c r="E1429" t="s">
        <v>16</v>
      </c>
      <c r="F1429" t="s">
        <v>16</v>
      </c>
      <c r="H1429">
        <v>0.41</v>
      </c>
      <c r="I1429">
        <v>-4.19</v>
      </c>
      <c r="J1429">
        <v>-2.1</v>
      </c>
      <c r="L1429">
        <v>-2.2</v>
      </c>
      <c r="M1429">
        <v>255.12</v>
      </c>
      <c r="N1429">
        <v>0.15</v>
      </c>
      <c r="O1429">
        <v>4.85</v>
      </c>
    </row>
    <row r="1430" spans="1:15">
      <c r="A1430" t="str">
        <f>"002975"</f>
        <v>002975</v>
      </c>
      <c r="B1430" t="s">
        <v>1467</v>
      </c>
      <c r="C1430">
        <v>-4.05</v>
      </c>
      <c r="D1430">
        <v>136.8</v>
      </c>
      <c r="E1430" t="s">
        <v>16</v>
      </c>
      <c r="F1430" t="s">
        <v>16</v>
      </c>
      <c r="H1430">
        <v>-0.51</v>
      </c>
      <c r="I1430">
        <v>-4.74</v>
      </c>
      <c r="J1430">
        <v>-8.56</v>
      </c>
      <c r="K1430" t="s">
        <v>57</v>
      </c>
      <c r="L1430">
        <v>-1.21</v>
      </c>
      <c r="M1430">
        <v>977.5</v>
      </c>
      <c r="N1430">
        <v>0.06</v>
      </c>
      <c r="O1430">
        <v>0.6</v>
      </c>
    </row>
    <row r="1431" spans="1:15">
      <c r="A1431" t="str">
        <f>"002976"</f>
        <v>002976</v>
      </c>
      <c r="B1431" t="s">
        <v>1468</v>
      </c>
      <c r="C1431">
        <v>-1.05</v>
      </c>
      <c r="D1431">
        <v>28.37</v>
      </c>
      <c r="E1431" t="s">
        <v>16</v>
      </c>
      <c r="F1431" t="s">
        <v>16</v>
      </c>
      <c r="H1431">
        <v>-0.27</v>
      </c>
      <c r="I1431">
        <v>-13.35</v>
      </c>
      <c r="J1431">
        <v>-4.19</v>
      </c>
      <c r="L1431">
        <v>2.37</v>
      </c>
      <c r="M1431">
        <v>557.65</v>
      </c>
      <c r="N1431">
        <v>0.27</v>
      </c>
      <c r="O1431">
        <v>1.53</v>
      </c>
    </row>
    <row r="1432" spans="1:15">
      <c r="A1432" t="str">
        <f>"002977"</f>
        <v>002977</v>
      </c>
      <c r="B1432" t="s">
        <v>1469</v>
      </c>
      <c r="C1432">
        <v>-4</v>
      </c>
      <c r="D1432">
        <v>24.51</v>
      </c>
      <c r="E1432" t="s">
        <v>16</v>
      </c>
      <c r="F1432" t="s">
        <v>16</v>
      </c>
      <c r="H1432">
        <v>0.2</v>
      </c>
      <c r="I1432">
        <v>-6.31</v>
      </c>
      <c r="J1432">
        <v>-3.88</v>
      </c>
      <c r="K1432" t="s">
        <v>220</v>
      </c>
      <c r="L1432">
        <v>-0.12</v>
      </c>
      <c r="M1432">
        <v>66.81</v>
      </c>
      <c r="N1432">
        <v>0.05</v>
      </c>
      <c r="O1432">
        <v>0.16</v>
      </c>
    </row>
    <row r="1433" spans="1:15">
      <c r="A1433" t="str">
        <f>"002978"</f>
        <v>002978</v>
      </c>
      <c r="B1433" t="s">
        <v>1470</v>
      </c>
      <c r="C1433">
        <v>0.82</v>
      </c>
      <c r="D1433">
        <v>27.11</v>
      </c>
      <c r="E1433" t="s">
        <v>16</v>
      </c>
      <c r="F1433" t="s">
        <v>16</v>
      </c>
      <c r="H1433">
        <v>-0.03</v>
      </c>
      <c r="I1433">
        <v>0.52</v>
      </c>
      <c r="J1433">
        <v>-1.31</v>
      </c>
      <c r="L1433">
        <v>-0.71</v>
      </c>
      <c r="M1433">
        <v>5.61</v>
      </c>
      <c r="N1433">
        <v>0</v>
      </c>
      <c r="O1433">
        <v>0.23</v>
      </c>
    </row>
    <row r="1434" spans="1:15">
      <c r="A1434" t="str">
        <f>"002979"</f>
        <v>002979</v>
      </c>
      <c r="B1434" t="s">
        <v>1471</v>
      </c>
      <c r="C1434">
        <v>-1.13</v>
      </c>
      <c r="D1434">
        <v>55.33</v>
      </c>
      <c r="E1434" t="s">
        <v>16</v>
      </c>
      <c r="F1434" t="s">
        <v>16</v>
      </c>
      <c r="H1434">
        <v>0.05</v>
      </c>
      <c r="I1434">
        <v>4.08</v>
      </c>
      <c r="J1434">
        <v>-1.18</v>
      </c>
      <c r="L1434">
        <v>-0.34</v>
      </c>
      <c r="M1434">
        <v>232</v>
      </c>
      <c r="N1434">
        <v>0.02</v>
      </c>
      <c r="O1434">
        <v>1.92</v>
      </c>
    </row>
    <row r="1435" spans="1:15">
      <c r="A1435" t="str">
        <f>"002980"</f>
        <v>002980</v>
      </c>
      <c r="B1435" t="s">
        <v>1472</v>
      </c>
      <c r="C1435">
        <v>4.62</v>
      </c>
      <c r="D1435">
        <v>131.35</v>
      </c>
      <c r="E1435" t="s">
        <v>16</v>
      </c>
      <c r="F1435" t="s">
        <v>16</v>
      </c>
      <c r="H1435">
        <v>0.37</v>
      </c>
      <c r="I1435">
        <v>3.26</v>
      </c>
      <c r="J1435">
        <v>-3.38</v>
      </c>
      <c r="L1435">
        <v>0.37</v>
      </c>
      <c r="M1435">
        <v>704.4</v>
      </c>
      <c r="N1435">
        <v>0.09</v>
      </c>
      <c r="O1435">
        <v>0.41</v>
      </c>
    </row>
    <row r="1436" spans="1:15">
      <c r="A1436" t="str">
        <f>"002981"</f>
        <v>002981</v>
      </c>
      <c r="B1436" t="s">
        <v>1473</v>
      </c>
      <c r="C1436">
        <v>-2.88</v>
      </c>
      <c r="D1436">
        <v>21.23</v>
      </c>
      <c r="E1436" t="s">
        <v>16</v>
      </c>
      <c r="F1436" t="s">
        <v>16</v>
      </c>
      <c r="H1436">
        <v>0.05</v>
      </c>
      <c r="I1436">
        <v>-26.67</v>
      </c>
      <c r="J1436">
        <v>-3.06</v>
      </c>
      <c r="L1436">
        <v>0.18</v>
      </c>
      <c r="M1436">
        <v>147.17</v>
      </c>
      <c r="N1436">
        <v>0.15</v>
      </c>
      <c r="O1436">
        <v>0.45</v>
      </c>
    </row>
    <row r="1437" spans="1:15">
      <c r="A1437" t="str">
        <f>"002982"</f>
        <v>002982</v>
      </c>
      <c r="B1437" t="s">
        <v>1474</v>
      </c>
      <c r="C1437">
        <v>-7.28</v>
      </c>
      <c r="D1437">
        <v>11.46</v>
      </c>
      <c r="E1437" t="s">
        <v>16</v>
      </c>
      <c r="F1437" t="s">
        <v>16</v>
      </c>
      <c r="H1437">
        <v>0</v>
      </c>
      <c r="I1437">
        <v>-8.9</v>
      </c>
      <c r="J1437">
        <v>-6.07</v>
      </c>
      <c r="L1437">
        <v>-1.54</v>
      </c>
      <c r="M1437">
        <v>59.88</v>
      </c>
      <c r="N1437">
        <v>0.05</v>
      </c>
      <c r="O1437">
        <v>0.59</v>
      </c>
    </row>
    <row r="1438" spans="1:15">
      <c r="A1438" t="str">
        <f>"002983"</f>
        <v>002983</v>
      </c>
      <c r="B1438" t="s">
        <v>1475</v>
      </c>
      <c r="C1438">
        <v>-1</v>
      </c>
      <c r="D1438">
        <v>25.78</v>
      </c>
      <c r="E1438" t="s">
        <v>16</v>
      </c>
      <c r="F1438" t="s">
        <v>16</v>
      </c>
      <c r="H1438">
        <v>0.16</v>
      </c>
      <c r="I1438">
        <v>14.17</v>
      </c>
      <c r="J1438">
        <v>-2.31</v>
      </c>
      <c r="L1438">
        <v>0.08</v>
      </c>
      <c r="M1438">
        <v>143.85</v>
      </c>
      <c r="N1438">
        <v>0.09</v>
      </c>
      <c r="O1438">
        <v>1.14</v>
      </c>
    </row>
    <row r="1439" spans="1:15">
      <c r="A1439" t="str">
        <f>"002984"</f>
        <v>002984</v>
      </c>
      <c r="B1439" t="s">
        <v>1476</v>
      </c>
      <c r="C1439">
        <v>-2.97</v>
      </c>
      <c r="D1439">
        <v>14.39</v>
      </c>
      <c r="E1439" t="s">
        <v>16</v>
      </c>
      <c r="F1439" t="s">
        <v>16</v>
      </c>
      <c r="H1439">
        <v>0</v>
      </c>
      <c r="I1439">
        <v>-0.35</v>
      </c>
      <c r="J1439">
        <v>-3.62</v>
      </c>
      <c r="L1439">
        <v>0</v>
      </c>
      <c r="M1439">
        <v>49.98</v>
      </c>
      <c r="N1439">
        <v>0.01</v>
      </c>
      <c r="O1439">
        <v>2.67</v>
      </c>
    </row>
    <row r="1440" spans="1:15">
      <c r="A1440" t="str">
        <f>"002985"</f>
        <v>002985</v>
      </c>
      <c r="B1440" t="s">
        <v>1477</v>
      </c>
      <c r="C1440">
        <v>0.13</v>
      </c>
      <c r="D1440">
        <v>30.42</v>
      </c>
      <c r="E1440" t="s">
        <v>16</v>
      </c>
      <c r="F1440" t="s">
        <v>16</v>
      </c>
      <c r="H1440">
        <v>0.1</v>
      </c>
      <c r="I1440">
        <v>4.75</v>
      </c>
      <c r="J1440">
        <v>-1.62</v>
      </c>
      <c r="L1440">
        <v>-0.56</v>
      </c>
      <c r="M1440">
        <v>83.68</v>
      </c>
      <c r="N1440">
        <v>0.02</v>
      </c>
      <c r="O1440">
        <v>0.46</v>
      </c>
    </row>
    <row r="1441" spans="1:15">
      <c r="A1441" t="str">
        <f>"002986"</f>
        <v>002986</v>
      </c>
      <c r="B1441" t="s">
        <v>1478</v>
      </c>
      <c r="C1441">
        <v>-2.17</v>
      </c>
      <c r="D1441">
        <v>11.29</v>
      </c>
      <c r="E1441" t="s">
        <v>16</v>
      </c>
      <c r="F1441" t="s">
        <v>16</v>
      </c>
      <c r="H1441">
        <v>0</v>
      </c>
      <c r="I1441">
        <v>-0.44</v>
      </c>
      <c r="J1441">
        <v>-2.59</v>
      </c>
      <c r="L1441">
        <v>0.17</v>
      </c>
      <c r="M1441">
        <v>42.66</v>
      </c>
      <c r="N1441">
        <v>0.01</v>
      </c>
      <c r="O1441">
        <v>1.13</v>
      </c>
    </row>
    <row r="1442" spans="1:15">
      <c r="A1442" t="str">
        <f>"002987"</f>
        <v>002987</v>
      </c>
      <c r="B1442" t="s">
        <v>1479</v>
      </c>
      <c r="C1442">
        <v>-2.44</v>
      </c>
      <c r="D1442">
        <v>11.2</v>
      </c>
      <c r="E1442" t="s">
        <v>16</v>
      </c>
      <c r="F1442" t="s">
        <v>16</v>
      </c>
      <c r="H1442">
        <v>-0.17</v>
      </c>
      <c r="I1442">
        <v>0.36</v>
      </c>
      <c r="J1442">
        <v>-2.44</v>
      </c>
      <c r="L1442">
        <v>-0.52</v>
      </c>
      <c r="M1442">
        <v>67.81</v>
      </c>
      <c r="N1442">
        <v>0.01</v>
      </c>
      <c r="O1442">
        <v>2.07</v>
      </c>
    </row>
    <row r="1443" spans="1:15">
      <c r="A1443" t="str">
        <f>"002988"</f>
        <v>002988</v>
      </c>
      <c r="B1443" t="s">
        <v>1480</v>
      </c>
      <c r="C1443">
        <v>-2.15</v>
      </c>
      <c r="D1443">
        <v>24.17</v>
      </c>
      <c r="E1443" t="s">
        <v>16</v>
      </c>
      <c r="F1443" t="s">
        <v>16</v>
      </c>
      <c r="H1443">
        <v>-0.11</v>
      </c>
      <c r="I1443">
        <v>-11.07</v>
      </c>
      <c r="J1443">
        <v>-3.09</v>
      </c>
      <c r="L1443">
        <v>-0.49</v>
      </c>
      <c r="M1443">
        <v>26.79</v>
      </c>
      <c r="N1443">
        <v>0.01</v>
      </c>
      <c r="O1443">
        <v>0.48</v>
      </c>
    </row>
    <row r="1444" spans="1:15">
      <c r="A1444" t="str">
        <f>"002989"</f>
        <v>002989</v>
      </c>
      <c r="B1444" t="s">
        <v>1481</v>
      </c>
      <c r="C1444">
        <v>10.01</v>
      </c>
      <c r="D1444">
        <v>37.37</v>
      </c>
      <c r="E1444">
        <v>4633.88</v>
      </c>
      <c r="F1444">
        <v>3</v>
      </c>
      <c r="H1444">
        <v>0</v>
      </c>
      <c r="I1444">
        <v>24.98</v>
      </c>
      <c r="J1444">
        <v>0</v>
      </c>
      <c r="K1444" t="s">
        <v>696</v>
      </c>
      <c r="L1444">
        <v>5.09</v>
      </c>
      <c r="M1444">
        <v>1421.27</v>
      </c>
      <c r="N1444">
        <v>0.41</v>
      </c>
      <c r="O1444">
        <v>2.99</v>
      </c>
    </row>
    <row r="1445" spans="1:15">
      <c r="A1445" t="str">
        <f>"002990"</f>
        <v>002990</v>
      </c>
      <c r="B1445" t="s">
        <v>1482</v>
      </c>
      <c r="C1445">
        <v>3.6</v>
      </c>
      <c r="D1445">
        <v>55.78</v>
      </c>
      <c r="E1445" t="s">
        <v>16</v>
      </c>
      <c r="F1445" t="s">
        <v>16</v>
      </c>
      <c r="H1445">
        <v>-0.08</v>
      </c>
      <c r="I1445">
        <v>18.03</v>
      </c>
      <c r="J1445">
        <v>-5.81</v>
      </c>
      <c r="K1445" t="s">
        <v>220</v>
      </c>
      <c r="L1445">
        <v>2.19</v>
      </c>
      <c r="M1445">
        <v>676.2</v>
      </c>
      <c r="N1445">
        <v>0.14</v>
      </c>
      <c r="O1445">
        <v>0.41</v>
      </c>
    </row>
    <row r="1446" spans="1:15">
      <c r="A1446" t="str">
        <f>"002991"</f>
        <v>002991</v>
      </c>
      <c r="B1446" t="s">
        <v>1483</v>
      </c>
      <c r="C1446">
        <v>-1.98</v>
      </c>
      <c r="D1446">
        <v>40.18</v>
      </c>
      <c r="E1446" t="s">
        <v>16</v>
      </c>
      <c r="F1446" t="s">
        <v>16</v>
      </c>
      <c r="H1446">
        <v>-0.19</v>
      </c>
      <c r="I1446">
        <v>-7.76</v>
      </c>
      <c r="J1446">
        <v>-1.71</v>
      </c>
      <c r="L1446">
        <v>-0.39</v>
      </c>
      <c r="M1446">
        <v>4.49</v>
      </c>
      <c r="N1446">
        <v>0</v>
      </c>
      <c r="O1446">
        <v>1.57</v>
      </c>
    </row>
    <row r="1447" spans="1:15">
      <c r="A1447" t="str">
        <f>"002992"</f>
        <v>002992</v>
      </c>
      <c r="B1447" t="s">
        <v>1484</v>
      </c>
      <c r="C1447">
        <v>-1.78</v>
      </c>
      <c r="D1447">
        <v>45.92</v>
      </c>
      <c r="E1447" t="s">
        <v>16</v>
      </c>
      <c r="F1447" t="s">
        <v>16</v>
      </c>
      <c r="H1447">
        <v>0.09</v>
      </c>
      <c r="I1447">
        <v>10.78</v>
      </c>
      <c r="J1447">
        <v>-3.49</v>
      </c>
      <c r="K1447" t="s">
        <v>57</v>
      </c>
      <c r="L1447">
        <v>-0.53</v>
      </c>
      <c r="M1447">
        <v>137.18</v>
      </c>
      <c r="N1447">
        <v>0.03</v>
      </c>
      <c r="O1447">
        <v>0.26</v>
      </c>
    </row>
    <row r="1448" spans="1:15">
      <c r="A1448" t="str">
        <f>"002993"</f>
        <v>002993</v>
      </c>
      <c r="B1448" t="s">
        <v>1485</v>
      </c>
      <c r="C1448">
        <v>-5.69</v>
      </c>
      <c r="D1448">
        <v>68.47</v>
      </c>
      <c r="E1448" t="s">
        <v>16</v>
      </c>
      <c r="F1448" t="s">
        <v>16</v>
      </c>
      <c r="H1448">
        <v>-0.03</v>
      </c>
      <c r="I1448">
        <v>9.15</v>
      </c>
      <c r="J1448">
        <v>-7.1</v>
      </c>
      <c r="K1448" t="s">
        <v>26</v>
      </c>
      <c r="L1448">
        <v>-0.29</v>
      </c>
      <c r="M1448">
        <v>379.32</v>
      </c>
      <c r="N1448">
        <v>0.05</v>
      </c>
      <c r="O1448">
        <v>0.58</v>
      </c>
    </row>
    <row r="1449" spans="1:15">
      <c r="A1449" t="str">
        <f>"002995"</f>
        <v>002995</v>
      </c>
      <c r="B1449" t="s">
        <v>1486</v>
      </c>
      <c r="C1449">
        <v>-0.93</v>
      </c>
      <c r="D1449">
        <v>20.3</v>
      </c>
      <c r="E1449" t="s">
        <v>16</v>
      </c>
      <c r="F1449" t="s">
        <v>16</v>
      </c>
      <c r="H1449">
        <v>-0.09</v>
      </c>
      <c r="I1449">
        <v>-14.06</v>
      </c>
      <c r="J1449">
        <v>-3.15</v>
      </c>
      <c r="L1449">
        <v>0.05</v>
      </c>
      <c r="M1449">
        <v>162.98</v>
      </c>
      <c r="N1449">
        <v>0.1</v>
      </c>
      <c r="O1449">
        <v>2.99</v>
      </c>
    </row>
    <row r="1450" spans="1:15">
      <c r="A1450" t="str">
        <f>"002996"</f>
        <v>002996</v>
      </c>
      <c r="B1450" t="s">
        <v>1487</v>
      </c>
      <c r="C1450">
        <v>-1.26</v>
      </c>
      <c r="D1450">
        <v>6.27</v>
      </c>
      <c r="E1450" t="s">
        <v>16</v>
      </c>
      <c r="F1450" t="s">
        <v>16</v>
      </c>
      <c r="H1450">
        <v>-0.31</v>
      </c>
      <c r="I1450">
        <v>-3.98</v>
      </c>
      <c r="J1450">
        <v>-2.34</v>
      </c>
      <c r="L1450">
        <v>-0.79</v>
      </c>
      <c r="M1450">
        <v>21.97</v>
      </c>
      <c r="N1450">
        <v>0.01</v>
      </c>
      <c r="O1450">
        <v>2.31</v>
      </c>
    </row>
    <row r="1451" spans="1:15">
      <c r="A1451" t="str">
        <f>"002997"</f>
        <v>002997</v>
      </c>
      <c r="B1451" t="s">
        <v>1488</v>
      </c>
      <c r="C1451">
        <v>-1.09</v>
      </c>
      <c r="D1451">
        <v>30.77</v>
      </c>
      <c r="E1451" t="s">
        <v>16</v>
      </c>
      <c r="F1451" t="s">
        <v>16</v>
      </c>
      <c r="H1451">
        <v>0</v>
      </c>
      <c r="I1451">
        <v>4.7</v>
      </c>
      <c r="J1451">
        <v>-2.78</v>
      </c>
      <c r="L1451">
        <v>-0.39</v>
      </c>
      <c r="M1451">
        <v>64.15</v>
      </c>
      <c r="N1451">
        <v>0.02</v>
      </c>
      <c r="O1451">
        <v>0.5</v>
      </c>
    </row>
    <row r="1452" spans="1:15">
      <c r="A1452" t="str">
        <f>"002998"</f>
        <v>002998</v>
      </c>
      <c r="B1452" t="s">
        <v>1489</v>
      </c>
      <c r="C1452">
        <v>-2.08</v>
      </c>
      <c r="D1452">
        <v>7.05</v>
      </c>
      <c r="E1452" t="s">
        <v>16</v>
      </c>
      <c r="F1452" t="s">
        <v>16</v>
      </c>
      <c r="H1452">
        <v>-0.13</v>
      </c>
      <c r="I1452">
        <v>-11.21</v>
      </c>
      <c r="J1452">
        <v>-2.08</v>
      </c>
      <c r="L1452">
        <v>-0.69</v>
      </c>
      <c r="M1452">
        <v>16.02</v>
      </c>
      <c r="N1452">
        <v>0.01</v>
      </c>
      <c r="O1452">
        <v>0.69</v>
      </c>
    </row>
    <row r="1453" spans="1:15">
      <c r="A1453" t="str">
        <f>"002999"</f>
        <v>002999</v>
      </c>
      <c r="B1453" t="s">
        <v>1490</v>
      </c>
      <c r="C1453">
        <v>-0.7</v>
      </c>
      <c r="D1453">
        <v>5.65</v>
      </c>
      <c r="E1453" t="s">
        <v>16</v>
      </c>
      <c r="F1453" t="s">
        <v>16</v>
      </c>
      <c r="H1453">
        <v>0.18</v>
      </c>
      <c r="I1453">
        <v>-6.15</v>
      </c>
      <c r="J1453">
        <v>-0.88</v>
      </c>
      <c r="L1453">
        <v>-0.7</v>
      </c>
      <c r="M1453">
        <v>94.69</v>
      </c>
      <c r="N1453">
        <v>0.08</v>
      </c>
      <c r="O1453">
        <v>12.51</v>
      </c>
    </row>
    <row r="1454" spans="1:15">
      <c r="A1454" t="str">
        <f>"003000"</f>
        <v>003000</v>
      </c>
      <c r="B1454" t="s">
        <v>1491</v>
      </c>
      <c r="C1454">
        <v>-4.24</v>
      </c>
      <c r="D1454">
        <v>9.7</v>
      </c>
      <c r="E1454" t="s">
        <v>16</v>
      </c>
      <c r="F1454" t="s">
        <v>16</v>
      </c>
      <c r="H1454">
        <v>-0.2</v>
      </c>
      <c r="I1454">
        <v>-8.92</v>
      </c>
      <c r="J1454">
        <v>-4.43</v>
      </c>
      <c r="L1454">
        <v>0.2</v>
      </c>
      <c r="M1454">
        <v>32.48</v>
      </c>
      <c r="N1454">
        <v>0.01</v>
      </c>
      <c r="O1454">
        <v>2.81</v>
      </c>
    </row>
    <row r="1455" spans="1:15">
      <c r="A1455" t="str">
        <f>"003001"</f>
        <v>003001</v>
      </c>
      <c r="B1455" t="s">
        <v>1492</v>
      </c>
      <c r="C1455">
        <v>-0.56</v>
      </c>
      <c r="D1455">
        <v>14.23</v>
      </c>
      <c r="E1455" t="s">
        <v>16</v>
      </c>
      <c r="F1455" t="s">
        <v>16</v>
      </c>
      <c r="H1455">
        <v>-0.2</v>
      </c>
      <c r="I1455">
        <v>-17.07</v>
      </c>
      <c r="J1455">
        <v>-1.79</v>
      </c>
      <c r="L1455">
        <v>-0.07</v>
      </c>
      <c r="M1455">
        <v>129.84</v>
      </c>
      <c r="N1455">
        <v>0.12</v>
      </c>
      <c r="O1455">
        <v>2.64</v>
      </c>
    </row>
    <row r="1456" spans="1:15">
      <c r="A1456" t="str">
        <f>"003002"</f>
        <v>003002</v>
      </c>
      <c r="B1456" t="s">
        <v>1493</v>
      </c>
      <c r="C1456">
        <v>1.82</v>
      </c>
      <c r="D1456">
        <v>21.31</v>
      </c>
      <c r="E1456" t="s">
        <v>16</v>
      </c>
      <c r="F1456" t="s">
        <v>16</v>
      </c>
      <c r="H1456">
        <v>0.42</v>
      </c>
      <c r="I1456">
        <v>-2.96</v>
      </c>
      <c r="J1456">
        <v>-0.88</v>
      </c>
      <c r="L1456">
        <v>1.05</v>
      </c>
      <c r="M1456">
        <v>6.98</v>
      </c>
      <c r="N1456">
        <v>0</v>
      </c>
      <c r="O1456">
        <v>0.45</v>
      </c>
    </row>
    <row r="1457" spans="1:15">
      <c r="A1457" t="str">
        <f>"003003"</f>
        <v>003003</v>
      </c>
      <c r="B1457" t="s">
        <v>1494</v>
      </c>
      <c r="C1457">
        <v>-0.65</v>
      </c>
      <c r="D1457">
        <v>10.75</v>
      </c>
      <c r="E1457" t="s">
        <v>16</v>
      </c>
      <c r="F1457" t="s">
        <v>16</v>
      </c>
      <c r="H1457">
        <v>0.28</v>
      </c>
      <c r="I1457">
        <v>-6.76</v>
      </c>
      <c r="J1457">
        <v>-1.74</v>
      </c>
      <c r="L1457">
        <v>-0.83</v>
      </c>
      <c r="M1457">
        <v>29.51</v>
      </c>
      <c r="N1457">
        <v>0.03</v>
      </c>
      <c r="O1457">
        <v>1.18</v>
      </c>
    </row>
    <row r="1458" spans="1:15">
      <c r="A1458" t="str">
        <f>"003004"</f>
        <v>003004</v>
      </c>
      <c r="B1458" t="s">
        <v>1495</v>
      </c>
      <c r="C1458">
        <v>4.33</v>
      </c>
      <c r="D1458">
        <v>69.14</v>
      </c>
      <c r="E1458" t="s">
        <v>16</v>
      </c>
      <c r="F1458" t="s">
        <v>16</v>
      </c>
      <c r="H1458">
        <v>1.1</v>
      </c>
      <c r="I1458">
        <v>12.61</v>
      </c>
      <c r="J1458">
        <v>-1.93</v>
      </c>
      <c r="L1458">
        <v>2.02</v>
      </c>
      <c r="M1458">
        <v>275.85</v>
      </c>
      <c r="N1458">
        <v>0.12</v>
      </c>
      <c r="O1458">
        <v>2.17</v>
      </c>
    </row>
    <row r="1459" spans="1:15">
      <c r="A1459" t="str">
        <f>"003005"</f>
        <v>003005</v>
      </c>
      <c r="B1459" t="s">
        <v>1496</v>
      </c>
      <c r="C1459">
        <v>0.14</v>
      </c>
      <c r="D1459">
        <v>14.24</v>
      </c>
      <c r="E1459" t="s">
        <v>16</v>
      </c>
      <c r="F1459" t="s">
        <v>16</v>
      </c>
      <c r="H1459">
        <v>0.28</v>
      </c>
      <c r="I1459">
        <v>-3</v>
      </c>
      <c r="J1459">
        <v>-0.77</v>
      </c>
      <c r="L1459">
        <v>-0.42</v>
      </c>
      <c r="M1459">
        <v>9.91</v>
      </c>
      <c r="N1459">
        <v>0.01</v>
      </c>
      <c r="O1459">
        <v>0.71</v>
      </c>
    </row>
    <row r="1460" spans="1:15">
      <c r="A1460" t="str">
        <f>"003006"</f>
        <v>003006</v>
      </c>
      <c r="B1460" t="s">
        <v>1497</v>
      </c>
      <c r="C1460">
        <v>-1.86</v>
      </c>
      <c r="D1460">
        <v>14.81</v>
      </c>
      <c r="E1460" t="s">
        <v>16</v>
      </c>
      <c r="F1460" t="s">
        <v>16</v>
      </c>
      <c r="H1460">
        <v>0.2</v>
      </c>
      <c r="I1460">
        <v>-7.21</v>
      </c>
      <c r="J1460">
        <v>-2.44</v>
      </c>
      <c r="L1460">
        <v>0.07</v>
      </c>
      <c r="M1460">
        <v>68.1</v>
      </c>
      <c r="N1460">
        <v>0.03</v>
      </c>
      <c r="O1460">
        <v>9.6</v>
      </c>
    </row>
    <row r="1461" spans="1:15">
      <c r="A1461" t="str">
        <f>"003007"</f>
        <v>003007</v>
      </c>
      <c r="B1461" t="s">
        <v>1498</v>
      </c>
      <c r="C1461">
        <v>1.51</v>
      </c>
      <c r="D1461">
        <v>40.9</v>
      </c>
      <c r="E1461" t="s">
        <v>16</v>
      </c>
      <c r="F1461" t="s">
        <v>16</v>
      </c>
      <c r="H1461">
        <v>0.1</v>
      </c>
      <c r="I1461">
        <v>1.79</v>
      </c>
      <c r="J1461">
        <v>-0.82</v>
      </c>
      <c r="L1461">
        <v>-0.65</v>
      </c>
      <c r="M1461">
        <v>22.42</v>
      </c>
      <c r="N1461">
        <v>0.01</v>
      </c>
      <c r="O1461">
        <v>0.52</v>
      </c>
    </row>
    <row r="1462" spans="1:15">
      <c r="A1462" t="str">
        <f>"003008"</f>
        <v>003008</v>
      </c>
      <c r="B1462" t="s">
        <v>1499</v>
      </c>
      <c r="C1462">
        <v>-0.99</v>
      </c>
      <c r="D1462">
        <v>18.07</v>
      </c>
      <c r="E1462" t="s">
        <v>16</v>
      </c>
      <c r="F1462" t="s">
        <v>16</v>
      </c>
      <c r="H1462">
        <v>-0.32</v>
      </c>
      <c r="I1462">
        <v>-4.44</v>
      </c>
      <c r="J1462">
        <v>-1.04</v>
      </c>
      <c r="L1462">
        <v>-0.44</v>
      </c>
      <c r="M1462">
        <v>14.35</v>
      </c>
      <c r="N1462">
        <v>0.02</v>
      </c>
      <c r="O1462">
        <v>0.89</v>
      </c>
    </row>
    <row r="1463" spans="1:15">
      <c r="A1463" t="str">
        <f>"003009"</f>
        <v>003009</v>
      </c>
      <c r="B1463" t="s">
        <v>1500</v>
      </c>
      <c r="C1463">
        <v>-2.93</v>
      </c>
      <c r="D1463">
        <v>60.28</v>
      </c>
      <c r="E1463" t="s">
        <v>16</v>
      </c>
      <c r="F1463" t="s">
        <v>16</v>
      </c>
      <c r="H1463">
        <v>0.03</v>
      </c>
      <c r="I1463">
        <v>19.7</v>
      </c>
      <c r="J1463">
        <v>-1.98</v>
      </c>
      <c r="L1463">
        <v>-1.77</v>
      </c>
      <c r="M1463">
        <v>516.06</v>
      </c>
      <c r="N1463">
        <v>0.12</v>
      </c>
      <c r="O1463">
        <v>0.64</v>
      </c>
    </row>
    <row r="1464" spans="1:15">
      <c r="A1464" t="str">
        <f>"003010"</f>
        <v>003010</v>
      </c>
      <c r="B1464" t="s">
        <v>1501</v>
      </c>
      <c r="C1464">
        <v>-0.75</v>
      </c>
      <c r="D1464">
        <v>23.68</v>
      </c>
      <c r="E1464" t="s">
        <v>16</v>
      </c>
      <c r="F1464" t="s">
        <v>16</v>
      </c>
      <c r="H1464">
        <v>-0.03</v>
      </c>
      <c r="I1464">
        <v>-1</v>
      </c>
      <c r="J1464">
        <v>-2.11</v>
      </c>
      <c r="L1464">
        <v>-0.67</v>
      </c>
      <c r="M1464">
        <v>11.38</v>
      </c>
      <c r="N1464">
        <v>0</v>
      </c>
      <c r="O1464">
        <v>0.35</v>
      </c>
    </row>
    <row r="1465" spans="1:15">
      <c r="A1465" t="str">
        <f>"003011"</f>
        <v>003011</v>
      </c>
      <c r="B1465" t="s">
        <v>1502</v>
      </c>
      <c r="C1465">
        <v>8.78</v>
      </c>
      <c r="D1465">
        <v>20.68</v>
      </c>
      <c r="E1465" t="s">
        <v>16</v>
      </c>
      <c r="F1465" t="s">
        <v>16</v>
      </c>
      <c r="H1465">
        <v>0.24</v>
      </c>
      <c r="I1465">
        <v>-8.9</v>
      </c>
      <c r="J1465">
        <v>-0.53</v>
      </c>
      <c r="L1465">
        <v>-1.16</v>
      </c>
      <c r="M1465">
        <v>24.05</v>
      </c>
      <c r="N1465">
        <v>0.02</v>
      </c>
      <c r="O1465">
        <v>0.68</v>
      </c>
    </row>
    <row r="1466" spans="1:15">
      <c r="A1466" t="str">
        <f>"003012"</f>
        <v>003012</v>
      </c>
      <c r="B1466" t="s">
        <v>1503</v>
      </c>
      <c r="C1466">
        <v>-1.48</v>
      </c>
      <c r="D1466">
        <v>4.66</v>
      </c>
      <c r="E1466" t="s">
        <v>16</v>
      </c>
      <c r="F1466" t="s">
        <v>16</v>
      </c>
      <c r="H1466">
        <v>-0.42</v>
      </c>
      <c r="I1466">
        <v>-4.31</v>
      </c>
      <c r="J1466">
        <v>-0.85</v>
      </c>
      <c r="L1466">
        <v>-1.69</v>
      </c>
      <c r="M1466">
        <v>124.39</v>
      </c>
      <c r="N1466">
        <v>0.06</v>
      </c>
      <c r="O1466">
        <v>1.75</v>
      </c>
    </row>
    <row r="1467" spans="1:15">
      <c r="A1467" t="str">
        <f>"003013"</f>
        <v>003013</v>
      </c>
      <c r="B1467" t="s">
        <v>1504</v>
      </c>
      <c r="C1467">
        <v>-2.43</v>
      </c>
      <c r="D1467">
        <v>15.67</v>
      </c>
      <c r="E1467" t="s">
        <v>16</v>
      </c>
      <c r="F1467" t="s">
        <v>16</v>
      </c>
      <c r="H1467">
        <v>0.06</v>
      </c>
      <c r="I1467">
        <v>1.56</v>
      </c>
      <c r="J1467">
        <v>-2.25</v>
      </c>
      <c r="L1467">
        <v>-0.19</v>
      </c>
      <c r="M1467">
        <v>19.4</v>
      </c>
      <c r="N1467">
        <v>0.01</v>
      </c>
      <c r="O1467">
        <v>0.77</v>
      </c>
    </row>
    <row r="1468" spans="1:15">
      <c r="A1468" t="str">
        <f>"003015"</f>
        <v>003015</v>
      </c>
      <c r="B1468" t="s">
        <v>1505</v>
      </c>
      <c r="C1468">
        <v>-3.24</v>
      </c>
      <c r="D1468">
        <v>12.56</v>
      </c>
      <c r="E1468" t="s">
        <v>16</v>
      </c>
      <c r="F1468" t="s">
        <v>16</v>
      </c>
      <c r="H1468">
        <v>0</v>
      </c>
      <c r="I1468">
        <v>2.36</v>
      </c>
      <c r="J1468">
        <v>-2.26</v>
      </c>
      <c r="L1468">
        <v>-1</v>
      </c>
      <c r="M1468">
        <v>17.48</v>
      </c>
      <c r="N1468">
        <v>0.01</v>
      </c>
      <c r="O1468">
        <v>0.39</v>
      </c>
    </row>
    <row r="1469" spans="1:15">
      <c r="A1469" t="str">
        <f>"003016"</f>
        <v>003016</v>
      </c>
      <c r="B1469" t="s">
        <v>1506</v>
      </c>
      <c r="C1469">
        <v>-0.6</v>
      </c>
      <c r="D1469">
        <v>6.61</v>
      </c>
      <c r="E1469" t="s">
        <v>16</v>
      </c>
      <c r="F1469" t="s">
        <v>16</v>
      </c>
      <c r="H1469">
        <v>-0.74</v>
      </c>
      <c r="I1469">
        <v>-5.71</v>
      </c>
      <c r="J1469">
        <v>-1.34</v>
      </c>
      <c r="L1469">
        <v>-0.45</v>
      </c>
      <c r="M1469">
        <v>21.71</v>
      </c>
      <c r="N1469">
        <v>0.03</v>
      </c>
      <c r="O1469">
        <v>4.55</v>
      </c>
    </row>
    <row r="1470" spans="1:15">
      <c r="A1470" t="str">
        <f>"003017"</f>
        <v>003017</v>
      </c>
      <c r="B1470" t="s">
        <v>1507</v>
      </c>
      <c r="C1470">
        <v>-1.18</v>
      </c>
      <c r="D1470">
        <v>26</v>
      </c>
      <c r="E1470" t="s">
        <v>16</v>
      </c>
      <c r="F1470" t="s">
        <v>16</v>
      </c>
      <c r="H1470">
        <v>-0.03</v>
      </c>
      <c r="I1470">
        <v>-3.99</v>
      </c>
      <c r="J1470">
        <v>-1.59</v>
      </c>
      <c r="L1470">
        <v>-0.38</v>
      </c>
      <c r="M1470">
        <v>22.02</v>
      </c>
      <c r="N1470">
        <v>0.01</v>
      </c>
      <c r="O1470">
        <v>1.27</v>
      </c>
    </row>
    <row r="1471" spans="1:15">
      <c r="A1471" t="str">
        <f>"003018"</f>
        <v>003018</v>
      </c>
      <c r="B1471" t="s">
        <v>1508</v>
      </c>
      <c r="C1471">
        <v>6.49</v>
      </c>
      <c r="D1471">
        <v>65.92</v>
      </c>
      <c r="E1471" t="s">
        <v>16</v>
      </c>
      <c r="F1471" t="s">
        <v>16</v>
      </c>
      <c r="H1471">
        <v>-0.07</v>
      </c>
      <c r="I1471">
        <v>30.1</v>
      </c>
      <c r="J1471">
        <v>-3.19</v>
      </c>
      <c r="L1471">
        <v>0.65</v>
      </c>
      <c r="M1471">
        <v>589.36</v>
      </c>
      <c r="N1471">
        <v>0.12</v>
      </c>
      <c r="O1471">
        <v>0.46</v>
      </c>
    </row>
    <row r="1472" spans="1:15">
      <c r="A1472" t="str">
        <f>"003019"</f>
        <v>003019</v>
      </c>
      <c r="B1472" t="s">
        <v>1509</v>
      </c>
      <c r="C1472">
        <v>-5.91</v>
      </c>
      <c r="D1472">
        <v>32.95</v>
      </c>
      <c r="E1472" t="s">
        <v>16</v>
      </c>
      <c r="F1472" t="s">
        <v>16</v>
      </c>
      <c r="H1472">
        <v>-0.11</v>
      </c>
      <c r="I1472">
        <v>-15.71</v>
      </c>
      <c r="J1472">
        <v>-6.42</v>
      </c>
      <c r="L1472">
        <v>-1.46</v>
      </c>
      <c r="M1472">
        <v>115.26</v>
      </c>
      <c r="N1472">
        <v>0.03</v>
      </c>
      <c r="O1472">
        <v>1.05</v>
      </c>
    </row>
    <row r="1473" spans="1:15">
      <c r="A1473" t="str">
        <f>"003020"</f>
        <v>003020</v>
      </c>
      <c r="B1473" t="s">
        <v>1510</v>
      </c>
      <c r="C1473">
        <v>1.52</v>
      </c>
      <c r="D1473">
        <v>15.35</v>
      </c>
      <c r="E1473" t="s">
        <v>16</v>
      </c>
      <c r="F1473" t="s">
        <v>16</v>
      </c>
      <c r="H1473">
        <v>0.33</v>
      </c>
      <c r="I1473">
        <v>-2.91</v>
      </c>
      <c r="J1473">
        <v>-2.54</v>
      </c>
      <c r="L1473">
        <v>-0.26</v>
      </c>
      <c r="M1473">
        <v>4.37</v>
      </c>
      <c r="N1473">
        <v>0</v>
      </c>
      <c r="O1473">
        <v>0.83</v>
      </c>
    </row>
    <row r="1474" spans="1:15">
      <c r="A1474" t="str">
        <f>"003021"</f>
        <v>003021</v>
      </c>
      <c r="B1474" t="s">
        <v>1511</v>
      </c>
      <c r="C1474">
        <v>1.53</v>
      </c>
      <c r="D1474">
        <v>98.23</v>
      </c>
      <c r="E1474" t="s">
        <v>16</v>
      </c>
      <c r="F1474" t="s">
        <v>16</v>
      </c>
      <c r="H1474">
        <v>0.09</v>
      </c>
      <c r="I1474">
        <v>0.04</v>
      </c>
      <c r="J1474">
        <v>-1.27</v>
      </c>
      <c r="L1474">
        <v>-0.86</v>
      </c>
      <c r="M1474">
        <v>207.19</v>
      </c>
      <c r="N1474">
        <v>0.03</v>
      </c>
      <c r="O1474">
        <v>2.67</v>
      </c>
    </row>
    <row r="1475" spans="1:15">
      <c r="A1475" t="str">
        <f>"003022"</f>
        <v>003022</v>
      </c>
      <c r="B1475" t="s">
        <v>1512</v>
      </c>
      <c r="C1475">
        <v>-0.39</v>
      </c>
      <c r="D1475">
        <v>28.19</v>
      </c>
      <c r="E1475" t="s">
        <v>16</v>
      </c>
      <c r="F1475" t="s">
        <v>16</v>
      </c>
      <c r="H1475">
        <v>0.07</v>
      </c>
      <c r="I1475">
        <v>15.96</v>
      </c>
      <c r="J1475">
        <v>-1.4</v>
      </c>
      <c r="L1475">
        <v>0</v>
      </c>
      <c r="M1475">
        <v>274.51</v>
      </c>
      <c r="N1475">
        <v>0.03</v>
      </c>
      <c r="O1475">
        <v>0.49</v>
      </c>
    </row>
    <row r="1476" spans="1:15">
      <c r="A1476" t="str">
        <f>"003023"</f>
        <v>003023</v>
      </c>
      <c r="B1476" t="s">
        <v>1513</v>
      </c>
      <c r="C1476">
        <v>0.09</v>
      </c>
      <c r="D1476">
        <v>21.82</v>
      </c>
      <c r="E1476" t="s">
        <v>16</v>
      </c>
      <c r="F1476" t="s">
        <v>16</v>
      </c>
      <c r="H1476">
        <v>0.14</v>
      </c>
      <c r="I1476">
        <v>-10.94</v>
      </c>
      <c r="J1476">
        <v>-1.04</v>
      </c>
      <c r="L1476">
        <v>-1.01</v>
      </c>
      <c r="M1476">
        <v>18.99</v>
      </c>
      <c r="N1476">
        <v>0.02</v>
      </c>
      <c r="O1476">
        <v>1.17</v>
      </c>
    </row>
    <row r="1477" spans="1:15">
      <c r="A1477" t="str">
        <f>"003025"</f>
        <v>003025</v>
      </c>
      <c r="B1477" t="s">
        <v>1514</v>
      </c>
      <c r="C1477">
        <v>2.41</v>
      </c>
      <c r="D1477">
        <v>17</v>
      </c>
      <c r="E1477" t="s">
        <v>16</v>
      </c>
      <c r="F1477" t="s">
        <v>16</v>
      </c>
      <c r="H1477">
        <v>-0.81</v>
      </c>
      <c r="I1477">
        <v>23.19</v>
      </c>
      <c r="J1477">
        <v>-1.33</v>
      </c>
      <c r="L1477">
        <v>0</v>
      </c>
      <c r="M1477">
        <v>445.26</v>
      </c>
      <c r="N1477">
        <v>0.2</v>
      </c>
      <c r="O1477">
        <v>0.62</v>
      </c>
    </row>
    <row r="1478" spans="1:15">
      <c r="A1478" t="str">
        <f>"003026"</f>
        <v>003026</v>
      </c>
      <c r="B1478" t="s">
        <v>1515</v>
      </c>
      <c r="C1478">
        <v>3.67</v>
      </c>
      <c r="D1478">
        <v>37.86</v>
      </c>
      <c r="E1478" t="s">
        <v>16</v>
      </c>
      <c r="F1478" t="s">
        <v>16</v>
      </c>
      <c r="H1478">
        <v>-0.31</v>
      </c>
      <c r="I1478">
        <v>18.65</v>
      </c>
      <c r="J1478">
        <v>-5.59</v>
      </c>
      <c r="L1478">
        <v>-1.78</v>
      </c>
      <c r="M1478">
        <v>511.15</v>
      </c>
      <c r="N1478">
        <v>0.13</v>
      </c>
      <c r="O1478">
        <v>0.96</v>
      </c>
    </row>
    <row r="1479" spans="1:15">
      <c r="A1479" t="str">
        <f>"003027"</f>
        <v>003027</v>
      </c>
      <c r="B1479" t="s">
        <v>1516</v>
      </c>
      <c r="C1479">
        <v>-3.81</v>
      </c>
      <c r="D1479">
        <v>18.94</v>
      </c>
      <c r="E1479" t="s">
        <v>16</v>
      </c>
      <c r="F1479" t="s">
        <v>16</v>
      </c>
      <c r="H1479">
        <v>-0.04</v>
      </c>
      <c r="I1479">
        <v>-10.91</v>
      </c>
      <c r="J1479">
        <v>-3.47</v>
      </c>
      <c r="L1479">
        <v>-0.36</v>
      </c>
      <c r="M1479">
        <v>9.61</v>
      </c>
      <c r="N1479">
        <v>0.01</v>
      </c>
      <c r="O1479">
        <v>0.91</v>
      </c>
    </row>
    <row r="1480" spans="1:15">
      <c r="A1480" t="str">
        <f>"003028"</f>
        <v>003028</v>
      </c>
      <c r="B1480" t="s">
        <v>1517</v>
      </c>
      <c r="C1480">
        <v>-1.21</v>
      </c>
      <c r="D1480">
        <v>24.55</v>
      </c>
      <c r="E1480" t="s">
        <v>16</v>
      </c>
      <c r="F1480" t="s">
        <v>16</v>
      </c>
      <c r="H1480">
        <v>-0.03</v>
      </c>
      <c r="I1480">
        <v>-5.25</v>
      </c>
      <c r="J1480">
        <v>-1.6</v>
      </c>
      <c r="L1480">
        <v>0.4</v>
      </c>
      <c r="M1480">
        <v>1.25</v>
      </c>
      <c r="N1480">
        <v>0</v>
      </c>
      <c r="O1480">
        <v>0.46</v>
      </c>
    </row>
    <row r="1481" spans="1:15">
      <c r="A1481" t="str">
        <f>"003029"</f>
        <v>003029</v>
      </c>
      <c r="B1481" t="s">
        <v>1518</v>
      </c>
      <c r="C1481">
        <v>-0.69</v>
      </c>
      <c r="D1481">
        <v>17.28</v>
      </c>
      <c r="E1481" t="s">
        <v>16</v>
      </c>
      <c r="F1481" t="s">
        <v>16</v>
      </c>
      <c r="H1481">
        <v>-0.05</v>
      </c>
      <c r="I1481">
        <v>-4.95</v>
      </c>
      <c r="J1481">
        <v>-1.59</v>
      </c>
      <c r="L1481">
        <v>-0.75</v>
      </c>
      <c r="M1481">
        <v>7.94</v>
      </c>
      <c r="N1481">
        <v>0</v>
      </c>
      <c r="O1481">
        <v>0.18</v>
      </c>
    </row>
    <row r="1482" spans="1:15">
      <c r="A1482" t="str">
        <f>"003030"</f>
        <v>003030</v>
      </c>
      <c r="B1482" t="s">
        <v>1519</v>
      </c>
      <c r="C1482">
        <v>-0.04</v>
      </c>
      <c r="D1482">
        <v>22.91</v>
      </c>
      <c r="E1482" t="s">
        <v>16</v>
      </c>
      <c r="F1482" t="s">
        <v>16</v>
      </c>
      <c r="H1482">
        <v>-0.08</v>
      </c>
      <c r="I1482">
        <v>12.19</v>
      </c>
      <c r="J1482">
        <v>-0.95</v>
      </c>
      <c r="L1482">
        <v>-0.52</v>
      </c>
      <c r="M1482">
        <v>17.78</v>
      </c>
      <c r="N1482">
        <v>0.01</v>
      </c>
      <c r="O1482">
        <v>0.32</v>
      </c>
    </row>
    <row r="1483" spans="1:15">
      <c r="A1483" t="str">
        <f>"003031"</f>
        <v>003031</v>
      </c>
      <c r="B1483" t="s">
        <v>1520</v>
      </c>
      <c r="C1483">
        <v>10</v>
      </c>
      <c r="D1483">
        <v>176.29</v>
      </c>
      <c r="E1483">
        <v>3612.18</v>
      </c>
      <c r="F1483">
        <v>1</v>
      </c>
      <c r="H1483">
        <v>0</v>
      </c>
      <c r="I1483">
        <v>20.42</v>
      </c>
      <c r="J1483">
        <v>0</v>
      </c>
      <c r="K1483" t="s">
        <v>140</v>
      </c>
      <c r="L1483">
        <v>0.2</v>
      </c>
      <c r="M1483">
        <v>1765.29</v>
      </c>
      <c r="N1483">
        <v>0.07</v>
      </c>
      <c r="O1483">
        <v>1.04</v>
      </c>
    </row>
    <row r="1484" spans="1:15">
      <c r="A1484" t="str">
        <f>"003032"</f>
        <v>003032</v>
      </c>
      <c r="B1484" t="s">
        <v>1521</v>
      </c>
      <c r="C1484">
        <v>-1.93</v>
      </c>
      <c r="D1484">
        <v>6.11</v>
      </c>
      <c r="E1484" t="s">
        <v>16</v>
      </c>
      <c r="F1484" t="s">
        <v>16</v>
      </c>
      <c r="H1484">
        <v>0</v>
      </c>
      <c r="I1484">
        <v>-8.4</v>
      </c>
      <c r="J1484">
        <v>-3.02</v>
      </c>
      <c r="L1484">
        <v>1.12</v>
      </c>
      <c r="M1484">
        <v>70.43</v>
      </c>
      <c r="N1484">
        <v>0.05</v>
      </c>
      <c r="O1484">
        <v>1.69</v>
      </c>
    </row>
    <row r="1485" spans="1:15">
      <c r="A1485" t="str">
        <f>"003033"</f>
        <v>003033</v>
      </c>
      <c r="B1485" t="s">
        <v>1522</v>
      </c>
      <c r="C1485">
        <v>1.83</v>
      </c>
      <c r="D1485">
        <v>52.44</v>
      </c>
      <c r="E1485" t="s">
        <v>16</v>
      </c>
      <c r="F1485" t="s">
        <v>16</v>
      </c>
      <c r="H1485">
        <v>-0.01</v>
      </c>
      <c r="I1485">
        <v>-22.08</v>
      </c>
      <c r="J1485">
        <v>-0.96</v>
      </c>
      <c r="L1485">
        <v>-0.06</v>
      </c>
      <c r="M1485">
        <v>10.81</v>
      </c>
      <c r="N1485">
        <v>0.01</v>
      </c>
      <c r="O1485">
        <v>0.28</v>
      </c>
    </row>
    <row r="1486" spans="1:15">
      <c r="A1486" t="str">
        <f>"003035"</f>
        <v>003035</v>
      </c>
      <c r="B1486" t="s">
        <v>1523</v>
      </c>
      <c r="C1486">
        <v>-2.09</v>
      </c>
      <c r="D1486">
        <v>6.09</v>
      </c>
      <c r="E1486" t="s">
        <v>16</v>
      </c>
      <c r="F1486" t="s">
        <v>16</v>
      </c>
      <c r="H1486">
        <v>-0.15</v>
      </c>
      <c r="I1486">
        <v>-13</v>
      </c>
      <c r="J1486">
        <v>-2.72</v>
      </c>
      <c r="L1486">
        <v>-0.16</v>
      </c>
      <c r="M1486">
        <v>28.75</v>
      </c>
      <c r="N1486">
        <v>0</v>
      </c>
      <c r="O1486">
        <v>0.28</v>
      </c>
    </row>
    <row r="1487" spans="1:15">
      <c r="A1487" t="str">
        <f>"003036"</f>
        <v>003036</v>
      </c>
      <c r="B1487" t="s">
        <v>1524</v>
      </c>
      <c r="C1487">
        <v>-5.72</v>
      </c>
      <c r="D1487">
        <v>98.8</v>
      </c>
      <c r="E1487" t="s">
        <v>16</v>
      </c>
      <c r="F1487" t="s">
        <v>16</v>
      </c>
      <c r="H1487">
        <v>-0.32</v>
      </c>
      <c r="I1487">
        <v>31.98</v>
      </c>
      <c r="J1487">
        <v>-4.34</v>
      </c>
      <c r="K1487" t="s">
        <v>1525</v>
      </c>
      <c r="L1487">
        <v>-7.43</v>
      </c>
      <c r="M1487">
        <v>2182.5</v>
      </c>
      <c r="N1487">
        <v>0.38</v>
      </c>
      <c r="O1487">
        <v>1.18</v>
      </c>
    </row>
    <row r="1488" spans="1:15">
      <c r="A1488" t="str">
        <f>"003037"</f>
        <v>003037</v>
      </c>
      <c r="B1488" t="s">
        <v>1526</v>
      </c>
      <c r="C1488">
        <v>-2.81</v>
      </c>
      <c r="D1488">
        <v>5.88</v>
      </c>
      <c r="E1488" t="s">
        <v>16</v>
      </c>
      <c r="F1488" t="s">
        <v>16</v>
      </c>
      <c r="H1488">
        <v>0.17</v>
      </c>
      <c r="I1488">
        <v>-13.02</v>
      </c>
      <c r="J1488">
        <v>-2.97</v>
      </c>
      <c r="L1488">
        <v>-0.66</v>
      </c>
      <c r="M1488">
        <v>6.73</v>
      </c>
      <c r="N1488">
        <v>0.01</v>
      </c>
      <c r="O1488">
        <v>2.73</v>
      </c>
    </row>
    <row r="1489" spans="1:15">
      <c r="A1489" t="str">
        <f>"003038"</f>
        <v>003038</v>
      </c>
      <c r="B1489" t="s">
        <v>1527</v>
      </c>
      <c r="C1489">
        <v>-1.32</v>
      </c>
      <c r="D1489">
        <v>11.96</v>
      </c>
      <c r="E1489" t="s">
        <v>16</v>
      </c>
      <c r="F1489" t="s">
        <v>16</v>
      </c>
      <c r="H1489">
        <v>-0.16</v>
      </c>
      <c r="I1489">
        <v>-0.5</v>
      </c>
      <c r="J1489">
        <v>-2.13</v>
      </c>
      <c r="L1489">
        <v>-0.17</v>
      </c>
      <c r="M1489">
        <v>1.94</v>
      </c>
      <c r="N1489">
        <v>0</v>
      </c>
      <c r="O1489">
        <v>0.53</v>
      </c>
    </row>
    <row r="1490" spans="1:15">
      <c r="A1490" t="str">
        <f>"003039"</f>
        <v>003039</v>
      </c>
      <c r="B1490" t="s">
        <v>1528</v>
      </c>
      <c r="C1490">
        <v>-0.98</v>
      </c>
      <c r="D1490">
        <v>12.18</v>
      </c>
      <c r="E1490" t="s">
        <v>16</v>
      </c>
      <c r="F1490" t="s">
        <v>16</v>
      </c>
      <c r="H1490">
        <v>0.33</v>
      </c>
      <c r="I1490">
        <v>-2.56</v>
      </c>
      <c r="J1490">
        <v>-0.9</v>
      </c>
      <c r="L1490">
        <v>-0.08</v>
      </c>
      <c r="M1490">
        <v>2.7</v>
      </c>
      <c r="N1490">
        <v>0</v>
      </c>
      <c r="O1490">
        <v>0.63</v>
      </c>
    </row>
    <row r="1491" spans="1:15">
      <c r="A1491" t="str">
        <f>"003040"</f>
        <v>003040</v>
      </c>
      <c r="B1491" t="s">
        <v>1529</v>
      </c>
      <c r="C1491">
        <v>-2.9</v>
      </c>
      <c r="D1491">
        <v>11.73</v>
      </c>
      <c r="E1491" t="s">
        <v>16</v>
      </c>
      <c r="F1491" t="s">
        <v>16</v>
      </c>
      <c r="H1491">
        <v>0</v>
      </c>
      <c r="I1491">
        <v>-7.49</v>
      </c>
      <c r="J1491">
        <v>-2.49</v>
      </c>
      <c r="L1491">
        <v>-1.57</v>
      </c>
      <c r="M1491">
        <v>61.35</v>
      </c>
      <c r="N1491">
        <v>0.02</v>
      </c>
      <c r="O1491">
        <v>1.72</v>
      </c>
    </row>
    <row r="1492" spans="1:15">
      <c r="A1492" t="str">
        <f>"003041"</f>
        <v>003041</v>
      </c>
      <c r="B1492" t="s">
        <v>1530</v>
      </c>
      <c r="C1492">
        <v>-0.15</v>
      </c>
      <c r="D1492">
        <v>45.38</v>
      </c>
      <c r="E1492" t="s">
        <v>16</v>
      </c>
      <c r="F1492" t="s">
        <v>16</v>
      </c>
      <c r="H1492">
        <v>-0.06</v>
      </c>
      <c r="I1492">
        <v>-5.6</v>
      </c>
      <c r="J1492">
        <v>-2.51</v>
      </c>
      <c r="L1492">
        <v>-0.11</v>
      </c>
      <c r="M1492">
        <v>10.9</v>
      </c>
      <c r="N1492">
        <v>0.01</v>
      </c>
      <c r="O1492">
        <v>0.92</v>
      </c>
    </row>
    <row r="1493" spans="1:15">
      <c r="A1493" t="str">
        <f>"003042"</f>
        <v>003042</v>
      </c>
      <c r="B1493" t="s">
        <v>1531</v>
      </c>
      <c r="C1493">
        <v>-0.61</v>
      </c>
      <c r="D1493">
        <v>13.02</v>
      </c>
      <c r="E1493" t="s">
        <v>16</v>
      </c>
      <c r="F1493" t="s">
        <v>16</v>
      </c>
      <c r="H1493">
        <v>0.23</v>
      </c>
      <c r="I1493">
        <v>-11.07</v>
      </c>
      <c r="J1493">
        <v>-1.14</v>
      </c>
      <c r="L1493">
        <v>-0.69</v>
      </c>
      <c r="M1493">
        <v>20.3</v>
      </c>
      <c r="N1493">
        <v>0.02</v>
      </c>
      <c r="O1493">
        <v>2.2</v>
      </c>
    </row>
    <row r="1494" spans="1:15">
      <c r="A1494" t="str">
        <f>"003043"</f>
        <v>003043</v>
      </c>
      <c r="B1494" t="s">
        <v>1532</v>
      </c>
      <c r="C1494">
        <v>1.51</v>
      </c>
      <c r="D1494">
        <v>82.21</v>
      </c>
      <c r="E1494" t="s">
        <v>16</v>
      </c>
      <c r="F1494" t="s">
        <v>16</v>
      </c>
      <c r="H1494">
        <v>-0.04</v>
      </c>
      <c r="I1494">
        <v>22.12</v>
      </c>
      <c r="J1494">
        <v>-1.44</v>
      </c>
      <c r="L1494">
        <v>-1.43</v>
      </c>
      <c r="M1494">
        <v>187.97</v>
      </c>
      <c r="N1494">
        <v>0.04</v>
      </c>
      <c r="O1494">
        <v>0.32</v>
      </c>
    </row>
    <row r="1495" spans="1:15">
      <c r="A1495" t="str">
        <f>"003816"</f>
        <v>003816</v>
      </c>
      <c r="B1495" t="s">
        <v>1533</v>
      </c>
      <c r="C1495">
        <v>-2.63</v>
      </c>
      <c r="D1495">
        <v>4.08</v>
      </c>
      <c r="E1495" t="s">
        <v>16</v>
      </c>
      <c r="F1495" t="s">
        <v>16</v>
      </c>
      <c r="H1495">
        <v>-0.23</v>
      </c>
      <c r="I1495">
        <v>-9.53</v>
      </c>
      <c r="J1495">
        <v>-3.32</v>
      </c>
      <c r="L1495">
        <v>-0.24</v>
      </c>
      <c r="M1495">
        <v>146.93</v>
      </c>
      <c r="N1495">
        <v>0.01</v>
      </c>
      <c r="O1495">
        <v>0.98</v>
      </c>
    </row>
    <row r="1496" spans="1:15">
      <c r="A1496" t="str">
        <f>"300001"</f>
        <v>300001</v>
      </c>
      <c r="B1496" t="s">
        <v>1534</v>
      </c>
      <c r="C1496">
        <v>3.58</v>
      </c>
      <c r="D1496">
        <v>40.21</v>
      </c>
      <c r="E1496" t="s">
        <v>16</v>
      </c>
      <c r="F1496" t="s">
        <v>16</v>
      </c>
      <c r="H1496">
        <v>-0.11</v>
      </c>
      <c r="I1496">
        <v>-1.9</v>
      </c>
      <c r="J1496">
        <v>-3.34</v>
      </c>
      <c r="L1496">
        <v>-1.06</v>
      </c>
      <c r="M1496">
        <v>358.8</v>
      </c>
      <c r="N1496">
        <v>0.01</v>
      </c>
      <c r="O1496">
        <v>0.77</v>
      </c>
    </row>
    <row r="1497" spans="1:15">
      <c r="A1497" t="str">
        <f>"300002"</f>
        <v>300002</v>
      </c>
      <c r="B1497" t="s">
        <v>1535</v>
      </c>
      <c r="C1497">
        <v>-0.68</v>
      </c>
      <c r="D1497">
        <v>7.28</v>
      </c>
      <c r="E1497" t="s">
        <v>16</v>
      </c>
      <c r="F1497" t="s">
        <v>16</v>
      </c>
      <c r="H1497">
        <v>-0.13</v>
      </c>
      <c r="I1497">
        <v>-4.46</v>
      </c>
      <c r="J1497">
        <v>-1.89</v>
      </c>
      <c r="L1497">
        <v>0</v>
      </c>
      <c r="M1497">
        <v>37.38</v>
      </c>
      <c r="N1497">
        <v>0</v>
      </c>
      <c r="O1497">
        <v>0.26</v>
      </c>
    </row>
    <row r="1498" spans="1:15">
      <c r="A1498" t="str">
        <f>"300003"</f>
        <v>300003</v>
      </c>
      <c r="B1498" t="s">
        <v>1536</v>
      </c>
      <c r="C1498">
        <v>1.03</v>
      </c>
      <c r="D1498">
        <v>11.82</v>
      </c>
      <c r="E1498" t="s">
        <v>16</v>
      </c>
      <c r="F1498" t="s">
        <v>16</v>
      </c>
      <c r="H1498">
        <v>0</v>
      </c>
      <c r="I1498">
        <v>-2.8</v>
      </c>
      <c r="J1498">
        <v>-1.75</v>
      </c>
      <c r="L1498">
        <v>0.43</v>
      </c>
      <c r="M1498">
        <v>49.82</v>
      </c>
      <c r="N1498">
        <v>0</v>
      </c>
      <c r="O1498">
        <v>1.33</v>
      </c>
    </row>
    <row r="1499" spans="1:15">
      <c r="A1499" t="str">
        <f>"300004"</f>
        <v>300004</v>
      </c>
      <c r="B1499" t="s">
        <v>1537</v>
      </c>
      <c r="C1499">
        <v>1.65</v>
      </c>
      <c r="D1499">
        <v>12.3</v>
      </c>
      <c r="E1499" t="s">
        <v>16</v>
      </c>
      <c r="F1499" t="s">
        <v>16</v>
      </c>
      <c r="H1499">
        <v>-0.07</v>
      </c>
      <c r="I1499">
        <v>-9.89</v>
      </c>
      <c r="J1499">
        <v>-3.07</v>
      </c>
      <c r="L1499">
        <v>-0.66</v>
      </c>
      <c r="M1499">
        <v>16.83</v>
      </c>
      <c r="N1499">
        <v>0</v>
      </c>
      <c r="O1499">
        <v>0.6</v>
      </c>
    </row>
    <row r="1500" spans="1:15">
      <c r="A1500" t="str">
        <f>"300005"</f>
        <v>300005</v>
      </c>
      <c r="B1500" t="s">
        <v>1538</v>
      </c>
      <c r="C1500">
        <v>-1.9</v>
      </c>
      <c r="D1500">
        <v>17.06</v>
      </c>
      <c r="E1500" t="s">
        <v>16</v>
      </c>
      <c r="F1500" t="s">
        <v>16</v>
      </c>
      <c r="H1500">
        <v>-0.22</v>
      </c>
      <c r="I1500">
        <v>16.93</v>
      </c>
      <c r="J1500">
        <v>-2.79</v>
      </c>
      <c r="L1500">
        <v>0.06</v>
      </c>
      <c r="M1500">
        <v>295.1</v>
      </c>
      <c r="N1500">
        <v>0.02</v>
      </c>
      <c r="O1500">
        <v>0.41</v>
      </c>
    </row>
    <row r="1501" spans="1:15">
      <c r="A1501" t="str">
        <f>"300006"</f>
        <v>300006</v>
      </c>
      <c r="B1501" t="s">
        <v>1539</v>
      </c>
      <c r="C1501">
        <v>-1.01</v>
      </c>
      <c r="D1501">
        <v>4.92</v>
      </c>
      <c r="E1501" t="s">
        <v>16</v>
      </c>
      <c r="F1501" t="s">
        <v>16</v>
      </c>
      <c r="H1501">
        <v>-0.19</v>
      </c>
      <c r="I1501">
        <v>-4.65</v>
      </c>
      <c r="J1501">
        <v>-3.15</v>
      </c>
      <c r="L1501">
        <v>-0.4</v>
      </c>
      <c r="M1501">
        <v>17.23</v>
      </c>
      <c r="N1501">
        <v>0.01</v>
      </c>
      <c r="O1501">
        <v>2.32</v>
      </c>
    </row>
    <row r="1502" spans="1:15">
      <c r="A1502" t="str">
        <f>"300007"</f>
        <v>300007</v>
      </c>
      <c r="B1502" t="s">
        <v>1540</v>
      </c>
      <c r="C1502">
        <v>2.25</v>
      </c>
      <c r="D1502">
        <v>39.93</v>
      </c>
      <c r="E1502" t="s">
        <v>16</v>
      </c>
      <c r="F1502" t="s">
        <v>16</v>
      </c>
      <c r="H1502">
        <v>0.05</v>
      </c>
      <c r="I1502">
        <v>-3.5</v>
      </c>
      <c r="J1502">
        <v>-0.57</v>
      </c>
      <c r="L1502">
        <v>-0.85</v>
      </c>
      <c r="M1502">
        <v>156.43</v>
      </c>
      <c r="N1502">
        <v>0.02</v>
      </c>
      <c r="O1502">
        <v>2.77</v>
      </c>
    </row>
    <row r="1503" spans="1:15">
      <c r="A1503" t="str">
        <f>"300008"</f>
        <v>300008</v>
      </c>
      <c r="B1503" t="s">
        <v>1541</v>
      </c>
      <c r="C1503">
        <v>-3.48</v>
      </c>
      <c r="D1503">
        <v>6.65</v>
      </c>
      <c r="E1503" t="s">
        <v>16</v>
      </c>
      <c r="F1503" t="s">
        <v>16</v>
      </c>
      <c r="H1503">
        <v>-0.14</v>
      </c>
      <c r="I1503">
        <v>2.78</v>
      </c>
      <c r="J1503">
        <v>-2.64</v>
      </c>
      <c r="L1503">
        <v>-0.87</v>
      </c>
      <c r="M1503">
        <v>87.08</v>
      </c>
      <c r="N1503">
        <v>0.01</v>
      </c>
      <c r="O1503">
        <v>0.67</v>
      </c>
    </row>
    <row r="1504" spans="1:15">
      <c r="A1504" t="str">
        <f>"300009"</f>
        <v>300009</v>
      </c>
      <c r="B1504" t="s">
        <v>1542</v>
      </c>
      <c r="C1504">
        <v>0.13</v>
      </c>
      <c r="D1504">
        <v>7.67</v>
      </c>
      <c r="E1504" t="s">
        <v>16</v>
      </c>
      <c r="F1504" t="s">
        <v>16</v>
      </c>
      <c r="H1504">
        <v>-0.12</v>
      </c>
      <c r="I1504">
        <v>-3.03</v>
      </c>
      <c r="J1504">
        <v>-1.54</v>
      </c>
      <c r="L1504">
        <v>-0.39</v>
      </c>
      <c r="M1504">
        <v>7.1</v>
      </c>
      <c r="N1504">
        <v>0</v>
      </c>
      <c r="O1504">
        <v>0.73</v>
      </c>
    </row>
    <row r="1505" spans="1:15">
      <c r="A1505" t="str">
        <f>"300010"</f>
        <v>300010</v>
      </c>
      <c r="B1505" t="s">
        <v>1543</v>
      </c>
      <c r="C1505">
        <v>-2.4</v>
      </c>
      <c r="D1505">
        <v>2.44</v>
      </c>
      <c r="E1505" t="s">
        <v>16</v>
      </c>
      <c r="F1505" t="s">
        <v>16</v>
      </c>
      <c r="H1505">
        <v>0</v>
      </c>
      <c r="I1505">
        <v>-10.95</v>
      </c>
      <c r="J1505">
        <v>-4.31</v>
      </c>
      <c r="L1505">
        <v>-0.8</v>
      </c>
      <c r="M1505">
        <v>68.82</v>
      </c>
      <c r="N1505">
        <v>0.02</v>
      </c>
      <c r="O1505">
        <v>0.55</v>
      </c>
    </row>
    <row r="1506" spans="1:15">
      <c r="A1506" t="str">
        <f>"300011"</f>
        <v>300011</v>
      </c>
      <c r="B1506" t="s">
        <v>1544</v>
      </c>
      <c r="C1506">
        <v>-5.25</v>
      </c>
      <c r="D1506">
        <v>5.96</v>
      </c>
      <c r="E1506" t="s">
        <v>16</v>
      </c>
      <c r="F1506" t="s">
        <v>16</v>
      </c>
      <c r="H1506">
        <v>-0.16</v>
      </c>
      <c r="I1506">
        <v>-3.56</v>
      </c>
      <c r="J1506">
        <v>-8.02</v>
      </c>
      <c r="L1506">
        <v>-0.48</v>
      </c>
      <c r="M1506">
        <v>302.8</v>
      </c>
      <c r="N1506">
        <v>0.13</v>
      </c>
      <c r="O1506">
        <v>16.12</v>
      </c>
    </row>
    <row r="1507" spans="1:15">
      <c r="A1507" t="str">
        <f>"300012"</f>
        <v>300012</v>
      </c>
      <c r="B1507" t="s">
        <v>1545</v>
      </c>
      <c r="C1507">
        <v>3.45</v>
      </c>
      <c r="D1507">
        <v>14.38</v>
      </c>
      <c r="E1507" t="s">
        <v>16</v>
      </c>
      <c r="F1507" t="s">
        <v>16</v>
      </c>
      <c r="H1507">
        <v>0.07</v>
      </c>
      <c r="I1507">
        <v>1.13</v>
      </c>
      <c r="J1507">
        <v>-0.69</v>
      </c>
      <c r="L1507">
        <v>0.5</v>
      </c>
      <c r="M1507">
        <v>105.75</v>
      </c>
      <c r="N1507">
        <v>0.01</v>
      </c>
      <c r="O1507">
        <v>0.96</v>
      </c>
    </row>
    <row r="1508" spans="1:15">
      <c r="A1508" t="str">
        <f>"300013"</f>
        <v>300013</v>
      </c>
      <c r="B1508" t="s">
        <v>1546</v>
      </c>
      <c r="C1508">
        <v>5.12</v>
      </c>
      <c r="D1508">
        <v>4.11</v>
      </c>
      <c r="E1508" t="s">
        <v>16</v>
      </c>
      <c r="F1508" t="s">
        <v>16</v>
      </c>
      <c r="H1508">
        <v>-0.47</v>
      </c>
      <c r="I1508">
        <v>-8.87</v>
      </c>
      <c r="J1508">
        <v>-0.96</v>
      </c>
      <c r="L1508">
        <v>-0.26</v>
      </c>
      <c r="M1508">
        <v>10.92</v>
      </c>
      <c r="N1508">
        <v>0.01</v>
      </c>
      <c r="O1508">
        <v>0.68</v>
      </c>
    </row>
    <row r="1509" spans="1:15">
      <c r="A1509" t="str">
        <f>"300014"</f>
        <v>300014</v>
      </c>
      <c r="B1509" t="s">
        <v>1547</v>
      </c>
      <c r="C1509">
        <v>-1.3</v>
      </c>
      <c r="D1509">
        <v>66.66</v>
      </c>
      <c r="E1509" t="s">
        <v>16</v>
      </c>
      <c r="F1509" t="s">
        <v>16</v>
      </c>
      <c r="H1509">
        <v>0.06</v>
      </c>
      <c r="I1509">
        <v>11.73</v>
      </c>
      <c r="J1509">
        <v>-3.11</v>
      </c>
      <c r="L1509">
        <v>-1.35</v>
      </c>
      <c r="M1509">
        <v>6026.02</v>
      </c>
      <c r="N1509">
        <v>0.07</v>
      </c>
      <c r="O1509">
        <v>0.36</v>
      </c>
    </row>
    <row r="1510" spans="1:15">
      <c r="A1510" t="str">
        <f>"300015"</f>
        <v>300015</v>
      </c>
      <c r="B1510" t="s">
        <v>1548</v>
      </c>
      <c r="C1510">
        <v>-0.36</v>
      </c>
      <c r="D1510">
        <v>8.27</v>
      </c>
      <c r="E1510" t="s">
        <v>16</v>
      </c>
      <c r="F1510" t="s">
        <v>16</v>
      </c>
      <c r="H1510">
        <v>0.24</v>
      </c>
      <c r="I1510">
        <v>-2.71</v>
      </c>
      <c r="J1510">
        <v>-1.31</v>
      </c>
      <c r="L1510">
        <v>-0.48</v>
      </c>
      <c r="M1510">
        <v>110.94</v>
      </c>
      <c r="N1510">
        <v>0</v>
      </c>
      <c r="O1510">
        <v>0.71</v>
      </c>
    </row>
    <row r="1511" spans="1:15">
      <c r="A1511" t="str">
        <f>"300016"</f>
        <v>300016</v>
      </c>
      <c r="B1511" t="s">
        <v>1549</v>
      </c>
      <c r="C1511">
        <v>1.46</v>
      </c>
      <c r="D1511">
        <v>7.66</v>
      </c>
      <c r="E1511" t="s">
        <v>16</v>
      </c>
      <c r="F1511" t="s">
        <v>16</v>
      </c>
      <c r="H1511">
        <v>0</v>
      </c>
      <c r="I1511">
        <v>-3.28</v>
      </c>
      <c r="J1511">
        <v>-1.42</v>
      </c>
      <c r="L1511">
        <v>-0.4</v>
      </c>
      <c r="M1511">
        <v>3.84</v>
      </c>
      <c r="N1511">
        <v>0</v>
      </c>
      <c r="O1511">
        <v>0.27</v>
      </c>
    </row>
    <row r="1512" spans="1:15">
      <c r="A1512" t="str">
        <f>"300017"</f>
        <v>300017</v>
      </c>
      <c r="B1512" t="s">
        <v>1550</v>
      </c>
      <c r="C1512">
        <v>3.48</v>
      </c>
      <c r="D1512">
        <v>14.88</v>
      </c>
      <c r="E1512" t="s">
        <v>16</v>
      </c>
      <c r="F1512" t="s">
        <v>16</v>
      </c>
      <c r="H1512">
        <v>-0.19</v>
      </c>
      <c r="I1512">
        <v>-2.3</v>
      </c>
      <c r="J1512">
        <v>-1.39</v>
      </c>
      <c r="L1512">
        <v>0.63</v>
      </c>
      <c r="M1512">
        <v>830</v>
      </c>
      <c r="N1512">
        <v>0.03</v>
      </c>
      <c r="O1512">
        <v>3.66</v>
      </c>
    </row>
    <row r="1513" spans="1:15">
      <c r="A1513" t="str">
        <f>"300018"</f>
        <v>300018</v>
      </c>
      <c r="B1513" t="s">
        <v>1551</v>
      </c>
      <c r="C1513">
        <v>1.95</v>
      </c>
      <c r="D1513">
        <v>12.54</v>
      </c>
      <c r="E1513" t="s">
        <v>16</v>
      </c>
      <c r="F1513" t="s">
        <v>16</v>
      </c>
      <c r="H1513">
        <v>0.16</v>
      </c>
      <c r="I1513">
        <v>1.46</v>
      </c>
      <c r="J1513">
        <v>-0.87</v>
      </c>
      <c r="L1513">
        <v>0.24</v>
      </c>
      <c r="M1513">
        <v>33.41</v>
      </c>
      <c r="N1513">
        <v>0.01</v>
      </c>
      <c r="O1513">
        <v>0.87</v>
      </c>
    </row>
    <row r="1514" spans="1:15">
      <c r="A1514" t="str">
        <f>"300019"</f>
        <v>300019</v>
      </c>
      <c r="B1514" t="s">
        <v>1552</v>
      </c>
      <c r="C1514">
        <v>-4.03</v>
      </c>
      <c r="D1514">
        <v>18.1</v>
      </c>
      <c r="E1514" t="s">
        <v>16</v>
      </c>
      <c r="F1514" t="s">
        <v>16</v>
      </c>
      <c r="H1514">
        <v>-0.16</v>
      </c>
      <c r="I1514">
        <v>6.03</v>
      </c>
      <c r="J1514">
        <v>-2.69</v>
      </c>
      <c r="L1514">
        <v>-1.91</v>
      </c>
      <c r="M1514">
        <v>165.58</v>
      </c>
      <c r="N1514">
        <v>0.04</v>
      </c>
      <c r="O1514">
        <v>0.87</v>
      </c>
    </row>
    <row r="1515" spans="1:15">
      <c r="A1515" t="str">
        <f>"300020"</f>
        <v>300020</v>
      </c>
      <c r="B1515" t="s">
        <v>1553</v>
      </c>
      <c r="C1515">
        <v>-1.79</v>
      </c>
      <c r="D1515">
        <v>3.3</v>
      </c>
      <c r="E1515" t="s">
        <v>16</v>
      </c>
      <c r="F1515" t="s">
        <v>16</v>
      </c>
      <c r="H1515">
        <v>0</v>
      </c>
      <c r="I1515">
        <v>-5.17</v>
      </c>
      <c r="J1515">
        <v>-1.79</v>
      </c>
      <c r="L1515">
        <v>-0.3</v>
      </c>
      <c r="M1515">
        <v>0.03</v>
      </c>
      <c r="N1515">
        <v>0</v>
      </c>
      <c r="O1515">
        <v>0</v>
      </c>
    </row>
    <row r="1516" spans="1:15">
      <c r="A1516" t="str">
        <f>"300021"</f>
        <v>300021</v>
      </c>
      <c r="B1516" t="s">
        <v>1554</v>
      </c>
      <c r="C1516">
        <v>-0.81</v>
      </c>
      <c r="D1516">
        <v>3.68</v>
      </c>
      <c r="E1516" t="s">
        <v>16</v>
      </c>
      <c r="F1516" t="s">
        <v>16</v>
      </c>
      <c r="H1516">
        <v>0</v>
      </c>
      <c r="I1516">
        <v>-6.36</v>
      </c>
      <c r="J1516">
        <v>-0.81</v>
      </c>
      <c r="L1516">
        <v>-0.81</v>
      </c>
      <c r="M1516">
        <v>9.46</v>
      </c>
      <c r="N1516">
        <v>0</v>
      </c>
      <c r="O1516">
        <v>4.59</v>
      </c>
    </row>
    <row r="1517" spans="1:15">
      <c r="A1517" t="str">
        <f>"300022"</f>
        <v>300022</v>
      </c>
      <c r="B1517" t="s">
        <v>1555</v>
      </c>
      <c r="C1517">
        <v>-1.2</v>
      </c>
      <c r="D1517">
        <v>7.44</v>
      </c>
      <c r="E1517" t="s">
        <v>16</v>
      </c>
      <c r="F1517" t="s">
        <v>16</v>
      </c>
      <c r="H1517">
        <v>-0.12</v>
      </c>
      <c r="I1517">
        <v>-10.04</v>
      </c>
      <c r="J1517">
        <v>-1.59</v>
      </c>
      <c r="L1517">
        <v>0.13</v>
      </c>
      <c r="M1517">
        <v>0.15</v>
      </c>
      <c r="N1517">
        <v>0</v>
      </c>
      <c r="O1517">
        <v>0.06</v>
      </c>
    </row>
    <row r="1518" spans="1:15">
      <c r="A1518" t="str">
        <f>"300024"</f>
        <v>300024</v>
      </c>
      <c r="B1518" t="s">
        <v>1556</v>
      </c>
      <c r="C1518">
        <v>3.96</v>
      </c>
      <c r="D1518">
        <v>17.85</v>
      </c>
      <c r="E1518" t="s">
        <v>16</v>
      </c>
      <c r="F1518" t="s">
        <v>16</v>
      </c>
      <c r="H1518">
        <v>0</v>
      </c>
      <c r="I1518">
        <v>18.53</v>
      </c>
      <c r="J1518">
        <v>-1.44</v>
      </c>
      <c r="L1518">
        <v>2.5</v>
      </c>
      <c r="M1518">
        <v>1445.62</v>
      </c>
      <c r="N1518">
        <v>0.07</v>
      </c>
      <c r="O1518">
        <v>0.88</v>
      </c>
    </row>
    <row r="1519" spans="1:15">
      <c r="A1519" t="str">
        <f>"300025"</f>
        <v>300025</v>
      </c>
      <c r="B1519" t="s">
        <v>1557</v>
      </c>
      <c r="C1519">
        <v>-0.44</v>
      </c>
      <c r="D1519">
        <v>4.52</v>
      </c>
      <c r="E1519" t="s">
        <v>16</v>
      </c>
      <c r="F1519" t="s">
        <v>16</v>
      </c>
      <c r="H1519">
        <v>0</v>
      </c>
      <c r="I1519">
        <v>-6.03</v>
      </c>
      <c r="J1519">
        <v>-1.95</v>
      </c>
      <c r="L1519">
        <v>-0.66</v>
      </c>
      <c r="M1519">
        <v>11.05</v>
      </c>
      <c r="N1519">
        <v>0.01</v>
      </c>
      <c r="O1519">
        <v>0.94</v>
      </c>
    </row>
    <row r="1520" spans="1:15">
      <c r="A1520" t="str">
        <f>"300026"</f>
        <v>300026</v>
      </c>
      <c r="B1520" t="s">
        <v>1558</v>
      </c>
      <c r="C1520">
        <v>0.33</v>
      </c>
      <c r="D1520">
        <v>3.02</v>
      </c>
      <c r="E1520" t="s">
        <v>16</v>
      </c>
      <c r="F1520" t="s">
        <v>16</v>
      </c>
      <c r="H1520">
        <v>0</v>
      </c>
      <c r="I1520">
        <v>-3.51</v>
      </c>
      <c r="J1520">
        <v>-0.98</v>
      </c>
      <c r="L1520">
        <v>0</v>
      </c>
      <c r="M1520">
        <v>14.12</v>
      </c>
      <c r="N1520">
        <v>0</v>
      </c>
      <c r="O1520">
        <v>0.89</v>
      </c>
    </row>
    <row r="1521" spans="1:15">
      <c r="A1521" t="str">
        <f>"300027"</f>
        <v>300027</v>
      </c>
      <c r="B1521" t="s">
        <v>1559</v>
      </c>
      <c r="C1521">
        <v>-1.69</v>
      </c>
      <c r="D1521">
        <v>1.75</v>
      </c>
      <c r="E1521" t="s">
        <v>16</v>
      </c>
      <c r="F1521" t="s">
        <v>16</v>
      </c>
      <c r="H1521">
        <v>-0.56</v>
      </c>
      <c r="I1521">
        <v>-8.38</v>
      </c>
      <c r="J1521">
        <v>-1.69</v>
      </c>
      <c r="L1521">
        <v>-0.56</v>
      </c>
      <c r="M1521">
        <v>82.11</v>
      </c>
      <c r="N1521">
        <v>0.02</v>
      </c>
      <c r="O1521">
        <v>2.36</v>
      </c>
    </row>
    <row r="1522" spans="1:15">
      <c r="A1522" t="str">
        <f>"300030"</f>
        <v>300030</v>
      </c>
      <c r="B1522" t="s">
        <v>1560</v>
      </c>
      <c r="C1522">
        <v>-0.16</v>
      </c>
      <c r="D1522">
        <v>6.22</v>
      </c>
      <c r="E1522" t="s">
        <v>16</v>
      </c>
      <c r="F1522" t="s">
        <v>16</v>
      </c>
      <c r="H1522">
        <v>-0.15</v>
      </c>
      <c r="I1522">
        <v>-6.33</v>
      </c>
      <c r="J1522">
        <v>-1.74</v>
      </c>
      <c r="L1522">
        <v>-0.64</v>
      </c>
      <c r="M1522">
        <v>12.07</v>
      </c>
      <c r="N1522">
        <v>0.01</v>
      </c>
      <c r="O1522">
        <v>0.41</v>
      </c>
    </row>
    <row r="1523" spans="1:15">
      <c r="A1523" t="str">
        <f>"300031"</f>
        <v>300031</v>
      </c>
      <c r="B1523" t="s">
        <v>1561</v>
      </c>
      <c r="C1523">
        <v>8.74</v>
      </c>
      <c r="D1523">
        <v>30.62</v>
      </c>
      <c r="E1523" t="s">
        <v>16</v>
      </c>
      <c r="F1523" t="s">
        <v>16</v>
      </c>
      <c r="H1523">
        <v>-0.19</v>
      </c>
      <c r="I1523">
        <v>28.82</v>
      </c>
      <c r="J1523">
        <v>-3.1</v>
      </c>
      <c r="L1523">
        <v>0.53</v>
      </c>
      <c r="M1523">
        <v>672.65</v>
      </c>
      <c r="N1523">
        <v>0.07</v>
      </c>
      <c r="O1523">
        <v>4.38</v>
      </c>
    </row>
    <row r="1524" spans="1:15">
      <c r="A1524" t="str">
        <f>"300032"</f>
        <v>300032</v>
      </c>
      <c r="B1524" t="s">
        <v>1562</v>
      </c>
      <c r="C1524">
        <v>-2.64</v>
      </c>
      <c r="D1524">
        <v>4.06</v>
      </c>
      <c r="E1524" t="s">
        <v>16</v>
      </c>
      <c r="F1524" t="s">
        <v>16</v>
      </c>
      <c r="H1524">
        <v>0</v>
      </c>
      <c r="I1524">
        <v>-7.31</v>
      </c>
      <c r="J1524">
        <v>-2.87</v>
      </c>
      <c r="L1524">
        <v>-0.72</v>
      </c>
      <c r="M1524">
        <v>35.98</v>
      </c>
      <c r="N1524">
        <v>0.01</v>
      </c>
      <c r="O1524">
        <v>1.07</v>
      </c>
    </row>
    <row r="1525" spans="1:15">
      <c r="A1525" t="str">
        <f>"300033"</f>
        <v>300033</v>
      </c>
      <c r="B1525" t="s">
        <v>1563</v>
      </c>
      <c r="C1525">
        <v>-1.22</v>
      </c>
      <c r="D1525">
        <v>214.69</v>
      </c>
      <c r="E1525" t="s">
        <v>16</v>
      </c>
      <c r="F1525" t="s">
        <v>16</v>
      </c>
      <c r="H1525">
        <v>-0.09</v>
      </c>
      <c r="I1525">
        <v>-2.94</v>
      </c>
      <c r="J1525">
        <v>-1.97</v>
      </c>
      <c r="L1525">
        <v>0.02</v>
      </c>
      <c r="M1525">
        <v>743.07</v>
      </c>
      <c r="N1525">
        <v>0.01</v>
      </c>
      <c r="O1525">
        <v>0.94</v>
      </c>
    </row>
    <row r="1526" spans="1:15">
      <c r="A1526" t="str">
        <f>"300034"</f>
        <v>300034</v>
      </c>
      <c r="B1526" t="s">
        <v>1564</v>
      </c>
      <c r="C1526">
        <v>3.37</v>
      </c>
      <c r="D1526">
        <v>18.7</v>
      </c>
      <c r="E1526" t="s">
        <v>16</v>
      </c>
      <c r="F1526" t="s">
        <v>16</v>
      </c>
      <c r="H1526">
        <v>-0.1</v>
      </c>
      <c r="I1526">
        <v>5.29</v>
      </c>
      <c r="J1526">
        <v>-1.37</v>
      </c>
      <c r="L1526">
        <v>-0.33</v>
      </c>
      <c r="M1526">
        <v>53.91</v>
      </c>
      <c r="N1526">
        <v>0.01</v>
      </c>
      <c r="O1526">
        <v>1.05</v>
      </c>
    </row>
    <row r="1527" spans="1:15">
      <c r="A1527" t="str">
        <f>"300035"</f>
        <v>300035</v>
      </c>
      <c r="B1527" t="s">
        <v>1565</v>
      </c>
      <c r="C1527">
        <v>-1.75</v>
      </c>
      <c r="D1527">
        <v>17.37</v>
      </c>
      <c r="E1527" t="s">
        <v>16</v>
      </c>
      <c r="F1527" t="s">
        <v>16</v>
      </c>
      <c r="H1527">
        <v>0</v>
      </c>
      <c r="I1527">
        <v>8.43</v>
      </c>
      <c r="J1527">
        <v>-3.07</v>
      </c>
      <c r="L1527">
        <v>-0.57</v>
      </c>
      <c r="M1527">
        <v>93.53</v>
      </c>
      <c r="N1527">
        <v>0.01</v>
      </c>
      <c r="O1527">
        <v>0.41</v>
      </c>
    </row>
    <row r="1528" spans="1:15">
      <c r="A1528" t="str">
        <f>"300036"</f>
        <v>300036</v>
      </c>
      <c r="B1528" t="s">
        <v>1566</v>
      </c>
      <c r="C1528">
        <v>-3.04</v>
      </c>
      <c r="D1528">
        <v>12.12</v>
      </c>
      <c r="E1528" t="s">
        <v>16</v>
      </c>
      <c r="F1528" t="s">
        <v>16</v>
      </c>
      <c r="H1528">
        <v>-0.15</v>
      </c>
      <c r="I1528">
        <v>-1.86</v>
      </c>
      <c r="J1528">
        <v>-3.89</v>
      </c>
      <c r="L1528">
        <v>-0.56</v>
      </c>
      <c r="M1528">
        <v>116.59</v>
      </c>
      <c r="N1528">
        <v>0.02</v>
      </c>
      <c r="O1528">
        <v>5.13</v>
      </c>
    </row>
    <row r="1529" spans="1:15">
      <c r="A1529" t="str">
        <f>"300037"</f>
        <v>300037</v>
      </c>
      <c r="B1529" t="s">
        <v>1567</v>
      </c>
      <c r="C1529">
        <v>-3.17</v>
      </c>
      <c r="D1529">
        <v>83.29</v>
      </c>
      <c r="E1529" t="s">
        <v>16</v>
      </c>
      <c r="F1529" t="s">
        <v>16</v>
      </c>
      <c r="H1529">
        <v>-0.21</v>
      </c>
      <c r="I1529">
        <v>6.37</v>
      </c>
      <c r="J1529">
        <v>-2.93</v>
      </c>
      <c r="L1529">
        <v>-0.42</v>
      </c>
      <c r="M1529">
        <v>1874.24</v>
      </c>
      <c r="N1529">
        <v>0.05</v>
      </c>
      <c r="O1529">
        <v>0.79</v>
      </c>
    </row>
    <row r="1530" spans="1:15">
      <c r="A1530" t="str">
        <f>"300039"</f>
        <v>300039</v>
      </c>
      <c r="B1530" t="s">
        <v>1568</v>
      </c>
      <c r="C1530">
        <v>-2.74</v>
      </c>
      <c r="D1530">
        <v>4.26</v>
      </c>
      <c r="E1530" t="s">
        <v>16</v>
      </c>
      <c r="F1530" t="s">
        <v>16</v>
      </c>
      <c r="H1530">
        <v>0</v>
      </c>
      <c r="I1530">
        <v>-15.98</v>
      </c>
      <c r="J1530">
        <v>-2.29</v>
      </c>
      <c r="L1530">
        <v>-0.68</v>
      </c>
      <c r="M1530">
        <v>66.73</v>
      </c>
      <c r="N1530">
        <v>0.02</v>
      </c>
      <c r="O1530">
        <v>0.19</v>
      </c>
    </row>
    <row r="1531" spans="1:15">
      <c r="A1531" t="str">
        <f>"300040"</f>
        <v>300040</v>
      </c>
      <c r="B1531" t="s">
        <v>1569</v>
      </c>
      <c r="C1531">
        <v>-7.11</v>
      </c>
      <c r="D1531">
        <v>6.4</v>
      </c>
      <c r="E1531" t="s">
        <v>16</v>
      </c>
      <c r="F1531" t="s">
        <v>16</v>
      </c>
      <c r="H1531">
        <v>-0.3</v>
      </c>
      <c r="I1531">
        <v>-17.21</v>
      </c>
      <c r="J1531">
        <v>-6.16</v>
      </c>
      <c r="L1531">
        <v>-1.45</v>
      </c>
      <c r="M1531">
        <v>1256.83</v>
      </c>
      <c r="N1531">
        <v>0.38</v>
      </c>
      <c r="O1531">
        <v>1.07</v>
      </c>
    </row>
    <row r="1532" spans="1:15">
      <c r="A1532" t="str">
        <f>"300041"</f>
        <v>300041</v>
      </c>
      <c r="B1532" t="s">
        <v>1570</v>
      </c>
      <c r="C1532">
        <v>-0.48</v>
      </c>
      <c r="D1532">
        <v>14.5</v>
      </c>
      <c r="E1532" t="s">
        <v>16</v>
      </c>
      <c r="F1532" t="s">
        <v>16</v>
      </c>
      <c r="H1532">
        <v>0.14</v>
      </c>
      <c r="I1532">
        <v>4.77</v>
      </c>
      <c r="J1532">
        <v>-1.23</v>
      </c>
      <c r="L1532">
        <v>-1.03</v>
      </c>
      <c r="M1532">
        <v>270.95</v>
      </c>
      <c r="N1532">
        <v>0.04</v>
      </c>
      <c r="O1532">
        <v>0.92</v>
      </c>
    </row>
    <row r="1533" spans="1:15">
      <c r="A1533" t="str">
        <f>"300042"</f>
        <v>300042</v>
      </c>
      <c r="B1533" t="s">
        <v>1571</v>
      </c>
      <c r="C1533">
        <v>4.27</v>
      </c>
      <c r="D1533">
        <v>70.35</v>
      </c>
      <c r="E1533" t="s">
        <v>16</v>
      </c>
      <c r="F1533" t="s">
        <v>16</v>
      </c>
      <c r="H1533">
        <v>0.01</v>
      </c>
      <c r="I1533">
        <v>4.33</v>
      </c>
      <c r="J1533">
        <v>-2.59</v>
      </c>
      <c r="L1533">
        <v>-0.68</v>
      </c>
      <c r="M1533">
        <v>1165.3</v>
      </c>
      <c r="N1533">
        <v>0.12</v>
      </c>
      <c r="O1533">
        <v>1.58</v>
      </c>
    </row>
    <row r="1534" spans="1:15">
      <c r="A1534" t="str">
        <f>"300043"</f>
        <v>300043</v>
      </c>
      <c r="B1534" t="s">
        <v>1572</v>
      </c>
      <c r="C1534">
        <v>0.71</v>
      </c>
      <c r="D1534">
        <v>4.24</v>
      </c>
      <c r="E1534" t="s">
        <v>16</v>
      </c>
      <c r="F1534" t="s">
        <v>16</v>
      </c>
      <c r="H1534">
        <v>0</v>
      </c>
      <c r="I1534">
        <v>-6.61</v>
      </c>
      <c r="J1534">
        <v>-0.93</v>
      </c>
      <c r="L1534">
        <v>-0.48</v>
      </c>
      <c r="M1534">
        <v>61.51</v>
      </c>
      <c r="N1534">
        <v>0.02</v>
      </c>
      <c r="O1534">
        <v>1.6</v>
      </c>
    </row>
    <row r="1535" spans="1:15">
      <c r="A1535" t="str">
        <f>"300044"</f>
        <v>300044</v>
      </c>
      <c r="B1535" t="s">
        <v>1573</v>
      </c>
      <c r="C1535">
        <v>-0.55</v>
      </c>
      <c r="D1535">
        <v>5.45</v>
      </c>
      <c r="E1535" t="s">
        <v>16</v>
      </c>
      <c r="F1535" t="s">
        <v>16</v>
      </c>
      <c r="H1535">
        <v>0</v>
      </c>
      <c r="I1535">
        <v>-8.09</v>
      </c>
      <c r="J1535">
        <v>-1.62</v>
      </c>
      <c r="L1535">
        <v>-1.28</v>
      </c>
      <c r="M1535">
        <v>112.96</v>
      </c>
      <c r="N1535">
        <v>0.03</v>
      </c>
      <c r="O1535">
        <v>10.93</v>
      </c>
    </row>
    <row r="1536" spans="1:15">
      <c r="A1536" t="str">
        <f>"300045"</f>
        <v>300045</v>
      </c>
      <c r="B1536" t="s">
        <v>1574</v>
      </c>
      <c r="C1536">
        <v>-0.87</v>
      </c>
      <c r="D1536">
        <v>18.25</v>
      </c>
      <c r="E1536" t="s">
        <v>16</v>
      </c>
      <c r="F1536" t="s">
        <v>16</v>
      </c>
      <c r="H1536">
        <v>-0.15</v>
      </c>
      <c r="I1536">
        <v>-0.87</v>
      </c>
      <c r="J1536">
        <v>-1.67</v>
      </c>
      <c r="L1536">
        <v>-1.25</v>
      </c>
      <c r="M1536">
        <v>49.27</v>
      </c>
      <c r="N1536">
        <v>0.01</v>
      </c>
      <c r="O1536">
        <v>0.46</v>
      </c>
    </row>
    <row r="1537" spans="1:15">
      <c r="A1537" t="str">
        <f>"300046"</f>
        <v>300046</v>
      </c>
      <c r="B1537" t="s">
        <v>1575</v>
      </c>
      <c r="C1537">
        <v>-0.42</v>
      </c>
      <c r="D1537">
        <v>30.87</v>
      </c>
      <c r="E1537" t="s">
        <v>16</v>
      </c>
      <c r="F1537" t="s">
        <v>16</v>
      </c>
      <c r="H1537">
        <v>-0.02</v>
      </c>
      <c r="I1537">
        <v>0.29</v>
      </c>
      <c r="J1537">
        <v>-1.37</v>
      </c>
      <c r="L1537">
        <v>0</v>
      </c>
      <c r="M1537">
        <v>73.47</v>
      </c>
      <c r="N1537">
        <v>0.01</v>
      </c>
      <c r="O1537">
        <v>0.44</v>
      </c>
    </row>
    <row r="1538" spans="1:15">
      <c r="A1538" t="str">
        <f>"300047"</f>
        <v>300047</v>
      </c>
      <c r="B1538" t="s">
        <v>1576</v>
      </c>
      <c r="C1538">
        <v>-0.2</v>
      </c>
      <c r="D1538">
        <v>9.89</v>
      </c>
      <c r="E1538" t="s">
        <v>16</v>
      </c>
      <c r="F1538" t="s">
        <v>16</v>
      </c>
      <c r="H1538">
        <v>0.1</v>
      </c>
      <c r="I1538">
        <v>-4.72</v>
      </c>
      <c r="J1538">
        <v>-1.49</v>
      </c>
      <c r="L1538">
        <v>-0.5</v>
      </c>
      <c r="M1538">
        <v>39.74</v>
      </c>
      <c r="N1538">
        <v>0.01</v>
      </c>
      <c r="O1538">
        <v>1.43</v>
      </c>
    </row>
    <row r="1539" spans="1:15">
      <c r="A1539" t="str">
        <f>"300048"</f>
        <v>300048</v>
      </c>
      <c r="B1539" t="s">
        <v>1577</v>
      </c>
      <c r="C1539">
        <v>-1.17</v>
      </c>
      <c r="D1539">
        <v>5.07</v>
      </c>
      <c r="E1539" t="s">
        <v>16</v>
      </c>
      <c r="F1539" t="s">
        <v>16</v>
      </c>
      <c r="H1539">
        <v>0.2</v>
      </c>
      <c r="I1539">
        <v>-12.28</v>
      </c>
      <c r="J1539">
        <v>-1.55</v>
      </c>
      <c r="L1539">
        <v>-0.58</v>
      </c>
      <c r="M1539">
        <v>32.54</v>
      </c>
      <c r="N1539">
        <v>0.01</v>
      </c>
      <c r="O1539">
        <v>4.43</v>
      </c>
    </row>
    <row r="1540" spans="1:15">
      <c r="A1540" t="str">
        <f>"300049"</f>
        <v>300049</v>
      </c>
      <c r="B1540" t="s">
        <v>1578</v>
      </c>
      <c r="C1540">
        <v>-2</v>
      </c>
      <c r="D1540">
        <v>40.25</v>
      </c>
      <c r="E1540" t="s">
        <v>16</v>
      </c>
      <c r="F1540" t="s">
        <v>16</v>
      </c>
      <c r="H1540">
        <v>-0.21</v>
      </c>
      <c r="I1540">
        <v>-8.23</v>
      </c>
      <c r="J1540">
        <v>-3.75</v>
      </c>
      <c r="L1540">
        <v>-0.17</v>
      </c>
      <c r="M1540">
        <v>87.33</v>
      </c>
      <c r="N1540">
        <v>0.01</v>
      </c>
      <c r="O1540">
        <v>2.27</v>
      </c>
    </row>
    <row r="1541" spans="1:15">
      <c r="A1541" t="str">
        <f>"300050"</f>
        <v>300050</v>
      </c>
      <c r="B1541" t="s">
        <v>1579</v>
      </c>
      <c r="C1541">
        <v>-2.32</v>
      </c>
      <c r="D1541">
        <v>6.74</v>
      </c>
      <c r="E1541" t="s">
        <v>16</v>
      </c>
      <c r="F1541" t="s">
        <v>16</v>
      </c>
      <c r="H1541">
        <v>0.15</v>
      </c>
      <c r="I1541">
        <v>-4.8</v>
      </c>
      <c r="J1541">
        <v>-3.58</v>
      </c>
      <c r="L1541">
        <v>0</v>
      </c>
      <c r="M1541">
        <v>70.52</v>
      </c>
      <c r="N1541">
        <v>0.02</v>
      </c>
      <c r="O1541">
        <v>4.44</v>
      </c>
    </row>
    <row r="1542" spans="1:15">
      <c r="A1542" t="str">
        <f>"300051"</f>
        <v>300051</v>
      </c>
      <c r="B1542" t="s">
        <v>1580</v>
      </c>
      <c r="C1542">
        <v>-4.79</v>
      </c>
      <c r="D1542">
        <v>9.34</v>
      </c>
      <c r="E1542" t="s">
        <v>16</v>
      </c>
      <c r="F1542" t="s">
        <v>16</v>
      </c>
      <c r="H1542">
        <v>0</v>
      </c>
      <c r="I1542">
        <v>-13.44</v>
      </c>
      <c r="J1542">
        <v>-4.01</v>
      </c>
      <c r="L1542">
        <v>-0.82</v>
      </c>
      <c r="M1542">
        <v>120.55</v>
      </c>
      <c r="N1542">
        <v>0.04</v>
      </c>
      <c r="O1542">
        <v>1.3</v>
      </c>
    </row>
    <row r="1543" spans="1:15">
      <c r="A1543" t="str">
        <f>"300052"</f>
        <v>300052</v>
      </c>
      <c r="B1543" t="s">
        <v>1581</v>
      </c>
      <c r="C1543">
        <v>-3.96</v>
      </c>
      <c r="D1543">
        <v>11.88</v>
      </c>
      <c r="E1543" t="s">
        <v>16</v>
      </c>
      <c r="F1543" t="s">
        <v>16</v>
      </c>
      <c r="H1543">
        <v>-0.91</v>
      </c>
      <c r="I1543">
        <v>9.39</v>
      </c>
      <c r="J1543">
        <v>-5.11</v>
      </c>
      <c r="L1543">
        <v>-0.73</v>
      </c>
      <c r="M1543">
        <v>62.14</v>
      </c>
      <c r="N1543">
        <v>0.02</v>
      </c>
      <c r="O1543">
        <v>0.92</v>
      </c>
    </row>
    <row r="1544" spans="1:15">
      <c r="A1544" t="str">
        <f>"300053"</f>
        <v>300053</v>
      </c>
      <c r="B1544" t="s">
        <v>1582</v>
      </c>
      <c r="C1544">
        <v>-1.38</v>
      </c>
      <c r="D1544">
        <v>16.42</v>
      </c>
      <c r="E1544" t="s">
        <v>16</v>
      </c>
      <c r="F1544" t="s">
        <v>16</v>
      </c>
      <c r="H1544">
        <v>-0.11</v>
      </c>
      <c r="I1544">
        <v>4.06</v>
      </c>
      <c r="J1544">
        <v>-1.38</v>
      </c>
      <c r="L1544">
        <v>-1.74</v>
      </c>
      <c r="M1544">
        <v>267.81</v>
      </c>
      <c r="N1544">
        <v>0.03</v>
      </c>
      <c r="O1544">
        <v>1.86</v>
      </c>
    </row>
    <row r="1545" spans="1:15">
      <c r="A1545" t="str">
        <f>"300054"</f>
        <v>300054</v>
      </c>
      <c r="B1545" t="s">
        <v>1583</v>
      </c>
      <c r="C1545">
        <v>1.15</v>
      </c>
      <c r="D1545">
        <v>92.18</v>
      </c>
      <c r="E1545" t="s">
        <v>16</v>
      </c>
      <c r="F1545" t="s">
        <v>16</v>
      </c>
      <c r="H1545">
        <v>-0.02</v>
      </c>
      <c r="I1545">
        <v>25.77</v>
      </c>
      <c r="J1545">
        <v>-0.55</v>
      </c>
      <c r="L1545">
        <v>-0.58</v>
      </c>
      <c r="M1545">
        <v>4419.47</v>
      </c>
      <c r="N1545">
        <v>0.07</v>
      </c>
      <c r="O1545">
        <v>1</v>
      </c>
    </row>
    <row r="1546" spans="1:15">
      <c r="A1546" t="str">
        <f>"300055"</f>
        <v>300055</v>
      </c>
      <c r="B1546" t="s">
        <v>1584</v>
      </c>
      <c r="C1546">
        <v>0.53</v>
      </c>
      <c r="D1546">
        <v>7.61</v>
      </c>
      <c r="E1546" t="s">
        <v>16</v>
      </c>
      <c r="F1546" t="s">
        <v>16</v>
      </c>
      <c r="H1546">
        <v>-0.12</v>
      </c>
      <c r="I1546">
        <v>-7.53</v>
      </c>
      <c r="J1546">
        <v>-2.19</v>
      </c>
      <c r="L1546">
        <v>0.4</v>
      </c>
      <c r="M1546">
        <v>58.06</v>
      </c>
      <c r="N1546">
        <v>0.01</v>
      </c>
      <c r="O1546">
        <v>2.59</v>
      </c>
    </row>
    <row r="1547" spans="1:15">
      <c r="A1547" t="str">
        <f>"300056"</f>
        <v>300056</v>
      </c>
      <c r="B1547" t="s">
        <v>1585</v>
      </c>
      <c r="C1547">
        <v>2.1</v>
      </c>
      <c r="D1547">
        <v>8.27</v>
      </c>
      <c r="E1547" t="s">
        <v>16</v>
      </c>
      <c r="F1547" t="s">
        <v>16</v>
      </c>
      <c r="H1547">
        <v>0.24</v>
      </c>
      <c r="I1547">
        <v>-16.88</v>
      </c>
      <c r="J1547">
        <v>-2.48</v>
      </c>
      <c r="L1547">
        <v>-0.12</v>
      </c>
      <c r="M1547">
        <v>15.29</v>
      </c>
      <c r="N1547">
        <v>0.01</v>
      </c>
      <c r="O1547">
        <v>2.49</v>
      </c>
    </row>
    <row r="1548" spans="1:15">
      <c r="A1548" t="str">
        <f>"300057"</f>
        <v>300057</v>
      </c>
      <c r="B1548" t="s">
        <v>1586</v>
      </c>
      <c r="C1548">
        <v>1.19</v>
      </c>
      <c r="D1548">
        <v>9.33</v>
      </c>
      <c r="E1548" t="s">
        <v>16</v>
      </c>
      <c r="F1548" t="s">
        <v>16</v>
      </c>
      <c r="H1548">
        <v>-0.2</v>
      </c>
      <c r="I1548">
        <v>9.64</v>
      </c>
      <c r="J1548">
        <v>-0.43</v>
      </c>
      <c r="L1548">
        <v>-0.87</v>
      </c>
      <c r="M1548">
        <v>607.54</v>
      </c>
      <c r="N1548">
        <v>0.09</v>
      </c>
      <c r="O1548">
        <v>2.15</v>
      </c>
    </row>
    <row r="1549" spans="1:15">
      <c r="A1549" t="str">
        <f>"300058"</f>
        <v>300058</v>
      </c>
      <c r="B1549" t="s">
        <v>1587</v>
      </c>
      <c r="C1549">
        <v>2.01</v>
      </c>
      <c r="D1549">
        <v>15.25</v>
      </c>
      <c r="E1549" t="s">
        <v>16</v>
      </c>
      <c r="F1549" t="s">
        <v>16</v>
      </c>
      <c r="H1549">
        <v>0</v>
      </c>
      <c r="I1549">
        <v>-4.15</v>
      </c>
      <c r="J1549">
        <v>-2.24</v>
      </c>
      <c r="L1549">
        <v>-0.67</v>
      </c>
      <c r="M1549">
        <v>984.37</v>
      </c>
      <c r="N1549">
        <v>0.02</v>
      </c>
      <c r="O1549">
        <v>1.49</v>
      </c>
    </row>
    <row r="1550" spans="1:15">
      <c r="A1550" t="str">
        <f>"300059"</f>
        <v>300059</v>
      </c>
      <c r="B1550" t="s">
        <v>1588</v>
      </c>
      <c r="C1550">
        <v>-2.31</v>
      </c>
      <c r="D1550">
        <v>18.6</v>
      </c>
      <c r="E1550" t="s">
        <v>16</v>
      </c>
      <c r="F1550" t="s">
        <v>16</v>
      </c>
      <c r="H1550">
        <v>-0.04</v>
      </c>
      <c r="I1550">
        <v>-0.75</v>
      </c>
      <c r="J1550">
        <v>-2.72</v>
      </c>
      <c r="L1550">
        <v>-0.47</v>
      </c>
      <c r="M1550">
        <v>1429.24</v>
      </c>
      <c r="N1550">
        <v>0.01</v>
      </c>
      <c r="O1550">
        <v>0.5</v>
      </c>
    </row>
    <row r="1551" spans="1:15">
      <c r="A1551" t="str">
        <f>"300061"</f>
        <v>300061</v>
      </c>
      <c r="B1551" t="s">
        <v>1589</v>
      </c>
      <c r="C1551">
        <v>-2.09</v>
      </c>
      <c r="D1551">
        <v>7.49</v>
      </c>
      <c r="E1551" t="s">
        <v>16</v>
      </c>
      <c r="F1551" t="s">
        <v>16</v>
      </c>
      <c r="H1551">
        <v>0</v>
      </c>
      <c r="I1551">
        <v>-13.41</v>
      </c>
      <c r="J1551">
        <v>-2.6</v>
      </c>
      <c r="L1551">
        <v>0.52</v>
      </c>
      <c r="M1551">
        <v>50.6</v>
      </c>
      <c r="N1551">
        <v>0.01</v>
      </c>
      <c r="O1551">
        <v>0.75</v>
      </c>
    </row>
    <row r="1552" spans="1:15">
      <c r="A1552" t="str">
        <f>"300062"</f>
        <v>300062</v>
      </c>
      <c r="B1552" t="s">
        <v>1590</v>
      </c>
      <c r="C1552">
        <v>-1.94</v>
      </c>
      <c r="D1552">
        <v>6.08</v>
      </c>
      <c r="E1552" t="s">
        <v>16</v>
      </c>
      <c r="F1552" t="s">
        <v>16</v>
      </c>
      <c r="H1552">
        <v>0.16</v>
      </c>
      <c r="I1552">
        <v>-8.02</v>
      </c>
      <c r="J1552">
        <v>-1.94</v>
      </c>
      <c r="L1552">
        <v>0</v>
      </c>
      <c r="M1552">
        <v>15.87</v>
      </c>
      <c r="N1552">
        <v>0.01</v>
      </c>
      <c r="O1552">
        <v>0.3</v>
      </c>
    </row>
    <row r="1553" spans="1:15">
      <c r="A1553" t="str">
        <f>"300063"</f>
        <v>300063</v>
      </c>
      <c r="B1553" t="s">
        <v>1591</v>
      </c>
      <c r="C1553">
        <v>0.32</v>
      </c>
      <c r="D1553">
        <v>9.45</v>
      </c>
      <c r="E1553" t="s">
        <v>16</v>
      </c>
      <c r="F1553" t="s">
        <v>16</v>
      </c>
      <c r="H1553">
        <v>0</v>
      </c>
      <c r="I1553">
        <v>-4.16</v>
      </c>
      <c r="J1553">
        <v>-1.87</v>
      </c>
      <c r="L1553">
        <v>-0.32</v>
      </c>
      <c r="M1553">
        <v>39.44</v>
      </c>
      <c r="N1553">
        <v>0.01</v>
      </c>
      <c r="O1553">
        <v>0.69</v>
      </c>
    </row>
    <row r="1554" spans="1:15">
      <c r="A1554" t="str">
        <f>"300065"</f>
        <v>300065</v>
      </c>
      <c r="B1554" t="s">
        <v>1592</v>
      </c>
      <c r="C1554">
        <v>-1.36</v>
      </c>
      <c r="D1554">
        <v>18.8</v>
      </c>
      <c r="E1554" t="s">
        <v>16</v>
      </c>
      <c r="F1554" t="s">
        <v>16</v>
      </c>
      <c r="H1554">
        <v>-0.2</v>
      </c>
      <c r="I1554">
        <v>-4.42</v>
      </c>
      <c r="J1554">
        <v>-1.83</v>
      </c>
      <c r="L1554">
        <v>-1.31</v>
      </c>
      <c r="M1554">
        <v>621.67</v>
      </c>
      <c r="N1554">
        <v>0.05</v>
      </c>
      <c r="O1554">
        <v>1.06</v>
      </c>
    </row>
    <row r="1555" spans="1:15">
      <c r="A1555" t="str">
        <f>"300066"</f>
        <v>300066</v>
      </c>
      <c r="B1555" t="s">
        <v>1593</v>
      </c>
      <c r="C1555">
        <v>8.93</v>
      </c>
      <c r="D1555">
        <v>6.95</v>
      </c>
      <c r="E1555" t="s">
        <v>16</v>
      </c>
      <c r="F1555" t="s">
        <v>16</v>
      </c>
      <c r="H1555">
        <v>-0.13</v>
      </c>
      <c r="I1555">
        <v>20.45</v>
      </c>
      <c r="J1555">
        <v>-0.29</v>
      </c>
      <c r="L1555">
        <v>-2.66</v>
      </c>
      <c r="M1555">
        <v>497.55</v>
      </c>
      <c r="N1555">
        <v>0.13</v>
      </c>
      <c r="O1555">
        <v>0.26</v>
      </c>
    </row>
    <row r="1556" spans="1:15">
      <c r="A1556" t="str">
        <f>"300067"</f>
        <v>300067</v>
      </c>
      <c r="B1556" t="s">
        <v>1594</v>
      </c>
      <c r="C1556">
        <v>0.54</v>
      </c>
      <c r="D1556">
        <v>5.59</v>
      </c>
      <c r="E1556" t="s">
        <v>16</v>
      </c>
      <c r="F1556" t="s">
        <v>16</v>
      </c>
      <c r="H1556">
        <v>0.18</v>
      </c>
      <c r="I1556">
        <v>1.08</v>
      </c>
      <c r="J1556">
        <v>-2.44</v>
      </c>
      <c r="L1556">
        <v>-0.72</v>
      </c>
      <c r="M1556">
        <v>94.5</v>
      </c>
      <c r="N1556">
        <v>0.02</v>
      </c>
      <c r="O1556">
        <v>1.17</v>
      </c>
    </row>
    <row r="1557" spans="1:15">
      <c r="A1557" t="str">
        <f>"300068"</f>
        <v>300068</v>
      </c>
      <c r="B1557" t="s">
        <v>1595</v>
      </c>
      <c r="C1557">
        <v>-5.47</v>
      </c>
      <c r="D1557">
        <v>4.15</v>
      </c>
      <c r="E1557" t="s">
        <v>16</v>
      </c>
      <c r="F1557" t="s">
        <v>16</v>
      </c>
      <c r="H1557">
        <v>0</v>
      </c>
      <c r="I1557">
        <v>-7.16</v>
      </c>
      <c r="J1557">
        <v>-8.39</v>
      </c>
      <c r="K1557" t="s">
        <v>26</v>
      </c>
      <c r="L1557">
        <v>-2.05</v>
      </c>
      <c r="M1557">
        <v>1246.7</v>
      </c>
      <c r="N1557">
        <v>0.39</v>
      </c>
      <c r="O1557">
        <v>0.67</v>
      </c>
    </row>
    <row r="1558" spans="1:15">
      <c r="A1558" t="str">
        <f>"300069"</f>
        <v>300069</v>
      </c>
      <c r="B1558" t="s">
        <v>1596</v>
      </c>
      <c r="C1558">
        <v>-5.45</v>
      </c>
      <c r="D1558">
        <v>33.98</v>
      </c>
      <c r="E1558" t="s">
        <v>16</v>
      </c>
      <c r="F1558" t="s">
        <v>16</v>
      </c>
      <c r="H1558">
        <v>-0.02</v>
      </c>
      <c r="I1558">
        <v>-30.93</v>
      </c>
      <c r="J1558">
        <v>-5.08</v>
      </c>
      <c r="L1558">
        <v>-0.39</v>
      </c>
      <c r="M1558">
        <v>373.39</v>
      </c>
      <c r="N1558">
        <v>0.16</v>
      </c>
      <c r="O1558">
        <v>2.61</v>
      </c>
    </row>
    <row r="1559" spans="1:15">
      <c r="A1559" t="str">
        <f>"300070"</f>
        <v>300070</v>
      </c>
      <c r="B1559" t="s">
        <v>1597</v>
      </c>
      <c r="C1559">
        <v>-1.46</v>
      </c>
      <c r="D1559">
        <v>3.37</v>
      </c>
      <c r="E1559" t="s">
        <v>16</v>
      </c>
      <c r="F1559" t="s">
        <v>16</v>
      </c>
      <c r="H1559">
        <v>-0.29</v>
      </c>
      <c r="I1559">
        <v>-1.75</v>
      </c>
      <c r="J1559">
        <v>-2.32</v>
      </c>
      <c r="L1559">
        <v>-0.29</v>
      </c>
      <c r="M1559">
        <v>42.42</v>
      </c>
      <c r="N1559">
        <v>0.01</v>
      </c>
      <c r="O1559">
        <v>0.83</v>
      </c>
    </row>
    <row r="1560" spans="1:15">
      <c r="A1560" t="str">
        <f>"300071"</f>
        <v>300071</v>
      </c>
      <c r="B1560" t="s">
        <v>1598</v>
      </c>
      <c r="C1560">
        <v>0.26</v>
      </c>
      <c r="D1560">
        <v>3.8</v>
      </c>
      <c r="E1560" t="s">
        <v>16</v>
      </c>
      <c r="F1560" t="s">
        <v>16</v>
      </c>
      <c r="H1560">
        <v>0</v>
      </c>
      <c r="I1560">
        <v>-6.4</v>
      </c>
      <c r="J1560">
        <v>-0.78</v>
      </c>
      <c r="L1560">
        <v>0.26</v>
      </c>
      <c r="M1560">
        <v>27.09</v>
      </c>
      <c r="N1560">
        <v>0.01</v>
      </c>
      <c r="O1560">
        <v>2.2</v>
      </c>
    </row>
    <row r="1561" spans="1:15">
      <c r="A1561" t="str">
        <f>"300072"</f>
        <v>300072</v>
      </c>
      <c r="B1561" t="s">
        <v>1599</v>
      </c>
      <c r="C1561">
        <v>-1.72</v>
      </c>
      <c r="D1561">
        <v>3.42</v>
      </c>
      <c r="E1561" t="s">
        <v>16</v>
      </c>
      <c r="F1561" t="s">
        <v>16</v>
      </c>
      <c r="H1561">
        <v>-0.28</v>
      </c>
      <c r="I1561">
        <v>-10.94</v>
      </c>
      <c r="J1561">
        <v>-0.87</v>
      </c>
      <c r="L1561">
        <v>-0.86</v>
      </c>
      <c r="M1561">
        <v>17.7</v>
      </c>
      <c r="N1561">
        <v>0</v>
      </c>
      <c r="O1561">
        <v>2.47</v>
      </c>
    </row>
    <row r="1562" spans="1:15">
      <c r="A1562" t="str">
        <f>"300073"</f>
        <v>300073</v>
      </c>
      <c r="B1562" t="s">
        <v>1600</v>
      </c>
      <c r="C1562">
        <v>-1.26</v>
      </c>
      <c r="D1562">
        <v>51.79</v>
      </c>
      <c r="E1562" t="s">
        <v>16</v>
      </c>
      <c r="F1562" t="s">
        <v>16</v>
      </c>
      <c r="H1562">
        <v>-0.28</v>
      </c>
      <c r="I1562">
        <v>-1.54</v>
      </c>
      <c r="J1562">
        <v>-1.91</v>
      </c>
      <c r="L1562">
        <v>-0.57</v>
      </c>
      <c r="M1562">
        <v>232.07</v>
      </c>
      <c r="N1562">
        <v>0.01</v>
      </c>
      <c r="O1562">
        <v>0.76</v>
      </c>
    </row>
    <row r="1563" spans="1:15">
      <c r="A1563" t="str">
        <f>"300074"</f>
        <v>300074</v>
      </c>
      <c r="B1563" t="s">
        <v>1601</v>
      </c>
      <c r="C1563">
        <v>0.27</v>
      </c>
      <c r="D1563">
        <v>3.72</v>
      </c>
      <c r="E1563" t="s">
        <v>16</v>
      </c>
      <c r="F1563" t="s">
        <v>16</v>
      </c>
      <c r="H1563">
        <v>-0.26</v>
      </c>
      <c r="I1563">
        <v>-7</v>
      </c>
      <c r="J1563">
        <v>-1.33</v>
      </c>
      <c r="L1563">
        <v>-0.27</v>
      </c>
      <c r="M1563">
        <v>40.63</v>
      </c>
      <c r="N1563">
        <v>0.02</v>
      </c>
      <c r="O1563">
        <v>8.86</v>
      </c>
    </row>
    <row r="1564" spans="1:15">
      <c r="A1564" t="str">
        <f>"300075"</f>
        <v>300075</v>
      </c>
      <c r="B1564" t="s">
        <v>1602</v>
      </c>
      <c r="C1564">
        <v>-1.14</v>
      </c>
      <c r="D1564">
        <v>11.25</v>
      </c>
      <c r="E1564" t="s">
        <v>16</v>
      </c>
      <c r="F1564" t="s">
        <v>16</v>
      </c>
      <c r="H1564">
        <v>0</v>
      </c>
      <c r="I1564">
        <v>-7.71</v>
      </c>
      <c r="J1564">
        <v>-2.6</v>
      </c>
      <c r="L1564">
        <v>-0.79</v>
      </c>
      <c r="M1564">
        <v>30.82</v>
      </c>
      <c r="N1564">
        <v>0.01</v>
      </c>
      <c r="O1564">
        <v>1.7</v>
      </c>
    </row>
    <row r="1565" spans="1:15">
      <c r="A1565" t="str">
        <f>"300076"</f>
        <v>300076</v>
      </c>
      <c r="B1565" t="s">
        <v>1603</v>
      </c>
      <c r="C1565">
        <v>-1.87</v>
      </c>
      <c r="D1565">
        <v>4.73</v>
      </c>
      <c r="E1565" t="s">
        <v>16</v>
      </c>
      <c r="F1565" t="s">
        <v>16</v>
      </c>
      <c r="H1565">
        <v>0.85</v>
      </c>
      <c r="I1565">
        <v>1.72</v>
      </c>
      <c r="J1565">
        <v>-4.64</v>
      </c>
      <c r="L1565">
        <v>0.21</v>
      </c>
      <c r="M1565">
        <v>49.75</v>
      </c>
      <c r="N1565">
        <v>0.03</v>
      </c>
      <c r="O1565">
        <v>1.03</v>
      </c>
    </row>
    <row r="1566" spans="1:15">
      <c r="A1566" t="str">
        <f>"300077"</f>
        <v>300077</v>
      </c>
      <c r="B1566" t="s">
        <v>1604</v>
      </c>
      <c r="C1566">
        <v>0.78</v>
      </c>
      <c r="D1566">
        <v>23.33</v>
      </c>
      <c r="E1566" t="s">
        <v>16</v>
      </c>
      <c r="F1566" t="s">
        <v>16</v>
      </c>
      <c r="H1566">
        <v>0</v>
      </c>
      <c r="I1566">
        <v>-3.56</v>
      </c>
      <c r="J1566">
        <v>-1.85</v>
      </c>
      <c r="L1566">
        <v>0.22</v>
      </c>
      <c r="M1566">
        <v>404.14</v>
      </c>
      <c r="N1566">
        <v>0.03</v>
      </c>
      <c r="O1566">
        <v>0.71</v>
      </c>
    </row>
    <row r="1567" spans="1:15">
      <c r="A1567" t="str">
        <f>"300078"</f>
        <v>300078</v>
      </c>
      <c r="B1567" t="s">
        <v>1605</v>
      </c>
      <c r="C1567">
        <v>0.95</v>
      </c>
      <c r="D1567">
        <v>3.18</v>
      </c>
      <c r="E1567" t="s">
        <v>16</v>
      </c>
      <c r="F1567" t="s">
        <v>16</v>
      </c>
      <c r="H1567">
        <v>0</v>
      </c>
      <c r="I1567">
        <v>-1.85</v>
      </c>
      <c r="J1567">
        <v>-0.31</v>
      </c>
      <c r="L1567">
        <v>0.32</v>
      </c>
      <c r="M1567">
        <v>33.24</v>
      </c>
      <c r="N1567">
        <v>0.01</v>
      </c>
      <c r="O1567">
        <v>3.8</v>
      </c>
    </row>
    <row r="1568" spans="1:15">
      <c r="A1568" t="str">
        <f>"300079"</f>
        <v>300079</v>
      </c>
      <c r="B1568" t="s">
        <v>1606</v>
      </c>
      <c r="C1568">
        <v>-1.31</v>
      </c>
      <c r="D1568">
        <v>4.51</v>
      </c>
      <c r="E1568" t="s">
        <v>16</v>
      </c>
      <c r="F1568" t="s">
        <v>16</v>
      </c>
      <c r="H1568">
        <v>0</v>
      </c>
      <c r="I1568">
        <v>-9.07</v>
      </c>
      <c r="J1568">
        <v>-2.17</v>
      </c>
      <c r="L1568">
        <v>-0.44</v>
      </c>
      <c r="M1568">
        <v>15.7</v>
      </c>
      <c r="N1568">
        <v>0</v>
      </c>
      <c r="O1568">
        <v>1.4</v>
      </c>
    </row>
    <row r="1569" spans="1:15">
      <c r="A1569" t="str">
        <f>"300080"</f>
        <v>300080</v>
      </c>
      <c r="B1569" t="s">
        <v>1607</v>
      </c>
      <c r="C1569">
        <v>-2.58</v>
      </c>
      <c r="D1569">
        <v>3.78</v>
      </c>
      <c r="E1569" t="s">
        <v>16</v>
      </c>
      <c r="F1569" t="s">
        <v>16</v>
      </c>
      <c r="H1569">
        <v>-0.25</v>
      </c>
      <c r="I1569">
        <v>-7.13</v>
      </c>
      <c r="J1569">
        <v>-2.33</v>
      </c>
      <c r="L1569">
        <v>-0.52</v>
      </c>
      <c r="M1569">
        <v>16.37</v>
      </c>
      <c r="N1569">
        <v>0.01</v>
      </c>
      <c r="O1569">
        <v>1.04</v>
      </c>
    </row>
    <row r="1570" spans="1:15">
      <c r="A1570" t="str">
        <f>"300081"</f>
        <v>300081</v>
      </c>
      <c r="B1570" t="s">
        <v>1608</v>
      </c>
      <c r="C1570">
        <v>-2</v>
      </c>
      <c r="D1570">
        <v>3.92</v>
      </c>
      <c r="E1570" t="s">
        <v>16</v>
      </c>
      <c r="F1570" t="s">
        <v>16</v>
      </c>
      <c r="H1570">
        <v>-0.24</v>
      </c>
      <c r="I1570">
        <v>-8.84</v>
      </c>
      <c r="J1570">
        <v>-3.69</v>
      </c>
      <c r="L1570">
        <v>0.75</v>
      </c>
      <c r="M1570">
        <v>11.32</v>
      </c>
      <c r="N1570">
        <v>0.01</v>
      </c>
      <c r="O1570" t="s">
        <v>16</v>
      </c>
    </row>
    <row r="1571" spans="1:15">
      <c r="A1571" t="str">
        <f>"300082"</f>
        <v>300082</v>
      </c>
      <c r="B1571" t="s">
        <v>1609</v>
      </c>
      <c r="C1571">
        <v>-4.51</v>
      </c>
      <c r="D1571">
        <v>9.32</v>
      </c>
      <c r="E1571" t="s">
        <v>16</v>
      </c>
      <c r="F1571" t="s">
        <v>16</v>
      </c>
      <c r="H1571">
        <v>-0.2</v>
      </c>
      <c r="I1571">
        <v>1.3</v>
      </c>
      <c r="J1571">
        <v>-5.28</v>
      </c>
      <c r="L1571">
        <v>-0.51</v>
      </c>
      <c r="M1571">
        <v>121.57</v>
      </c>
      <c r="N1571">
        <v>0.04</v>
      </c>
      <c r="O1571">
        <v>1.27</v>
      </c>
    </row>
    <row r="1572" spans="1:15">
      <c r="A1572" t="str">
        <f>"300083"</f>
        <v>300083</v>
      </c>
      <c r="B1572" t="s">
        <v>1610</v>
      </c>
      <c r="C1572">
        <v>4.09</v>
      </c>
      <c r="D1572">
        <v>11.7</v>
      </c>
      <c r="E1572" t="s">
        <v>16</v>
      </c>
      <c r="F1572" t="s">
        <v>16</v>
      </c>
      <c r="H1572">
        <v>-0.08</v>
      </c>
      <c r="I1572">
        <v>20.49</v>
      </c>
      <c r="J1572">
        <v>-1.76</v>
      </c>
      <c r="L1572">
        <v>-0.36</v>
      </c>
      <c r="M1572">
        <v>139.44</v>
      </c>
      <c r="N1572">
        <v>0.01</v>
      </c>
      <c r="O1572">
        <v>0.29</v>
      </c>
    </row>
    <row r="1573" spans="1:15">
      <c r="A1573" t="str">
        <f>"300084"</f>
        <v>300084</v>
      </c>
      <c r="B1573" t="s">
        <v>1611</v>
      </c>
      <c r="C1573">
        <v>0.17</v>
      </c>
      <c r="D1573">
        <v>11.8</v>
      </c>
      <c r="E1573" t="s">
        <v>16</v>
      </c>
      <c r="F1573" t="s">
        <v>16</v>
      </c>
      <c r="H1573">
        <v>-0.33</v>
      </c>
      <c r="I1573">
        <v>0.77</v>
      </c>
      <c r="J1573">
        <v>-0.67</v>
      </c>
      <c r="L1573">
        <v>-1.36</v>
      </c>
      <c r="M1573">
        <v>90.06</v>
      </c>
      <c r="N1573">
        <v>0.02</v>
      </c>
      <c r="O1573">
        <v>1.94</v>
      </c>
    </row>
    <row r="1574" spans="1:15">
      <c r="A1574" t="str">
        <f>"300085"</f>
        <v>300085</v>
      </c>
      <c r="B1574" t="s">
        <v>1612</v>
      </c>
      <c r="C1574">
        <v>-3.3</v>
      </c>
      <c r="D1574">
        <v>26.96</v>
      </c>
      <c r="E1574" t="s">
        <v>16</v>
      </c>
      <c r="F1574" t="s">
        <v>16</v>
      </c>
      <c r="H1574">
        <v>-0.06</v>
      </c>
      <c r="I1574">
        <v>-18.75</v>
      </c>
      <c r="J1574">
        <v>-2.78</v>
      </c>
      <c r="L1574">
        <v>-0.97</v>
      </c>
      <c r="M1574">
        <v>354.79</v>
      </c>
      <c r="N1574">
        <v>0.03</v>
      </c>
      <c r="O1574">
        <v>0.45</v>
      </c>
    </row>
    <row r="1575" spans="1:15">
      <c r="A1575" t="str">
        <f>"300086"</f>
        <v>300086</v>
      </c>
      <c r="B1575" t="s">
        <v>1613</v>
      </c>
      <c r="C1575">
        <v>-0.49</v>
      </c>
      <c r="D1575">
        <v>6.05</v>
      </c>
      <c r="E1575" t="s">
        <v>16</v>
      </c>
      <c r="F1575" t="s">
        <v>16</v>
      </c>
      <c r="H1575">
        <v>0</v>
      </c>
      <c r="I1575">
        <v>-5.17</v>
      </c>
      <c r="J1575">
        <v>-2.1</v>
      </c>
      <c r="L1575">
        <v>-0.49</v>
      </c>
      <c r="M1575">
        <v>27.71</v>
      </c>
      <c r="N1575">
        <v>0.01</v>
      </c>
      <c r="O1575">
        <v>6.19</v>
      </c>
    </row>
    <row r="1576" spans="1:15">
      <c r="A1576" t="str">
        <f>"300087"</f>
        <v>300087</v>
      </c>
      <c r="B1576" t="s">
        <v>1614</v>
      </c>
      <c r="C1576">
        <v>-0.73</v>
      </c>
      <c r="D1576">
        <v>6.81</v>
      </c>
      <c r="E1576" t="s">
        <v>16</v>
      </c>
      <c r="F1576" t="s">
        <v>16</v>
      </c>
      <c r="H1576">
        <v>-0.43</v>
      </c>
      <c r="I1576">
        <v>-3.95</v>
      </c>
      <c r="J1576">
        <v>-1.59</v>
      </c>
      <c r="L1576">
        <v>-0.73</v>
      </c>
      <c r="M1576">
        <v>16.75</v>
      </c>
      <c r="N1576">
        <v>0</v>
      </c>
      <c r="O1576">
        <v>0.96</v>
      </c>
    </row>
    <row r="1577" spans="1:15">
      <c r="A1577" t="str">
        <f>"300088"</f>
        <v>300088</v>
      </c>
      <c r="B1577" t="s">
        <v>1615</v>
      </c>
      <c r="C1577">
        <v>-1.89</v>
      </c>
      <c r="D1577">
        <v>10.37</v>
      </c>
      <c r="E1577" t="s">
        <v>16</v>
      </c>
      <c r="F1577" t="s">
        <v>16</v>
      </c>
      <c r="H1577">
        <v>-0.18</v>
      </c>
      <c r="I1577">
        <v>23.16</v>
      </c>
      <c r="J1577">
        <v>-5.47</v>
      </c>
      <c r="K1577" t="s">
        <v>54</v>
      </c>
      <c r="L1577">
        <v>-0.66</v>
      </c>
      <c r="M1577">
        <v>18050.34</v>
      </c>
      <c r="N1577">
        <v>0.82</v>
      </c>
      <c r="O1577">
        <v>1.61</v>
      </c>
    </row>
    <row r="1578" spans="1:15">
      <c r="A1578" t="str">
        <f>"300091"</f>
        <v>300091</v>
      </c>
      <c r="B1578" t="s">
        <v>1616</v>
      </c>
      <c r="C1578">
        <v>1.51</v>
      </c>
      <c r="D1578">
        <v>2.69</v>
      </c>
      <c r="E1578" t="s">
        <v>16</v>
      </c>
      <c r="F1578" t="s">
        <v>16</v>
      </c>
      <c r="H1578">
        <v>0</v>
      </c>
      <c r="I1578">
        <v>-8.5</v>
      </c>
      <c r="J1578">
        <v>-2.54</v>
      </c>
      <c r="L1578">
        <v>1.13</v>
      </c>
      <c r="M1578">
        <v>30.2</v>
      </c>
      <c r="N1578">
        <v>0.01</v>
      </c>
      <c r="O1578">
        <v>1.46</v>
      </c>
    </row>
    <row r="1579" spans="1:15">
      <c r="A1579" t="str">
        <f>"300092"</f>
        <v>300092</v>
      </c>
      <c r="B1579" t="s">
        <v>1617</v>
      </c>
      <c r="C1579">
        <v>0.23</v>
      </c>
      <c r="D1579">
        <v>12.8</v>
      </c>
      <c r="E1579" t="s">
        <v>16</v>
      </c>
      <c r="F1579" t="s">
        <v>16</v>
      </c>
      <c r="H1579">
        <v>0</v>
      </c>
      <c r="I1579">
        <v>-4.19</v>
      </c>
      <c r="J1579">
        <v>-0.78</v>
      </c>
      <c r="L1579">
        <v>-0.31</v>
      </c>
      <c r="M1579">
        <v>9.8</v>
      </c>
      <c r="N1579">
        <v>0</v>
      </c>
      <c r="O1579">
        <v>0.48</v>
      </c>
    </row>
    <row r="1580" spans="1:15">
      <c r="A1580" t="str">
        <f>"300093"</f>
        <v>300093</v>
      </c>
      <c r="B1580" t="s">
        <v>1618</v>
      </c>
      <c r="C1580">
        <v>-4.14</v>
      </c>
      <c r="D1580">
        <v>23.15</v>
      </c>
      <c r="E1580" t="s">
        <v>16</v>
      </c>
      <c r="F1580" t="s">
        <v>16</v>
      </c>
      <c r="H1580">
        <v>0.35</v>
      </c>
      <c r="I1580">
        <v>0.22</v>
      </c>
      <c r="J1580">
        <v>-4.54</v>
      </c>
      <c r="L1580">
        <v>0</v>
      </c>
      <c r="M1580">
        <v>204.79</v>
      </c>
      <c r="N1580">
        <v>0.04</v>
      </c>
      <c r="O1580">
        <v>1.12</v>
      </c>
    </row>
    <row r="1581" spans="1:15">
      <c r="A1581" t="str">
        <f>"300094"</f>
        <v>300094</v>
      </c>
      <c r="B1581" t="s">
        <v>1619</v>
      </c>
      <c r="C1581">
        <v>-2.93</v>
      </c>
      <c r="D1581">
        <v>2.65</v>
      </c>
      <c r="E1581" t="s">
        <v>16</v>
      </c>
      <c r="F1581" t="s">
        <v>16</v>
      </c>
      <c r="H1581">
        <v>0</v>
      </c>
      <c r="I1581">
        <v>-8.62</v>
      </c>
      <c r="J1581">
        <v>-1.85</v>
      </c>
      <c r="L1581">
        <v>-1.1</v>
      </c>
      <c r="M1581">
        <v>35.15</v>
      </c>
      <c r="N1581">
        <v>0.02</v>
      </c>
      <c r="O1581">
        <v>0.83</v>
      </c>
    </row>
    <row r="1582" spans="1:15">
      <c r="A1582" t="str">
        <f>"300095"</f>
        <v>300095</v>
      </c>
      <c r="B1582" t="s">
        <v>1620</v>
      </c>
      <c r="C1582">
        <v>0.68</v>
      </c>
      <c r="D1582">
        <v>8.87</v>
      </c>
      <c r="E1582" t="s">
        <v>16</v>
      </c>
      <c r="F1582" t="s">
        <v>16</v>
      </c>
      <c r="H1582">
        <v>0.57</v>
      </c>
      <c r="I1582">
        <v>-3.9</v>
      </c>
      <c r="J1582">
        <v>-1</v>
      </c>
      <c r="L1582">
        <v>-0.68</v>
      </c>
      <c r="M1582">
        <v>11.11</v>
      </c>
      <c r="N1582">
        <v>0</v>
      </c>
      <c r="O1582">
        <v>1.53</v>
      </c>
    </row>
    <row r="1583" spans="1:15">
      <c r="A1583" t="str">
        <f>"300096"</f>
        <v>300096</v>
      </c>
      <c r="B1583" t="s">
        <v>1621</v>
      </c>
      <c r="C1583">
        <v>0</v>
      </c>
      <c r="D1583">
        <v>9.8</v>
      </c>
      <c r="E1583" t="s">
        <v>16</v>
      </c>
      <c r="F1583" t="s">
        <v>16</v>
      </c>
      <c r="H1583">
        <v>0.1</v>
      </c>
      <c r="I1583">
        <v>12.39</v>
      </c>
      <c r="J1583">
        <v>-1.71</v>
      </c>
      <c r="L1583">
        <v>1.73</v>
      </c>
      <c r="M1583">
        <v>28.51</v>
      </c>
      <c r="N1583">
        <v>0.01</v>
      </c>
      <c r="O1583">
        <v>5.72</v>
      </c>
    </row>
    <row r="1584" spans="1:15">
      <c r="A1584" t="str">
        <f>"300097"</f>
        <v>300097</v>
      </c>
      <c r="B1584" t="s">
        <v>1622</v>
      </c>
      <c r="C1584">
        <v>-2.86</v>
      </c>
      <c r="D1584">
        <v>9.51</v>
      </c>
      <c r="E1584" t="s">
        <v>16</v>
      </c>
      <c r="F1584" t="s">
        <v>16</v>
      </c>
      <c r="H1584">
        <v>0</v>
      </c>
      <c r="I1584">
        <v>3.37</v>
      </c>
      <c r="J1584">
        <v>-2.96</v>
      </c>
      <c r="L1584">
        <v>0.1</v>
      </c>
      <c r="M1584">
        <v>44.3</v>
      </c>
      <c r="N1584">
        <v>0.02</v>
      </c>
      <c r="O1584">
        <v>0.4</v>
      </c>
    </row>
    <row r="1585" spans="1:15">
      <c r="A1585" t="str">
        <f>"300098"</f>
        <v>300098</v>
      </c>
      <c r="B1585" t="s">
        <v>1623</v>
      </c>
      <c r="C1585">
        <v>-0.4</v>
      </c>
      <c r="D1585">
        <v>4.96</v>
      </c>
      <c r="E1585" t="s">
        <v>16</v>
      </c>
      <c r="F1585" t="s">
        <v>16</v>
      </c>
      <c r="H1585">
        <v>-0.19</v>
      </c>
      <c r="I1585">
        <v>-3.88</v>
      </c>
      <c r="J1585">
        <v>-1.2</v>
      </c>
      <c r="L1585">
        <v>-0.4</v>
      </c>
      <c r="M1585">
        <v>60.61</v>
      </c>
      <c r="N1585">
        <v>0.01</v>
      </c>
      <c r="O1585">
        <v>1.75</v>
      </c>
    </row>
    <row r="1586" spans="1:15">
      <c r="A1586" t="str">
        <f>"300099"</f>
        <v>300099</v>
      </c>
      <c r="B1586" t="s">
        <v>1624</v>
      </c>
      <c r="C1586">
        <v>-10.76</v>
      </c>
      <c r="D1586">
        <v>7.3</v>
      </c>
      <c r="E1586" t="s">
        <v>16</v>
      </c>
      <c r="F1586" t="s">
        <v>16</v>
      </c>
      <c r="H1586">
        <v>-0.13</v>
      </c>
      <c r="I1586">
        <v>0.83</v>
      </c>
      <c r="J1586">
        <v>-8.29</v>
      </c>
      <c r="L1586">
        <v>-4.28</v>
      </c>
      <c r="M1586">
        <v>1657.22</v>
      </c>
      <c r="N1586">
        <v>0.41</v>
      </c>
      <c r="O1586">
        <v>0.38</v>
      </c>
    </row>
    <row r="1587" spans="1:15">
      <c r="A1587" t="str">
        <f>"300100"</f>
        <v>300100</v>
      </c>
      <c r="B1587" t="s">
        <v>1625</v>
      </c>
      <c r="C1587">
        <v>11.86</v>
      </c>
      <c r="D1587">
        <v>31.69</v>
      </c>
      <c r="E1587" t="s">
        <v>16</v>
      </c>
      <c r="F1587" t="s">
        <v>16</v>
      </c>
      <c r="H1587">
        <v>0.03</v>
      </c>
      <c r="I1587">
        <v>3.02</v>
      </c>
      <c r="J1587">
        <v>-2.25</v>
      </c>
      <c r="L1587">
        <v>-0.14</v>
      </c>
      <c r="M1587">
        <v>56.3</v>
      </c>
      <c r="N1587">
        <v>0.01</v>
      </c>
      <c r="O1587">
        <v>2.4</v>
      </c>
    </row>
    <row r="1588" spans="1:15">
      <c r="A1588" t="str">
        <f>"300101"</f>
        <v>300101</v>
      </c>
      <c r="B1588" t="s">
        <v>1626</v>
      </c>
      <c r="C1588">
        <v>-0.55</v>
      </c>
      <c r="D1588">
        <v>16.19</v>
      </c>
      <c r="E1588" t="s">
        <v>16</v>
      </c>
      <c r="F1588" t="s">
        <v>16</v>
      </c>
      <c r="H1588">
        <v>-0.11</v>
      </c>
      <c r="I1588">
        <v>-3.34</v>
      </c>
      <c r="J1588">
        <v>-2.06</v>
      </c>
      <c r="L1588">
        <v>-0.68</v>
      </c>
      <c r="M1588">
        <v>20.54</v>
      </c>
      <c r="N1588">
        <v>0</v>
      </c>
      <c r="O1588">
        <v>0.55</v>
      </c>
    </row>
    <row r="1589" spans="1:15">
      <c r="A1589" t="str">
        <f>"300102"</f>
        <v>300102</v>
      </c>
      <c r="B1589" t="s">
        <v>1627</v>
      </c>
      <c r="C1589">
        <v>-0.77</v>
      </c>
      <c r="D1589">
        <v>24.62</v>
      </c>
      <c r="E1589" t="s">
        <v>16</v>
      </c>
      <c r="F1589" t="s">
        <v>16</v>
      </c>
      <c r="H1589">
        <v>0.08</v>
      </c>
      <c r="I1589">
        <v>0.12</v>
      </c>
      <c r="J1589">
        <v>-1.12</v>
      </c>
      <c r="L1589">
        <v>-1.09</v>
      </c>
      <c r="M1589">
        <v>441.72</v>
      </c>
      <c r="N1589">
        <v>0.03</v>
      </c>
      <c r="O1589">
        <v>0.85</v>
      </c>
    </row>
    <row r="1590" spans="1:15">
      <c r="A1590" t="str">
        <f>"300103"</f>
        <v>300103</v>
      </c>
      <c r="B1590" t="s">
        <v>1628</v>
      </c>
      <c r="C1590">
        <v>4.98</v>
      </c>
      <c r="D1590">
        <v>8.65</v>
      </c>
      <c r="E1590" t="s">
        <v>16</v>
      </c>
      <c r="F1590" t="s">
        <v>16</v>
      </c>
      <c r="H1590">
        <v>-0.22</v>
      </c>
      <c r="I1590">
        <v>2.61</v>
      </c>
      <c r="J1590">
        <v>-2.81</v>
      </c>
      <c r="L1590">
        <v>-0.61</v>
      </c>
      <c r="M1590">
        <v>6.96</v>
      </c>
      <c r="N1590">
        <v>0</v>
      </c>
      <c r="O1590">
        <v>0.48</v>
      </c>
    </row>
    <row r="1591" spans="1:15">
      <c r="A1591" t="str">
        <f>"300105"</f>
        <v>300105</v>
      </c>
      <c r="B1591" t="s">
        <v>1629</v>
      </c>
      <c r="C1591">
        <v>-2.09</v>
      </c>
      <c r="D1591">
        <v>7.02</v>
      </c>
      <c r="E1591" t="s">
        <v>16</v>
      </c>
      <c r="F1591" t="s">
        <v>16</v>
      </c>
      <c r="H1591">
        <v>0</v>
      </c>
      <c r="I1591">
        <v>18.18</v>
      </c>
      <c r="J1591">
        <v>-1.13</v>
      </c>
      <c r="L1591">
        <v>-2.23</v>
      </c>
      <c r="M1591">
        <v>215.21</v>
      </c>
      <c r="N1591">
        <v>0.1</v>
      </c>
      <c r="O1591">
        <v>0.73</v>
      </c>
    </row>
    <row r="1592" spans="1:15">
      <c r="A1592" t="str">
        <f>"300106"</f>
        <v>300106</v>
      </c>
      <c r="B1592" t="s">
        <v>1630</v>
      </c>
      <c r="C1592">
        <v>-3.15</v>
      </c>
      <c r="D1592">
        <v>11.08</v>
      </c>
      <c r="E1592" t="s">
        <v>16</v>
      </c>
      <c r="F1592" t="s">
        <v>16</v>
      </c>
      <c r="H1592">
        <v>0</v>
      </c>
      <c r="I1592">
        <v>-18.11</v>
      </c>
      <c r="J1592">
        <v>-2.89</v>
      </c>
      <c r="L1592">
        <v>-1.31</v>
      </c>
      <c r="M1592">
        <v>21.79</v>
      </c>
      <c r="N1592">
        <v>0.02</v>
      </c>
      <c r="O1592">
        <v>1.01</v>
      </c>
    </row>
    <row r="1593" spans="1:15">
      <c r="A1593" t="str">
        <f>"300107"</f>
        <v>300107</v>
      </c>
      <c r="B1593" t="s">
        <v>1631</v>
      </c>
      <c r="C1593">
        <v>-3.08</v>
      </c>
      <c r="D1593">
        <v>5.97</v>
      </c>
      <c r="E1593" t="s">
        <v>16</v>
      </c>
      <c r="F1593" t="s">
        <v>16</v>
      </c>
      <c r="H1593">
        <v>0.17</v>
      </c>
      <c r="I1593">
        <v>-1.81</v>
      </c>
      <c r="J1593">
        <v>-3.86</v>
      </c>
      <c r="L1593">
        <v>0.32</v>
      </c>
      <c r="M1593">
        <v>15.45</v>
      </c>
      <c r="N1593">
        <v>0.01</v>
      </c>
      <c r="O1593">
        <v>0.9</v>
      </c>
    </row>
    <row r="1594" spans="1:15">
      <c r="A1594" t="str">
        <f>"300109"</f>
        <v>300109</v>
      </c>
      <c r="B1594" t="s">
        <v>1632</v>
      </c>
      <c r="C1594">
        <v>6.83</v>
      </c>
      <c r="D1594">
        <v>18.62</v>
      </c>
      <c r="E1594" t="s">
        <v>16</v>
      </c>
      <c r="F1594" t="s">
        <v>16</v>
      </c>
      <c r="H1594">
        <v>-0.31</v>
      </c>
      <c r="I1594">
        <v>10.83</v>
      </c>
      <c r="J1594">
        <v>-1.48</v>
      </c>
      <c r="L1594">
        <v>-0.63</v>
      </c>
      <c r="M1594">
        <v>6.58</v>
      </c>
      <c r="N1594">
        <v>0</v>
      </c>
      <c r="O1594">
        <v>0.02</v>
      </c>
    </row>
    <row r="1595" spans="1:15">
      <c r="A1595" t="str">
        <f>"300110"</f>
        <v>300110</v>
      </c>
      <c r="B1595" t="s">
        <v>1633</v>
      </c>
      <c r="C1595">
        <v>0.78</v>
      </c>
      <c r="D1595">
        <v>2.59</v>
      </c>
      <c r="E1595" t="s">
        <v>16</v>
      </c>
      <c r="F1595" t="s">
        <v>16</v>
      </c>
      <c r="H1595">
        <v>0</v>
      </c>
      <c r="I1595">
        <v>-5.82</v>
      </c>
      <c r="J1595">
        <v>-0.77</v>
      </c>
      <c r="L1595">
        <v>-0.39</v>
      </c>
      <c r="M1595">
        <v>4.38</v>
      </c>
      <c r="N1595">
        <v>0</v>
      </c>
      <c r="O1595">
        <v>0.09</v>
      </c>
    </row>
    <row r="1596" spans="1:15">
      <c r="A1596" t="str">
        <f>"300111"</f>
        <v>300111</v>
      </c>
      <c r="B1596" t="s">
        <v>1634</v>
      </c>
      <c r="C1596">
        <v>0</v>
      </c>
      <c r="D1596">
        <v>3.08</v>
      </c>
      <c r="E1596" t="s">
        <v>16</v>
      </c>
      <c r="F1596" t="s">
        <v>16</v>
      </c>
      <c r="H1596">
        <v>0.33</v>
      </c>
      <c r="I1596">
        <v>-5.81</v>
      </c>
      <c r="J1596">
        <v>-1.6</v>
      </c>
      <c r="L1596">
        <v>0</v>
      </c>
      <c r="M1596">
        <v>5.82</v>
      </c>
      <c r="N1596">
        <v>0</v>
      </c>
      <c r="O1596">
        <v>1.15</v>
      </c>
    </row>
    <row r="1597" spans="1:15">
      <c r="A1597" t="str">
        <f>"300112"</f>
        <v>300112</v>
      </c>
      <c r="B1597" t="s">
        <v>1635</v>
      </c>
      <c r="C1597">
        <v>-0.75</v>
      </c>
      <c r="D1597">
        <v>6.58</v>
      </c>
      <c r="E1597" t="s">
        <v>16</v>
      </c>
      <c r="F1597" t="s">
        <v>16</v>
      </c>
      <c r="H1597">
        <v>-0.14</v>
      </c>
      <c r="I1597">
        <v>-3.8</v>
      </c>
      <c r="J1597">
        <v>-1.5</v>
      </c>
      <c r="L1597">
        <v>-1.36</v>
      </c>
      <c r="M1597">
        <v>15.37</v>
      </c>
      <c r="N1597">
        <v>0.01</v>
      </c>
      <c r="O1597">
        <v>0.66</v>
      </c>
    </row>
    <row r="1598" spans="1:15">
      <c r="A1598" t="str">
        <f>"300113"</f>
        <v>300113</v>
      </c>
      <c r="B1598" t="s">
        <v>1636</v>
      </c>
      <c r="C1598">
        <v>1.41</v>
      </c>
      <c r="D1598">
        <v>20.18</v>
      </c>
      <c r="E1598" t="s">
        <v>16</v>
      </c>
      <c r="F1598" t="s">
        <v>16</v>
      </c>
      <c r="H1598">
        <v>-0.04</v>
      </c>
      <c r="I1598">
        <v>-3.54</v>
      </c>
      <c r="J1598">
        <v>-1.46</v>
      </c>
      <c r="L1598">
        <v>-0.1</v>
      </c>
      <c r="M1598">
        <v>49.1</v>
      </c>
      <c r="N1598">
        <v>0.01</v>
      </c>
      <c r="O1598">
        <v>0.34</v>
      </c>
    </row>
    <row r="1599" spans="1:15">
      <c r="A1599" t="str">
        <f>"300115"</f>
        <v>300115</v>
      </c>
      <c r="B1599" t="s">
        <v>1637</v>
      </c>
      <c r="C1599">
        <v>1.6</v>
      </c>
      <c r="D1599">
        <v>31.19</v>
      </c>
      <c r="E1599" t="s">
        <v>16</v>
      </c>
      <c r="F1599" t="s">
        <v>16</v>
      </c>
      <c r="H1599">
        <v>0.16</v>
      </c>
      <c r="I1599">
        <v>-6.14</v>
      </c>
      <c r="J1599">
        <v>-1.86</v>
      </c>
      <c r="L1599">
        <v>-0.62</v>
      </c>
      <c r="M1599">
        <v>196.18</v>
      </c>
      <c r="N1599">
        <v>0.01</v>
      </c>
      <c r="O1599">
        <v>0.49</v>
      </c>
    </row>
    <row r="1600" spans="1:15">
      <c r="A1600" t="str">
        <f>"300118"</f>
        <v>300118</v>
      </c>
      <c r="B1600" t="s">
        <v>1638</v>
      </c>
      <c r="C1600">
        <v>-3.2</v>
      </c>
      <c r="D1600">
        <v>13.31</v>
      </c>
      <c r="E1600" t="s">
        <v>16</v>
      </c>
      <c r="F1600" t="s">
        <v>16</v>
      </c>
      <c r="H1600">
        <v>0</v>
      </c>
      <c r="I1600">
        <v>-4.79</v>
      </c>
      <c r="J1600">
        <v>-2.49</v>
      </c>
      <c r="L1600">
        <v>-1.09</v>
      </c>
      <c r="M1600">
        <v>365.3</v>
      </c>
      <c r="N1600">
        <v>0.03</v>
      </c>
      <c r="O1600">
        <v>0.89</v>
      </c>
    </row>
    <row r="1601" spans="1:15">
      <c r="A1601" t="str">
        <f>"300119"</f>
        <v>300119</v>
      </c>
      <c r="B1601" t="s">
        <v>1639</v>
      </c>
      <c r="C1601">
        <v>-0.65</v>
      </c>
      <c r="D1601">
        <v>15.2</v>
      </c>
      <c r="E1601" t="s">
        <v>16</v>
      </c>
      <c r="F1601" t="s">
        <v>16</v>
      </c>
      <c r="H1601">
        <v>0</v>
      </c>
      <c r="I1601">
        <v>-3.92</v>
      </c>
      <c r="J1601">
        <v>-1.49</v>
      </c>
      <c r="L1601">
        <v>0</v>
      </c>
      <c r="M1601">
        <v>1.56</v>
      </c>
      <c r="N1601">
        <v>0</v>
      </c>
      <c r="O1601">
        <v>0.39</v>
      </c>
    </row>
    <row r="1602" spans="1:15">
      <c r="A1602" t="str">
        <f>"300120"</f>
        <v>300120</v>
      </c>
      <c r="B1602" t="s">
        <v>1640</v>
      </c>
      <c r="C1602">
        <v>-8.98</v>
      </c>
      <c r="D1602">
        <v>8.51</v>
      </c>
      <c r="E1602" t="s">
        <v>16</v>
      </c>
      <c r="F1602" t="s">
        <v>16</v>
      </c>
      <c r="H1602">
        <v>-0.11</v>
      </c>
      <c r="I1602">
        <v>4.29</v>
      </c>
      <c r="J1602">
        <v>-7.8</v>
      </c>
      <c r="L1602">
        <v>-1.28</v>
      </c>
      <c r="M1602">
        <v>107.53</v>
      </c>
      <c r="N1602">
        <v>0.02</v>
      </c>
      <c r="O1602">
        <v>0.42</v>
      </c>
    </row>
    <row r="1603" spans="1:15">
      <c r="A1603" t="str">
        <f>"300121"</f>
        <v>300121</v>
      </c>
      <c r="B1603" t="s">
        <v>1641</v>
      </c>
      <c r="C1603">
        <v>-4.62</v>
      </c>
      <c r="D1603">
        <v>11.97</v>
      </c>
      <c r="E1603" t="s">
        <v>16</v>
      </c>
      <c r="F1603" t="s">
        <v>16</v>
      </c>
      <c r="H1603">
        <v>0.17</v>
      </c>
      <c r="I1603">
        <v>-3.62</v>
      </c>
      <c r="J1603">
        <v>-4.09</v>
      </c>
      <c r="L1603">
        <v>-2.15</v>
      </c>
      <c r="M1603">
        <v>284.65</v>
      </c>
      <c r="N1603">
        <v>0.08</v>
      </c>
      <c r="O1603">
        <v>1.33</v>
      </c>
    </row>
    <row r="1604" spans="1:15">
      <c r="A1604" t="str">
        <f>"300122"</f>
        <v>300122</v>
      </c>
      <c r="B1604" t="s">
        <v>1642</v>
      </c>
      <c r="C1604">
        <v>-3.17</v>
      </c>
      <c r="D1604">
        <v>12.21</v>
      </c>
      <c r="E1604" t="s">
        <v>16</v>
      </c>
      <c r="F1604" t="s">
        <v>16</v>
      </c>
      <c r="H1604">
        <v>-0.15</v>
      </c>
      <c r="I1604">
        <v>-2.01</v>
      </c>
      <c r="J1604">
        <v>-3.78</v>
      </c>
      <c r="L1604">
        <v>-0.08</v>
      </c>
      <c r="M1604">
        <v>60.23</v>
      </c>
      <c r="N1604">
        <v>0</v>
      </c>
      <c r="O1604">
        <v>0.55</v>
      </c>
    </row>
    <row r="1605" spans="1:15">
      <c r="A1605" t="str">
        <f>"300123"</f>
        <v>300123</v>
      </c>
      <c r="B1605" t="s">
        <v>1643</v>
      </c>
      <c r="C1605">
        <v>-2.64</v>
      </c>
      <c r="D1605">
        <v>4.06</v>
      </c>
      <c r="E1605" t="s">
        <v>16</v>
      </c>
      <c r="F1605" t="s">
        <v>16</v>
      </c>
      <c r="H1605">
        <v>0</v>
      </c>
      <c r="I1605">
        <v>-14.35</v>
      </c>
      <c r="J1605">
        <v>-2.87</v>
      </c>
      <c r="L1605">
        <v>-0.96</v>
      </c>
      <c r="M1605">
        <v>50.34</v>
      </c>
      <c r="N1605">
        <v>0.01</v>
      </c>
      <c r="O1605">
        <v>0.78</v>
      </c>
    </row>
    <row r="1606" spans="1:15">
      <c r="A1606" t="str">
        <f>"300124"</f>
        <v>300124</v>
      </c>
      <c r="B1606" t="s">
        <v>1644</v>
      </c>
      <c r="C1606">
        <v>2.05</v>
      </c>
      <c r="D1606">
        <v>71.18</v>
      </c>
      <c r="E1606" t="s">
        <v>16</v>
      </c>
      <c r="F1606" t="s">
        <v>16</v>
      </c>
      <c r="H1606">
        <v>-0.06</v>
      </c>
      <c r="I1606">
        <v>-4.01</v>
      </c>
      <c r="J1606">
        <v>-1.63</v>
      </c>
      <c r="L1606">
        <v>-0.24</v>
      </c>
      <c r="M1606">
        <v>743.81</v>
      </c>
      <c r="N1606">
        <v>0.01</v>
      </c>
      <c r="O1606">
        <v>0.63</v>
      </c>
    </row>
    <row r="1607" spans="1:15">
      <c r="A1607" t="str">
        <f>"300125"</f>
        <v>300125</v>
      </c>
      <c r="B1607" t="s">
        <v>1645</v>
      </c>
      <c r="C1607">
        <v>3.54</v>
      </c>
      <c r="D1607">
        <v>9.94</v>
      </c>
      <c r="E1607" t="s">
        <v>16</v>
      </c>
      <c r="F1607" t="s">
        <v>16</v>
      </c>
      <c r="H1607">
        <v>0</v>
      </c>
      <c r="I1607">
        <v>3.65</v>
      </c>
      <c r="J1607">
        <v>-1.39</v>
      </c>
      <c r="L1607">
        <v>0</v>
      </c>
      <c r="M1607">
        <v>15.07</v>
      </c>
      <c r="N1607">
        <v>0.01</v>
      </c>
      <c r="O1607">
        <v>1.15</v>
      </c>
    </row>
    <row r="1608" spans="1:15">
      <c r="A1608" t="str">
        <f>"300126"</f>
        <v>300126</v>
      </c>
      <c r="B1608" t="s">
        <v>1646</v>
      </c>
      <c r="C1608">
        <v>-1.6</v>
      </c>
      <c r="D1608">
        <v>6.14</v>
      </c>
      <c r="E1608" t="s">
        <v>16</v>
      </c>
      <c r="F1608" t="s">
        <v>16</v>
      </c>
      <c r="H1608">
        <v>-0.31</v>
      </c>
      <c r="I1608">
        <v>-8.08</v>
      </c>
      <c r="J1608">
        <v>-1.76</v>
      </c>
      <c r="L1608">
        <v>-1.28</v>
      </c>
      <c r="M1608">
        <v>31.91</v>
      </c>
      <c r="N1608">
        <v>0.04</v>
      </c>
      <c r="O1608">
        <v>0.49</v>
      </c>
    </row>
    <row r="1609" spans="1:15">
      <c r="A1609" t="str">
        <f>"300127"</f>
        <v>300127</v>
      </c>
      <c r="B1609" t="s">
        <v>1647</v>
      </c>
      <c r="C1609">
        <v>3.18</v>
      </c>
      <c r="D1609">
        <v>30.16</v>
      </c>
      <c r="E1609" t="s">
        <v>16</v>
      </c>
      <c r="F1609" t="s">
        <v>16</v>
      </c>
      <c r="H1609">
        <v>-0.02</v>
      </c>
      <c r="I1609">
        <v>10.6</v>
      </c>
      <c r="J1609">
        <v>-1.37</v>
      </c>
      <c r="L1609">
        <v>-0.68</v>
      </c>
      <c r="M1609">
        <v>64.74</v>
      </c>
      <c r="N1609">
        <v>0.02</v>
      </c>
      <c r="O1609">
        <v>0.41</v>
      </c>
    </row>
    <row r="1610" spans="1:15">
      <c r="A1610" t="str">
        <f>"300128"</f>
        <v>300128</v>
      </c>
      <c r="B1610" t="s">
        <v>1648</v>
      </c>
      <c r="C1610">
        <v>0.82</v>
      </c>
      <c r="D1610">
        <v>6.18</v>
      </c>
      <c r="E1610" t="s">
        <v>16</v>
      </c>
      <c r="F1610" t="s">
        <v>16</v>
      </c>
      <c r="H1610">
        <v>0</v>
      </c>
      <c r="I1610">
        <v>-17.82</v>
      </c>
      <c r="J1610">
        <v>-5.21</v>
      </c>
      <c r="L1610">
        <v>-0.65</v>
      </c>
      <c r="M1610">
        <v>112.12</v>
      </c>
      <c r="N1610">
        <v>0.02</v>
      </c>
      <c r="O1610">
        <v>0.61</v>
      </c>
    </row>
    <row r="1611" spans="1:15">
      <c r="A1611" t="str">
        <f>"300129"</f>
        <v>300129</v>
      </c>
      <c r="B1611" t="s">
        <v>1649</v>
      </c>
      <c r="C1611">
        <v>-1.39</v>
      </c>
      <c r="D1611">
        <v>9.21</v>
      </c>
      <c r="E1611" t="s">
        <v>16</v>
      </c>
      <c r="F1611" t="s">
        <v>16</v>
      </c>
      <c r="H1611">
        <v>0</v>
      </c>
      <c r="I1611">
        <v>-8.18</v>
      </c>
      <c r="J1611">
        <v>-2.75</v>
      </c>
      <c r="L1611">
        <v>-0.86</v>
      </c>
      <c r="M1611">
        <v>23.8</v>
      </c>
      <c r="N1611">
        <v>0</v>
      </c>
      <c r="O1611">
        <v>1.02</v>
      </c>
    </row>
    <row r="1612" spans="1:15">
      <c r="A1612" t="str">
        <f>"300130"</f>
        <v>300130</v>
      </c>
      <c r="B1612" t="s">
        <v>1650</v>
      </c>
      <c r="C1612">
        <v>-4.47</v>
      </c>
      <c r="D1612">
        <v>20.73</v>
      </c>
      <c r="E1612" t="s">
        <v>16</v>
      </c>
      <c r="F1612" t="s">
        <v>16</v>
      </c>
      <c r="H1612">
        <v>-0.04</v>
      </c>
      <c r="I1612">
        <v>-17.18</v>
      </c>
      <c r="J1612">
        <v>-5.99</v>
      </c>
      <c r="L1612">
        <v>-0.69</v>
      </c>
      <c r="M1612">
        <v>88.36</v>
      </c>
      <c r="N1612">
        <v>0.01</v>
      </c>
      <c r="O1612">
        <v>0.95</v>
      </c>
    </row>
    <row r="1613" spans="1:15">
      <c r="A1613" t="str">
        <f>"300131"</f>
        <v>300131</v>
      </c>
      <c r="B1613" t="s">
        <v>1651</v>
      </c>
      <c r="C1613">
        <v>0.37</v>
      </c>
      <c r="D1613">
        <v>18.86</v>
      </c>
      <c r="E1613" t="s">
        <v>16</v>
      </c>
      <c r="F1613" t="s">
        <v>16</v>
      </c>
      <c r="H1613">
        <v>0</v>
      </c>
      <c r="I1613">
        <v>10.1</v>
      </c>
      <c r="J1613">
        <v>-1.62</v>
      </c>
      <c r="L1613">
        <v>-0.21</v>
      </c>
      <c r="M1613">
        <v>577.13</v>
      </c>
      <c r="N1613">
        <v>0.03</v>
      </c>
      <c r="O1613">
        <v>0.45</v>
      </c>
    </row>
    <row r="1614" spans="1:15">
      <c r="A1614" t="str">
        <f>"300132"</f>
        <v>300132</v>
      </c>
      <c r="B1614" t="s">
        <v>1652</v>
      </c>
      <c r="C1614">
        <v>-1.16</v>
      </c>
      <c r="D1614">
        <v>5.99</v>
      </c>
      <c r="E1614" t="s">
        <v>16</v>
      </c>
      <c r="F1614" t="s">
        <v>16</v>
      </c>
      <c r="H1614">
        <v>-0.16</v>
      </c>
      <c r="I1614">
        <v>-8.97</v>
      </c>
      <c r="J1614">
        <v>-1.8</v>
      </c>
      <c r="L1614">
        <v>0.33</v>
      </c>
      <c r="M1614">
        <v>7.96</v>
      </c>
      <c r="N1614">
        <v>0</v>
      </c>
      <c r="O1614">
        <v>0.56</v>
      </c>
    </row>
    <row r="1615" spans="1:15">
      <c r="A1615" t="str">
        <f>"300133"</f>
        <v>300133</v>
      </c>
      <c r="B1615" t="s">
        <v>1653</v>
      </c>
      <c r="C1615">
        <v>1.8</v>
      </c>
      <c r="D1615">
        <v>7.36</v>
      </c>
      <c r="E1615" t="s">
        <v>16</v>
      </c>
      <c r="F1615" t="s">
        <v>16</v>
      </c>
      <c r="H1615">
        <v>0.27</v>
      </c>
      <c r="I1615">
        <v>-2.39</v>
      </c>
      <c r="J1615">
        <v>-1.6</v>
      </c>
      <c r="L1615">
        <v>1.11</v>
      </c>
      <c r="M1615">
        <v>611.7</v>
      </c>
      <c r="N1615">
        <v>0.07</v>
      </c>
      <c r="O1615">
        <v>7.48</v>
      </c>
    </row>
    <row r="1616" spans="1:15">
      <c r="A1616" t="str">
        <f>"300134"</f>
        <v>300134</v>
      </c>
      <c r="B1616" t="s">
        <v>1654</v>
      </c>
      <c r="C1616">
        <v>-0.5</v>
      </c>
      <c r="D1616">
        <v>10.02</v>
      </c>
      <c r="E1616" t="s">
        <v>16</v>
      </c>
      <c r="F1616" t="s">
        <v>16</v>
      </c>
      <c r="H1616">
        <v>-0.19</v>
      </c>
      <c r="I1616">
        <v>-0.1</v>
      </c>
      <c r="J1616">
        <v>-1.96</v>
      </c>
      <c r="L1616">
        <v>-0.4</v>
      </c>
      <c r="M1616">
        <v>10.73</v>
      </c>
      <c r="N1616">
        <v>0</v>
      </c>
      <c r="O1616">
        <v>0.22</v>
      </c>
    </row>
    <row r="1617" spans="1:15">
      <c r="A1617" t="str">
        <f>"300135"</f>
        <v>300135</v>
      </c>
      <c r="B1617" t="s">
        <v>1655</v>
      </c>
      <c r="C1617">
        <v>-1.85</v>
      </c>
      <c r="D1617">
        <v>3.19</v>
      </c>
      <c r="E1617" t="s">
        <v>16</v>
      </c>
      <c r="F1617" t="s">
        <v>16</v>
      </c>
      <c r="H1617">
        <v>-0.61</v>
      </c>
      <c r="I1617">
        <v>-8.33</v>
      </c>
      <c r="J1617">
        <v>-2.45</v>
      </c>
      <c r="L1617">
        <v>0.31</v>
      </c>
      <c r="M1617">
        <v>4.5</v>
      </c>
      <c r="N1617">
        <v>0</v>
      </c>
      <c r="O1617">
        <v>0.64</v>
      </c>
    </row>
    <row r="1618" spans="1:15">
      <c r="A1618" t="str">
        <f>"300136"</f>
        <v>300136</v>
      </c>
      <c r="B1618" t="s">
        <v>1656</v>
      </c>
      <c r="C1618">
        <v>1.79</v>
      </c>
      <c r="D1618">
        <v>107.45</v>
      </c>
      <c r="E1618" t="s">
        <v>16</v>
      </c>
      <c r="F1618" t="s">
        <v>16</v>
      </c>
      <c r="H1618">
        <v>0.35</v>
      </c>
      <c r="I1618">
        <v>9.64</v>
      </c>
      <c r="J1618">
        <v>-3.02</v>
      </c>
      <c r="L1618">
        <v>-2.9</v>
      </c>
      <c r="M1618">
        <v>16484.04</v>
      </c>
      <c r="N1618">
        <v>0.21</v>
      </c>
      <c r="O1618">
        <v>1.13</v>
      </c>
    </row>
    <row r="1619" spans="1:15">
      <c r="A1619" t="str">
        <f>"300137"</f>
        <v>300137</v>
      </c>
      <c r="B1619" t="s">
        <v>1657</v>
      </c>
      <c r="C1619">
        <v>3.84</v>
      </c>
      <c r="D1619">
        <v>17.57</v>
      </c>
      <c r="E1619" t="s">
        <v>16</v>
      </c>
      <c r="F1619" t="s">
        <v>16</v>
      </c>
      <c r="H1619">
        <v>-0.16</v>
      </c>
      <c r="I1619">
        <v>-7.04</v>
      </c>
      <c r="J1619">
        <v>-0.9</v>
      </c>
      <c r="L1619">
        <v>0.53</v>
      </c>
      <c r="M1619">
        <v>246.47</v>
      </c>
      <c r="N1619">
        <v>0.03</v>
      </c>
      <c r="O1619">
        <v>16.1</v>
      </c>
    </row>
    <row r="1620" spans="1:15">
      <c r="A1620" t="str">
        <f>"300138"</f>
        <v>300138</v>
      </c>
      <c r="B1620" t="s">
        <v>1658</v>
      </c>
      <c r="C1620">
        <v>-0.72</v>
      </c>
      <c r="D1620">
        <v>9.71</v>
      </c>
      <c r="E1620" t="s">
        <v>16</v>
      </c>
      <c r="F1620" t="s">
        <v>16</v>
      </c>
      <c r="H1620">
        <v>0</v>
      </c>
      <c r="I1620">
        <v>-1.52</v>
      </c>
      <c r="J1620">
        <v>-1.72</v>
      </c>
      <c r="L1620">
        <v>-0.61</v>
      </c>
      <c r="M1620">
        <v>0.58</v>
      </c>
      <c r="N1620">
        <v>0</v>
      </c>
      <c r="O1620">
        <v>0.11</v>
      </c>
    </row>
    <row r="1621" spans="1:15">
      <c r="A1621" t="str">
        <f>"300139"</f>
        <v>300139</v>
      </c>
      <c r="B1621" t="s">
        <v>1659</v>
      </c>
      <c r="C1621">
        <v>-2.46</v>
      </c>
      <c r="D1621">
        <v>42.78</v>
      </c>
      <c r="E1621" t="s">
        <v>16</v>
      </c>
      <c r="F1621" t="s">
        <v>16</v>
      </c>
      <c r="H1621">
        <v>-0.01</v>
      </c>
      <c r="I1621">
        <v>-0.42</v>
      </c>
      <c r="J1621">
        <v>-3.43</v>
      </c>
      <c r="L1621">
        <v>-0.82</v>
      </c>
      <c r="M1621">
        <v>1563.82</v>
      </c>
      <c r="N1621">
        <v>0.16</v>
      </c>
      <c r="O1621">
        <v>2.64</v>
      </c>
    </row>
    <row r="1622" spans="1:15">
      <c r="A1622" t="str">
        <f>"300140"</f>
        <v>300140</v>
      </c>
      <c r="B1622" t="s">
        <v>1660</v>
      </c>
      <c r="C1622">
        <v>-2.78</v>
      </c>
      <c r="D1622">
        <v>5.25</v>
      </c>
      <c r="E1622" t="s">
        <v>16</v>
      </c>
      <c r="F1622" t="s">
        <v>16</v>
      </c>
      <c r="H1622">
        <v>0</v>
      </c>
      <c r="I1622">
        <v>-11.62</v>
      </c>
      <c r="J1622">
        <v>-2.78</v>
      </c>
      <c r="L1622">
        <v>0</v>
      </c>
      <c r="M1622">
        <v>18.74</v>
      </c>
      <c r="N1622">
        <v>0</v>
      </c>
      <c r="O1622">
        <v>0.94</v>
      </c>
    </row>
    <row r="1623" spans="1:15">
      <c r="A1623" t="str">
        <f>"300141"</f>
        <v>300141</v>
      </c>
      <c r="B1623" t="s">
        <v>1661</v>
      </c>
      <c r="C1623">
        <v>-1.83</v>
      </c>
      <c r="D1623">
        <v>10.22</v>
      </c>
      <c r="E1623" t="s">
        <v>16</v>
      </c>
      <c r="F1623" t="s">
        <v>16</v>
      </c>
      <c r="H1623">
        <v>-0.09</v>
      </c>
      <c r="I1623">
        <v>-6.24</v>
      </c>
      <c r="J1623">
        <v>-2.01</v>
      </c>
      <c r="L1623">
        <v>-1.25</v>
      </c>
      <c r="M1623">
        <v>18.09</v>
      </c>
      <c r="N1623">
        <v>0.01</v>
      </c>
      <c r="O1623">
        <v>0.57</v>
      </c>
    </row>
    <row r="1624" spans="1:15">
      <c r="A1624" t="str">
        <f>"300142"</f>
        <v>300142</v>
      </c>
      <c r="B1624" t="s">
        <v>1662</v>
      </c>
      <c r="C1624">
        <v>3.58</v>
      </c>
      <c r="D1624">
        <v>12.44</v>
      </c>
      <c r="E1624" t="s">
        <v>16</v>
      </c>
      <c r="F1624" t="s">
        <v>16</v>
      </c>
      <c r="H1624">
        <v>0</v>
      </c>
      <c r="I1624">
        <v>4.36</v>
      </c>
      <c r="J1624">
        <v>-0.96</v>
      </c>
      <c r="L1624">
        <v>-0.17</v>
      </c>
      <c r="M1624">
        <v>99.16</v>
      </c>
      <c r="N1624">
        <v>0.01</v>
      </c>
      <c r="O1624">
        <v>0.26</v>
      </c>
    </row>
    <row r="1625" spans="1:15">
      <c r="A1625" t="str">
        <f>"300143"</f>
        <v>300143</v>
      </c>
      <c r="B1625" t="s">
        <v>1663</v>
      </c>
      <c r="C1625">
        <v>0.43</v>
      </c>
      <c r="D1625">
        <v>6.97</v>
      </c>
      <c r="E1625" t="s">
        <v>16</v>
      </c>
      <c r="F1625" t="s">
        <v>16</v>
      </c>
      <c r="H1625">
        <v>0.14</v>
      </c>
      <c r="I1625">
        <v>-8.05</v>
      </c>
      <c r="J1625">
        <v>-1.27</v>
      </c>
      <c r="L1625">
        <v>-0.72</v>
      </c>
      <c r="M1625">
        <v>5.79</v>
      </c>
      <c r="N1625">
        <v>0</v>
      </c>
      <c r="O1625">
        <v>42.02</v>
      </c>
    </row>
    <row r="1626" spans="1:15">
      <c r="A1626" t="str">
        <f>"300144"</f>
        <v>300144</v>
      </c>
      <c r="B1626" t="s">
        <v>1664</v>
      </c>
      <c r="C1626">
        <v>-0.81</v>
      </c>
      <c r="D1626">
        <v>6.09</v>
      </c>
      <c r="E1626" t="s">
        <v>16</v>
      </c>
      <c r="F1626" t="s">
        <v>16</v>
      </c>
      <c r="H1626">
        <v>-0.15</v>
      </c>
      <c r="I1626">
        <v>-1.93</v>
      </c>
      <c r="J1626">
        <v>-1.14</v>
      </c>
      <c r="L1626">
        <v>-0.16</v>
      </c>
      <c r="M1626">
        <v>40.76</v>
      </c>
      <c r="N1626">
        <v>0</v>
      </c>
      <c r="O1626">
        <v>0.84</v>
      </c>
    </row>
    <row r="1627" spans="1:15">
      <c r="A1627" t="str">
        <f>"300145"</f>
        <v>300145</v>
      </c>
      <c r="B1627" t="s">
        <v>1665</v>
      </c>
      <c r="C1627">
        <v>1.62</v>
      </c>
      <c r="D1627">
        <v>5.64</v>
      </c>
      <c r="E1627" t="s">
        <v>16</v>
      </c>
      <c r="F1627" t="s">
        <v>16</v>
      </c>
      <c r="H1627">
        <v>0</v>
      </c>
      <c r="I1627">
        <v>29.06</v>
      </c>
      <c r="J1627">
        <v>-3.42</v>
      </c>
      <c r="K1627" t="s">
        <v>26</v>
      </c>
      <c r="L1627">
        <v>-0.18</v>
      </c>
      <c r="M1627">
        <v>2262.09</v>
      </c>
      <c r="N1627">
        <v>0.31</v>
      </c>
      <c r="O1627">
        <v>0.52</v>
      </c>
    </row>
    <row r="1628" spans="1:15">
      <c r="A1628" t="str">
        <f>"300146"</f>
        <v>300146</v>
      </c>
      <c r="B1628" t="s">
        <v>1666</v>
      </c>
      <c r="C1628">
        <v>1.34</v>
      </c>
      <c r="D1628">
        <v>9.82</v>
      </c>
      <c r="E1628" t="s">
        <v>16</v>
      </c>
      <c r="F1628" t="s">
        <v>16</v>
      </c>
      <c r="H1628">
        <v>0.41</v>
      </c>
      <c r="I1628">
        <v>2.83</v>
      </c>
      <c r="J1628">
        <v>-0.51</v>
      </c>
      <c r="L1628">
        <v>0</v>
      </c>
      <c r="M1628">
        <v>23.84</v>
      </c>
      <c r="N1628">
        <v>0</v>
      </c>
      <c r="O1628">
        <v>0.68</v>
      </c>
    </row>
    <row r="1629" spans="1:15">
      <c r="A1629" t="str">
        <f>"300147"</f>
        <v>300147</v>
      </c>
      <c r="B1629" t="s">
        <v>1667</v>
      </c>
      <c r="C1629">
        <v>9.03</v>
      </c>
      <c r="D1629">
        <v>9.9</v>
      </c>
      <c r="E1629" t="s">
        <v>16</v>
      </c>
      <c r="F1629" t="s">
        <v>16</v>
      </c>
      <c r="H1629">
        <v>0</v>
      </c>
      <c r="I1629">
        <v>2.38</v>
      </c>
      <c r="J1629">
        <v>-1</v>
      </c>
      <c r="L1629">
        <v>0.44</v>
      </c>
      <c r="M1629">
        <v>19.15</v>
      </c>
      <c r="N1629">
        <v>0</v>
      </c>
      <c r="O1629">
        <v>0.22</v>
      </c>
    </row>
    <row r="1630" spans="1:15">
      <c r="A1630" t="str">
        <f>"300148"</f>
        <v>300148</v>
      </c>
      <c r="B1630" t="s">
        <v>1668</v>
      </c>
      <c r="C1630">
        <v>-0.31</v>
      </c>
      <c r="D1630">
        <v>3.24</v>
      </c>
      <c r="E1630" t="s">
        <v>16</v>
      </c>
      <c r="F1630" t="s">
        <v>16</v>
      </c>
      <c r="H1630">
        <v>-0.3</v>
      </c>
      <c r="I1630">
        <v>-9.24</v>
      </c>
      <c r="J1630">
        <v>-1.22</v>
      </c>
      <c r="L1630">
        <v>0</v>
      </c>
      <c r="M1630">
        <v>13.39</v>
      </c>
      <c r="N1630">
        <v>0.01</v>
      </c>
      <c r="O1630">
        <v>1.1</v>
      </c>
    </row>
    <row r="1631" spans="1:15">
      <c r="A1631" t="str">
        <f>"300149"</f>
        <v>300149</v>
      </c>
      <c r="B1631" t="s">
        <v>1669</v>
      </c>
      <c r="C1631">
        <v>1.32</v>
      </c>
      <c r="D1631">
        <v>7.65</v>
      </c>
      <c r="E1631" t="s">
        <v>16</v>
      </c>
      <c r="F1631" t="s">
        <v>16</v>
      </c>
      <c r="H1631">
        <v>-0.25</v>
      </c>
      <c r="I1631">
        <v>-6.25</v>
      </c>
      <c r="J1631">
        <v>-1.54</v>
      </c>
      <c r="L1631">
        <v>0</v>
      </c>
      <c r="M1631">
        <v>29.29</v>
      </c>
      <c r="N1631">
        <v>0.01</v>
      </c>
      <c r="O1631">
        <v>5.46</v>
      </c>
    </row>
    <row r="1632" spans="1:15">
      <c r="A1632" t="str">
        <f>"300150"</f>
        <v>300150</v>
      </c>
      <c r="B1632" t="s">
        <v>1670</v>
      </c>
      <c r="C1632">
        <v>0.49</v>
      </c>
      <c r="D1632">
        <v>4.14</v>
      </c>
      <c r="E1632" t="s">
        <v>16</v>
      </c>
      <c r="F1632" t="s">
        <v>16</v>
      </c>
      <c r="H1632">
        <v>0.49</v>
      </c>
      <c r="I1632">
        <v>-1.19</v>
      </c>
      <c r="J1632">
        <v>-0.72</v>
      </c>
      <c r="L1632">
        <v>-0.49</v>
      </c>
      <c r="M1632">
        <v>5.37</v>
      </c>
      <c r="N1632">
        <v>0</v>
      </c>
      <c r="O1632">
        <v>0.93</v>
      </c>
    </row>
    <row r="1633" spans="1:15">
      <c r="A1633" t="str">
        <f>"300151"</f>
        <v>300151</v>
      </c>
      <c r="B1633" t="s">
        <v>1671</v>
      </c>
      <c r="C1633">
        <v>-3.44</v>
      </c>
      <c r="D1633">
        <v>22.77</v>
      </c>
      <c r="E1633" t="s">
        <v>16</v>
      </c>
      <c r="F1633" t="s">
        <v>16</v>
      </c>
      <c r="H1633">
        <v>0.18</v>
      </c>
      <c r="I1633">
        <v>-9.82</v>
      </c>
      <c r="J1633">
        <v>-3.15</v>
      </c>
      <c r="L1633">
        <v>-0.42</v>
      </c>
      <c r="M1633">
        <v>81.01</v>
      </c>
      <c r="N1633">
        <v>0.01</v>
      </c>
      <c r="O1633">
        <v>0.67</v>
      </c>
    </row>
    <row r="1634" spans="1:15">
      <c r="A1634" t="str">
        <f>"300152"</f>
        <v>300152</v>
      </c>
      <c r="B1634" t="s">
        <v>1672</v>
      </c>
      <c r="C1634">
        <v>-3.95</v>
      </c>
      <c r="D1634">
        <v>1.7</v>
      </c>
      <c r="E1634" t="s">
        <v>16</v>
      </c>
      <c r="F1634" t="s">
        <v>16</v>
      </c>
      <c r="H1634">
        <v>-1.15</v>
      </c>
      <c r="I1634">
        <v>-7.1</v>
      </c>
      <c r="J1634">
        <v>-3.41</v>
      </c>
      <c r="L1634">
        <v>-1.69</v>
      </c>
      <c r="M1634">
        <v>19.75</v>
      </c>
      <c r="N1634">
        <v>0.02</v>
      </c>
      <c r="O1634">
        <v>0.87</v>
      </c>
    </row>
    <row r="1635" spans="1:15">
      <c r="A1635" t="str">
        <f>"300153"</f>
        <v>300153</v>
      </c>
      <c r="B1635" t="s">
        <v>1673</v>
      </c>
      <c r="C1635">
        <v>1.03</v>
      </c>
      <c r="D1635">
        <v>25.55</v>
      </c>
      <c r="E1635" t="s">
        <v>16</v>
      </c>
      <c r="F1635" t="s">
        <v>16</v>
      </c>
      <c r="H1635">
        <v>0</v>
      </c>
      <c r="I1635">
        <v>-1.81</v>
      </c>
      <c r="J1635">
        <v>-0.2</v>
      </c>
      <c r="L1635">
        <v>-0.24</v>
      </c>
      <c r="M1635">
        <v>33.56</v>
      </c>
      <c r="N1635">
        <v>0.01</v>
      </c>
      <c r="O1635">
        <v>0.37</v>
      </c>
    </row>
    <row r="1636" spans="1:15">
      <c r="A1636" t="str">
        <f>"300154"</f>
        <v>300154</v>
      </c>
      <c r="B1636" t="s">
        <v>1674</v>
      </c>
      <c r="C1636">
        <v>-2.06</v>
      </c>
      <c r="D1636">
        <v>9.04</v>
      </c>
      <c r="E1636" t="s">
        <v>16</v>
      </c>
      <c r="F1636" t="s">
        <v>16</v>
      </c>
      <c r="H1636">
        <v>-0.21</v>
      </c>
      <c r="I1636">
        <v>-6.9</v>
      </c>
      <c r="J1636">
        <v>-2.9</v>
      </c>
      <c r="L1636">
        <v>-0.87</v>
      </c>
      <c r="M1636">
        <v>9.06</v>
      </c>
      <c r="N1636">
        <v>0.01</v>
      </c>
      <c r="O1636">
        <v>0.83</v>
      </c>
    </row>
    <row r="1637" spans="1:15">
      <c r="A1637" t="str">
        <f>"300155"</f>
        <v>300155</v>
      </c>
      <c r="B1637" t="s">
        <v>1675</v>
      </c>
      <c r="C1637">
        <v>2.15</v>
      </c>
      <c r="D1637">
        <v>4.28</v>
      </c>
      <c r="E1637" t="s">
        <v>16</v>
      </c>
      <c r="F1637" t="s">
        <v>16</v>
      </c>
      <c r="H1637">
        <v>0.23</v>
      </c>
      <c r="I1637">
        <v>-7.36</v>
      </c>
      <c r="J1637">
        <v>-2.06</v>
      </c>
      <c r="L1637">
        <v>-0.72</v>
      </c>
      <c r="M1637">
        <v>18.1</v>
      </c>
      <c r="N1637">
        <v>0.02</v>
      </c>
      <c r="O1637">
        <v>5.8</v>
      </c>
    </row>
    <row r="1638" spans="1:15">
      <c r="A1638" t="str">
        <f>"300157"</f>
        <v>300157</v>
      </c>
      <c r="B1638" t="s">
        <v>1676</v>
      </c>
      <c r="C1638">
        <v>-0.25</v>
      </c>
      <c r="D1638">
        <v>4.05</v>
      </c>
      <c r="E1638" t="s">
        <v>16</v>
      </c>
      <c r="F1638" t="s">
        <v>16</v>
      </c>
      <c r="H1638">
        <v>-0.24</v>
      </c>
      <c r="I1638">
        <v>-8.78</v>
      </c>
      <c r="J1638">
        <v>-0.98</v>
      </c>
      <c r="L1638">
        <v>0</v>
      </c>
      <c r="M1638">
        <v>52.01</v>
      </c>
      <c r="N1638">
        <v>0.02</v>
      </c>
      <c r="O1638">
        <v>0.84</v>
      </c>
    </row>
    <row r="1639" spans="1:15">
      <c r="A1639" t="str">
        <f>"300158"</f>
        <v>300158</v>
      </c>
      <c r="B1639" t="s">
        <v>1677</v>
      </c>
      <c r="C1639">
        <v>0.42</v>
      </c>
      <c r="D1639">
        <v>4.81</v>
      </c>
      <c r="E1639" t="s">
        <v>16</v>
      </c>
      <c r="F1639" t="s">
        <v>16</v>
      </c>
      <c r="H1639">
        <v>0</v>
      </c>
      <c r="I1639">
        <v>-8.73</v>
      </c>
      <c r="J1639">
        <v>-1.64</v>
      </c>
      <c r="L1639">
        <v>0.42</v>
      </c>
      <c r="M1639">
        <v>6.35</v>
      </c>
      <c r="N1639">
        <v>0</v>
      </c>
      <c r="O1639">
        <v>3.3</v>
      </c>
    </row>
    <row r="1640" spans="1:15">
      <c r="A1640" t="str">
        <f>"300159"</f>
        <v>300159</v>
      </c>
      <c r="B1640" t="s">
        <v>1678</v>
      </c>
      <c r="C1640" t="s">
        <v>16</v>
      </c>
      <c r="D1640">
        <v>4.12</v>
      </c>
      <c r="E1640" t="s">
        <v>16</v>
      </c>
      <c r="F1640" t="s">
        <v>16</v>
      </c>
      <c r="H1640" t="s">
        <v>16</v>
      </c>
      <c r="I1640">
        <v>-0.24</v>
      </c>
      <c r="J1640" t="s">
        <v>16</v>
      </c>
      <c r="L1640" t="s">
        <v>16</v>
      </c>
      <c r="M1640">
        <v>0</v>
      </c>
      <c r="N1640" t="s">
        <v>16</v>
      </c>
      <c r="O1640" t="s">
        <v>16</v>
      </c>
    </row>
    <row r="1641" spans="1:15">
      <c r="A1641" t="str">
        <f>"300160"</f>
        <v>300160</v>
      </c>
      <c r="B1641" t="s">
        <v>1679</v>
      </c>
      <c r="C1641">
        <v>-3.42</v>
      </c>
      <c r="D1641">
        <v>4.52</v>
      </c>
      <c r="E1641" t="s">
        <v>16</v>
      </c>
      <c r="F1641" t="s">
        <v>16</v>
      </c>
      <c r="H1641">
        <v>0.44</v>
      </c>
      <c r="I1641">
        <v>-4.64</v>
      </c>
      <c r="J1641">
        <v>-3.42</v>
      </c>
      <c r="L1641">
        <v>-0.64</v>
      </c>
      <c r="M1641">
        <v>10.46</v>
      </c>
      <c r="N1641">
        <v>0</v>
      </c>
      <c r="O1641">
        <v>2.56</v>
      </c>
    </row>
    <row r="1642" spans="1:15">
      <c r="A1642" t="str">
        <f>"300161"</f>
        <v>300161</v>
      </c>
      <c r="B1642" t="s">
        <v>1680</v>
      </c>
      <c r="C1642">
        <v>5.9</v>
      </c>
      <c r="D1642">
        <v>32.68</v>
      </c>
      <c r="E1642" t="s">
        <v>16</v>
      </c>
      <c r="F1642" t="s">
        <v>16</v>
      </c>
      <c r="H1642">
        <v>0.03</v>
      </c>
      <c r="I1642">
        <v>5.11</v>
      </c>
      <c r="J1642">
        <v>-2.39</v>
      </c>
      <c r="L1642">
        <v>0.68</v>
      </c>
      <c r="M1642">
        <v>43.5</v>
      </c>
      <c r="N1642">
        <v>0.01</v>
      </c>
      <c r="O1642">
        <v>2.55</v>
      </c>
    </row>
    <row r="1643" spans="1:15">
      <c r="A1643" t="str">
        <f>"300162"</f>
        <v>300162</v>
      </c>
      <c r="B1643" t="s">
        <v>1681</v>
      </c>
      <c r="C1643">
        <v>-3.55</v>
      </c>
      <c r="D1643">
        <v>11.15</v>
      </c>
      <c r="E1643" t="s">
        <v>16</v>
      </c>
      <c r="F1643" t="s">
        <v>16</v>
      </c>
      <c r="H1643">
        <v>0.18</v>
      </c>
      <c r="I1643">
        <v>27.14</v>
      </c>
      <c r="J1643">
        <v>-1.24</v>
      </c>
      <c r="L1643">
        <v>-4.15</v>
      </c>
      <c r="M1643">
        <v>1736.46</v>
      </c>
      <c r="N1643">
        <v>0.54</v>
      </c>
      <c r="O1643">
        <v>4.65</v>
      </c>
    </row>
    <row r="1644" spans="1:15">
      <c r="A1644" t="str">
        <f>"300163"</f>
        <v>300163</v>
      </c>
      <c r="B1644" t="s">
        <v>1682</v>
      </c>
      <c r="C1644">
        <v>-0.94</v>
      </c>
      <c r="D1644">
        <v>6.29</v>
      </c>
      <c r="E1644" t="s">
        <v>16</v>
      </c>
      <c r="F1644" t="s">
        <v>16</v>
      </c>
      <c r="H1644">
        <v>-0.31</v>
      </c>
      <c r="I1644">
        <v>0.32</v>
      </c>
      <c r="J1644">
        <v>-0.79</v>
      </c>
      <c r="L1644">
        <v>-1.57</v>
      </c>
      <c r="M1644">
        <v>37.69</v>
      </c>
      <c r="N1644">
        <v>0.01</v>
      </c>
      <c r="O1644">
        <v>0.46</v>
      </c>
    </row>
    <row r="1645" spans="1:15">
      <c r="A1645" t="str">
        <f>"300164"</f>
        <v>300164</v>
      </c>
      <c r="B1645" t="s">
        <v>1683</v>
      </c>
      <c r="C1645">
        <v>0.22</v>
      </c>
      <c r="D1645">
        <v>8.96</v>
      </c>
      <c r="E1645" t="s">
        <v>16</v>
      </c>
      <c r="F1645" t="s">
        <v>16</v>
      </c>
      <c r="H1645">
        <v>-0.1</v>
      </c>
      <c r="I1645">
        <v>-7.25</v>
      </c>
      <c r="J1645">
        <v>-1.86</v>
      </c>
      <c r="L1645">
        <v>-0.56</v>
      </c>
      <c r="M1645">
        <v>165.09</v>
      </c>
      <c r="N1645">
        <v>0.04</v>
      </c>
      <c r="O1645">
        <v>0.47</v>
      </c>
    </row>
    <row r="1646" spans="1:15">
      <c r="A1646" t="str">
        <f>"300165"</f>
        <v>300165</v>
      </c>
      <c r="B1646" t="s">
        <v>1684</v>
      </c>
      <c r="C1646">
        <v>-3.65</v>
      </c>
      <c r="D1646">
        <v>6.07</v>
      </c>
      <c r="E1646" t="s">
        <v>16</v>
      </c>
      <c r="F1646" t="s">
        <v>16</v>
      </c>
      <c r="H1646">
        <v>-0.32</v>
      </c>
      <c r="I1646">
        <v>2.71</v>
      </c>
      <c r="J1646">
        <v>-4.41</v>
      </c>
      <c r="L1646">
        <v>-0.95</v>
      </c>
      <c r="M1646">
        <v>82.68</v>
      </c>
      <c r="N1646">
        <v>0.04</v>
      </c>
      <c r="O1646">
        <v>1.78</v>
      </c>
    </row>
    <row r="1647" spans="1:15">
      <c r="A1647" t="str">
        <f>"300166"</f>
        <v>300166</v>
      </c>
      <c r="B1647" t="s">
        <v>1685</v>
      </c>
      <c r="C1647">
        <v>20.03</v>
      </c>
      <c r="D1647">
        <v>18.7</v>
      </c>
      <c r="E1647">
        <v>11662.07</v>
      </c>
      <c r="F1647">
        <v>1</v>
      </c>
      <c r="H1647">
        <v>0</v>
      </c>
      <c r="I1647">
        <v>9.48</v>
      </c>
      <c r="J1647">
        <v>0</v>
      </c>
      <c r="K1647" t="s">
        <v>140</v>
      </c>
      <c r="L1647">
        <v>0.45</v>
      </c>
      <c r="M1647">
        <v>294.53</v>
      </c>
      <c r="N1647">
        <v>0.02</v>
      </c>
      <c r="O1647">
        <v>0.85</v>
      </c>
    </row>
    <row r="1648" spans="1:15">
      <c r="A1648" t="str">
        <f>"300167"</f>
        <v>300167</v>
      </c>
      <c r="B1648" t="s">
        <v>1686</v>
      </c>
      <c r="C1648">
        <v>-2.78</v>
      </c>
      <c r="D1648">
        <v>4.54</v>
      </c>
      <c r="E1648" t="s">
        <v>16</v>
      </c>
      <c r="F1648" t="s">
        <v>16</v>
      </c>
      <c r="H1648">
        <v>0</v>
      </c>
      <c r="I1648">
        <v>-9.92</v>
      </c>
      <c r="J1648">
        <v>-3.2</v>
      </c>
      <c r="L1648">
        <v>-1.07</v>
      </c>
      <c r="M1648">
        <v>0.79</v>
      </c>
      <c r="N1648">
        <v>0</v>
      </c>
      <c r="O1648">
        <v>0.1</v>
      </c>
    </row>
    <row r="1649" spans="1:15">
      <c r="A1649" t="str">
        <f>"300168"</f>
        <v>300168</v>
      </c>
      <c r="B1649" t="s">
        <v>1687</v>
      </c>
      <c r="C1649">
        <v>-0.41</v>
      </c>
      <c r="D1649">
        <v>4.82</v>
      </c>
      <c r="E1649" t="s">
        <v>16</v>
      </c>
      <c r="F1649" t="s">
        <v>16</v>
      </c>
      <c r="H1649">
        <v>-0.4</v>
      </c>
      <c r="I1649">
        <v>-4.37</v>
      </c>
      <c r="J1649">
        <v>-1.03</v>
      </c>
      <c r="L1649">
        <v>-0.62</v>
      </c>
      <c r="M1649">
        <v>15.44</v>
      </c>
      <c r="N1649">
        <v>0</v>
      </c>
      <c r="O1649">
        <v>0.44</v>
      </c>
    </row>
    <row r="1650" spans="1:15">
      <c r="A1650" t="str">
        <f>"300169"</f>
        <v>300169</v>
      </c>
      <c r="B1650" t="s">
        <v>1688</v>
      </c>
      <c r="C1650">
        <v>-1.54</v>
      </c>
      <c r="D1650">
        <v>5.12</v>
      </c>
      <c r="E1650" t="s">
        <v>16</v>
      </c>
      <c r="F1650" t="s">
        <v>16</v>
      </c>
      <c r="H1650">
        <v>0.39</v>
      </c>
      <c r="I1650">
        <v>-6.74</v>
      </c>
      <c r="J1650">
        <v>-3.76</v>
      </c>
      <c r="L1650">
        <v>0</v>
      </c>
      <c r="M1650">
        <v>22.78</v>
      </c>
      <c r="N1650">
        <v>0.01</v>
      </c>
      <c r="O1650">
        <v>0.53</v>
      </c>
    </row>
    <row r="1651" spans="1:15">
      <c r="A1651" t="str">
        <f>"300170"</f>
        <v>300170</v>
      </c>
      <c r="B1651" t="s">
        <v>1689</v>
      </c>
      <c r="C1651">
        <v>2.52</v>
      </c>
      <c r="D1651">
        <v>17.88</v>
      </c>
      <c r="E1651" t="s">
        <v>16</v>
      </c>
      <c r="F1651" t="s">
        <v>16</v>
      </c>
      <c r="H1651">
        <v>-0.1</v>
      </c>
      <c r="I1651">
        <v>-2.61</v>
      </c>
      <c r="J1651">
        <v>-2.19</v>
      </c>
      <c r="L1651">
        <v>0</v>
      </c>
      <c r="M1651">
        <v>183.64</v>
      </c>
      <c r="N1651">
        <v>0.01</v>
      </c>
      <c r="O1651">
        <v>1.33</v>
      </c>
    </row>
    <row r="1652" spans="1:15">
      <c r="A1652" t="str">
        <f>"300171"</f>
        <v>300171</v>
      </c>
      <c r="B1652" t="s">
        <v>1690</v>
      </c>
      <c r="C1652">
        <v>-1.05</v>
      </c>
      <c r="D1652">
        <v>11.33</v>
      </c>
      <c r="E1652" t="s">
        <v>16</v>
      </c>
      <c r="F1652" t="s">
        <v>16</v>
      </c>
      <c r="H1652">
        <v>0</v>
      </c>
      <c r="I1652">
        <v>1.43</v>
      </c>
      <c r="J1652">
        <v>-2.16</v>
      </c>
      <c r="L1652">
        <v>-0.44</v>
      </c>
      <c r="M1652">
        <v>11.63</v>
      </c>
      <c r="N1652">
        <v>0</v>
      </c>
      <c r="O1652">
        <v>1.65</v>
      </c>
    </row>
    <row r="1653" spans="1:15">
      <c r="A1653" t="str">
        <f>"300172"</f>
        <v>300172</v>
      </c>
      <c r="B1653" t="s">
        <v>1691</v>
      </c>
      <c r="C1653">
        <v>-3.49</v>
      </c>
      <c r="D1653">
        <v>4.43</v>
      </c>
      <c r="E1653" t="s">
        <v>16</v>
      </c>
      <c r="F1653" t="s">
        <v>16</v>
      </c>
      <c r="H1653">
        <v>-0.22</v>
      </c>
      <c r="I1653">
        <v>-4.94</v>
      </c>
      <c r="J1653">
        <v>-3.28</v>
      </c>
      <c r="L1653">
        <v>-0.22</v>
      </c>
      <c r="M1653">
        <v>211</v>
      </c>
      <c r="N1653">
        <v>0.1</v>
      </c>
      <c r="O1653">
        <v>11.07</v>
      </c>
    </row>
    <row r="1654" spans="1:15">
      <c r="A1654" t="str">
        <f>"300173"</f>
        <v>300173</v>
      </c>
      <c r="B1654" t="s">
        <v>1692</v>
      </c>
      <c r="C1654">
        <v>-2.43</v>
      </c>
      <c r="D1654">
        <v>3.61</v>
      </c>
      <c r="E1654" t="s">
        <v>16</v>
      </c>
      <c r="F1654" t="s">
        <v>16</v>
      </c>
      <c r="H1654">
        <v>0</v>
      </c>
      <c r="I1654">
        <v>-5.99</v>
      </c>
      <c r="J1654">
        <v>-2.43</v>
      </c>
      <c r="L1654">
        <v>0</v>
      </c>
      <c r="M1654">
        <v>2.41</v>
      </c>
      <c r="N1654">
        <v>0</v>
      </c>
      <c r="O1654">
        <v>0.09</v>
      </c>
    </row>
    <row r="1655" spans="1:15">
      <c r="A1655" t="str">
        <f>"300174"</f>
        <v>300174</v>
      </c>
      <c r="B1655" t="s">
        <v>1693</v>
      </c>
      <c r="C1655">
        <v>2.47</v>
      </c>
      <c r="D1655">
        <v>28.66</v>
      </c>
      <c r="E1655" t="s">
        <v>16</v>
      </c>
      <c r="F1655" t="s">
        <v>16</v>
      </c>
      <c r="H1655">
        <v>-0.02</v>
      </c>
      <c r="I1655">
        <v>1.42</v>
      </c>
      <c r="J1655">
        <v>-5.1</v>
      </c>
      <c r="L1655">
        <v>-0.32</v>
      </c>
      <c r="M1655">
        <v>810.47</v>
      </c>
      <c r="N1655">
        <v>0.1</v>
      </c>
      <c r="O1655">
        <v>0.85</v>
      </c>
    </row>
    <row r="1656" spans="1:15">
      <c r="A1656" t="str">
        <f>"300175"</f>
        <v>300175</v>
      </c>
      <c r="B1656" t="s">
        <v>1694</v>
      </c>
      <c r="C1656">
        <v>-1.96</v>
      </c>
      <c r="D1656">
        <v>4.99</v>
      </c>
      <c r="E1656" t="s">
        <v>16</v>
      </c>
      <c r="F1656" t="s">
        <v>16</v>
      </c>
      <c r="H1656">
        <v>0</v>
      </c>
      <c r="I1656">
        <v>-13.82</v>
      </c>
      <c r="J1656">
        <v>-2.73</v>
      </c>
      <c r="L1656">
        <v>-1.18</v>
      </c>
      <c r="M1656">
        <v>7.14</v>
      </c>
      <c r="N1656">
        <v>0</v>
      </c>
      <c r="O1656">
        <v>0.17</v>
      </c>
    </row>
    <row r="1657" spans="1:15">
      <c r="A1657" t="str">
        <f>"300176"</f>
        <v>300176</v>
      </c>
      <c r="B1657" t="s">
        <v>1695</v>
      </c>
      <c r="C1657">
        <v>0</v>
      </c>
      <c r="D1657">
        <v>5.17</v>
      </c>
      <c r="E1657" t="s">
        <v>16</v>
      </c>
      <c r="F1657" t="s">
        <v>16</v>
      </c>
      <c r="H1657">
        <v>-0.18</v>
      </c>
      <c r="I1657">
        <v>-8.82</v>
      </c>
      <c r="J1657">
        <v>-0.58</v>
      </c>
      <c r="L1657">
        <v>-0.58</v>
      </c>
      <c r="M1657">
        <v>71.14</v>
      </c>
      <c r="N1657">
        <v>0.05</v>
      </c>
      <c r="O1657">
        <v>15.04</v>
      </c>
    </row>
    <row r="1658" spans="1:15">
      <c r="A1658" t="str">
        <f>"300177"</f>
        <v>300177</v>
      </c>
      <c r="B1658" t="s">
        <v>1696</v>
      </c>
      <c r="C1658">
        <v>-3.69</v>
      </c>
      <c r="D1658">
        <v>6.78</v>
      </c>
      <c r="E1658" t="s">
        <v>16</v>
      </c>
      <c r="F1658" t="s">
        <v>16</v>
      </c>
      <c r="H1658">
        <v>-0.14</v>
      </c>
      <c r="I1658">
        <v>-4.51</v>
      </c>
      <c r="J1658">
        <v>-3.28</v>
      </c>
      <c r="L1658">
        <v>-0.57</v>
      </c>
      <c r="M1658">
        <v>49.42</v>
      </c>
      <c r="N1658">
        <v>0.01</v>
      </c>
      <c r="O1658">
        <v>1.25</v>
      </c>
    </row>
    <row r="1659" spans="1:15">
      <c r="A1659" t="str">
        <f>"300179"</f>
        <v>300179</v>
      </c>
      <c r="B1659" t="s">
        <v>1697</v>
      </c>
      <c r="C1659">
        <v>5.55</v>
      </c>
      <c r="D1659">
        <v>47.9</v>
      </c>
      <c r="E1659" t="s">
        <v>16</v>
      </c>
      <c r="F1659" t="s">
        <v>16</v>
      </c>
      <c r="H1659">
        <v>0.19</v>
      </c>
      <c r="I1659">
        <v>-6.23</v>
      </c>
      <c r="J1659">
        <v>-7.49</v>
      </c>
      <c r="L1659">
        <v>3.02</v>
      </c>
      <c r="M1659">
        <v>6637.56</v>
      </c>
      <c r="N1659">
        <v>0.47</v>
      </c>
      <c r="O1659">
        <v>2.77</v>
      </c>
    </row>
    <row r="1660" spans="1:15">
      <c r="A1660" t="str">
        <f>"300180"</f>
        <v>300180</v>
      </c>
      <c r="B1660" t="s">
        <v>1698</v>
      </c>
      <c r="C1660">
        <v>-7.11</v>
      </c>
      <c r="D1660">
        <v>4.44</v>
      </c>
      <c r="E1660" t="s">
        <v>16</v>
      </c>
      <c r="F1660" t="s">
        <v>16</v>
      </c>
      <c r="H1660">
        <v>-0.21</v>
      </c>
      <c r="I1660">
        <v>-7.5</v>
      </c>
      <c r="J1660">
        <v>-4.52</v>
      </c>
      <c r="L1660">
        <v>-2.93</v>
      </c>
      <c r="M1660">
        <v>384.28</v>
      </c>
      <c r="N1660">
        <v>0.07</v>
      </c>
      <c r="O1660">
        <v>7.7</v>
      </c>
    </row>
    <row r="1661" spans="1:15">
      <c r="A1661" t="str">
        <f>"300181"</f>
        <v>300181</v>
      </c>
      <c r="B1661" t="s">
        <v>1699</v>
      </c>
      <c r="C1661">
        <v>-1.61</v>
      </c>
      <c r="D1661">
        <v>12.83</v>
      </c>
      <c r="E1661" t="s">
        <v>16</v>
      </c>
      <c r="F1661" t="s">
        <v>16</v>
      </c>
      <c r="H1661">
        <v>-0.15</v>
      </c>
      <c r="I1661">
        <v>-5.03</v>
      </c>
      <c r="J1661">
        <v>-2.21</v>
      </c>
      <c r="L1661">
        <v>-0.31</v>
      </c>
      <c r="M1661">
        <v>18.85</v>
      </c>
      <c r="N1661">
        <v>0</v>
      </c>
      <c r="O1661">
        <v>1.91</v>
      </c>
    </row>
    <row r="1662" spans="1:15">
      <c r="A1662" t="str">
        <f>"300182"</f>
        <v>300182</v>
      </c>
      <c r="B1662" t="s">
        <v>1700</v>
      </c>
      <c r="C1662">
        <v>-1.09</v>
      </c>
      <c r="D1662">
        <v>5.46</v>
      </c>
      <c r="E1662" t="s">
        <v>16</v>
      </c>
      <c r="F1662" t="s">
        <v>16</v>
      </c>
      <c r="H1662">
        <v>-0.17</v>
      </c>
      <c r="I1662">
        <v>-9.3</v>
      </c>
      <c r="J1662">
        <v>-2.33</v>
      </c>
      <c r="L1662">
        <v>-1.09</v>
      </c>
      <c r="M1662">
        <v>434.21</v>
      </c>
      <c r="N1662">
        <v>0.04</v>
      </c>
      <c r="O1662">
        <v>1.4</v>
      </c>
    </row>
    <row r="1663" spans="1:15">
      <c r="A1663" t="str">
        <f>"300183"</f>
        <v>300183</v>
      </c>
      <c r="B1663" t="s">
        <v>1701</v>
      </c>
      <c r="C1663">
        <v>0.72</v>
      </c>
      <c r="D1663">
        <v>11.16</v>
      </c>
      <c r="E1663" t="s">
        <v>16</v>
      </c>
      <c r="F1663" t="s">
        <v>16</v>
      </c>
      <c r="H1663">
        <v>-0.08</v>
      </c>
      <c r="I1663">
        <v>-3.38</v>
      </c>
      <c r="J1663">
        <v>-0.8</v>
      </c>
      <c r="L1663">
        <v>-0.09</v>
      </c>
      <c r="M1663">
        <v>99.63</v>
      </c>
      <c r="N1663">
        <v>0.04</v>
      </c>
      <c r="O1663">
        <v>2.74</v>
      </c>
    </row>
    <row r="1664" spans="1:15">
      <c r="A1664" t="str">
        <f>"300184"</f>
        <v>300184</v>
      </c>
      <c r="B1664" t="s">
        <v>1702</v>
      </c>
      <c r="C1664">
        <v>1.6</v>
      </c>
      <c r="D1664">
        <v>17.18</v>
      </c>
      <c r="E1664" t="s">
        <v>16</v>
      </c>
      <c r="F1664" t="s">
        <v>16</v>
      </c>
      <c r="H1664">
        <v>0</v>
      </c>
      <c r="I1664">
        <v>-5.29</v>
      </c>
      <c r="J1664">
        <v>-1.49</v>
      </c>
      <c r="L1664">
        <v>0.89</v>
      </c>
      <c r="M1664">
        <v>997.33</v>
      </c>
      <c r="N1664">
        <v>0.06</v>
      </c>
      <c r="O1664">
        <v>0.49</v>
      </c>
    </row>
    <row r="1665" spans="1:15">
      <c r="A1665" t="str">
        <f>"300185"</f>
        <v>300185</v>
      </c>
      <c r="B1665" t="s">
        <v>1703</v>
      </c>
      <c r="C1665">
        <v>-0.36</v>
      </c>
      <c r="D1665">
        <v>2.78</v>
      </c>
      <c r="E1665" t="s">
        <v>16</v>
      </c>
      <c r="F1665" t="s">
        <v>16</v>
      </c>
      <c r="H1665">
        <v>1.46</v>
      </c>
      <c r="I1665">
        <v>2.96</v>
      </c>
      <c r="J1665">
        <v>0</v>
      </c>
      <c r="L1665">
        <v>-1.43</v>
      </c>
      <c r="M1665">
        <v>198.8</v>
      </c>
      <c r="N1665">
        <v>0.02</v>
      </c>
      <c r="O1665">
        <v>2.28</v>
      </c>
    </row>
    <row r="1666" spans="1:15">
      <c r="A1666" t="str">
        <f>"300187"</f>
        <v>300187</v>
      </c>
      <c r="B1666" t="s">
        <v>1704</v>
      </c>
      <c r="C1666">
        <v>-2.19</v>
      </c>
      <c r="D1666">
        <v>4.92</v>
      </c>
      <c r="E1666" t="s">
        <v>16</v>
      </c>
      <c r="F1666" t="s">
        <v>16</v>
      </c>
      <c r="H1666">
        <v>-0.19</v>
      </c>
      <c r="I1666">
        <v>-9.72</v>
      </c>
      <c r="J1666">
        <v>-2.19</v>
      </c>
      <c r="L1666">
        <v>-0.4</v>
      </c>
      <c r="M1666">
        <v>15.83</v>
      </c>
      <c r="N1666">
        <v>0.01</v>
      </c>
      <c r="O1666">
        <v>0.86</v>
      </c>
    </row>
    <row r="1667" spans="1:15">
      <c r="A1667" t="str">
        <f>"300188"</f>
        <v>300188</v>
      </c>
      <c r="B1667" t="s">
        <v>1705</v>
      </c>
      <c r="C1667">
        <v>-0.49</v>
      </c>
      <c r="D1667">
        <v>10.21</v>
      </c>
      <c r="E1667" t="s">
        <v>16</v>
      </c>
      <c r="F1667" t="s">
        <v>16</v>
      </c>
      <c r="H1667">
        <v>0</v>
      </c>
      <c r="I1667">
        <v>-3.59</v>
      </c>
      <c r="J1667">
        <v>-1.16</v>
      </c>
      <c r="L1667">
        <v>-0.78</v>
      </c>
      <c r="M1667">
        <v>41.43</v>
      </c>
      <c r="N1667">
        <v>0.01</v>
      </c>
      <c r="O1667">
        <v>6.67</v>
      </c>
    </row>
    <row r="1668" spans="1:15">
      <c r="A1668" t="str">
        <f>"300189"</f>
        <v>300189</v>
      </c>
      <c r="B1668" t="s">
        <v>1706</v>
      </c>
      <c r="C1668">
        <v>0.63</v>
      </c>
      <c r="D1668">
        <v>4.79</v>
      </c>
      <c r="E1668" t="s">
        <v>16</v>
      </c>
      <c r="F1668" t="s">
        <v>16</v>
      </c>
      <c r="H1668">
        <v>0.21</v>
      </c>
      <c r="I1668">
        <v>-8.41</v>
      </c>
      <c r="J1668">
        <v>-0.62</v>
      </c>
      <c r="L1668">
        <v>-0.63</v>
      </c>
      <c r="M1668">
        <v>47.02</v>
      </c>
      <c r="N1668">
        <v>0.01</v>
      </c>
      <c r="O1668">
        <v>2.03</v>
      </c>
    </row>
    <row r="1669" spans="1:15">
      <c r="A1669" t="str">
        <f>"300190"</f>
        <v>300190</v>
      </c>
      <c r="B1669" t="s">
        <v>1707</v>
      </c>
      <c r="C1669">
        <v>-3.46</v>
      </c>
      <c r="D1669">
        <v>4.18</v>
      </c>
      <c r="E1669" t="s">
        <v>16</v>
      </c>
      <c r="F1669" t="s">
        <v>16</v>
      </c>
      <c r="H1669">
        <v>-0.23</v>
      </c>
      <c r="I1669">
        <v>5.03</v>
      </c>
      <c r="J1669">
        <v>-2.79</v>
      </c>
      <c r="L1669">
        <v>-0.69</v>
      </c>
      <c r="M1669">
        <v>37.63</v>
      </c>
      <c r="N1669">
        <v>0.01</v>
      </c>
      <c r="O1669">
        <v>3.53</v>
      </c>
    </row>
    <row r="1670" spans="1:15">
      <c r="A1670" t="str">
        <f>"300191"</f>
        <v>300191</v>
      </c>
      <c r="B1670" t="s">
        <v>1708</v>
      </c>
      <c r="C1670">
        <v>1.08</v>
      </c>
      <c r="D1670">
        <v>29.82</v>
      </c>
      <c r="E1670" t="s">
        <v>16</v>
      </c>
      <c r="F1670" t="s">
        <v>16</v>
      </c>
      <c r="H1670">
        <v>0.03</v>
      </c>
      <c r="I1670">
        <v>-4.73</v>
      </c>
      <c r="J1670">
        <v>-1.52</v>
      </c>
      <c r="L1670">
        <v>-0.47</v>
      </c>
      <c r="M1670">
        <v>248.97</v>
      </c>
      <c r="N1670">
        <v>0.05</v>
      </c>
      <c r="O1670">
        <v>2.2</v>
      </c>
    </row>
    <row r="1671" spans="1:15">
      <c r="A1671" t="str">
        <f>"300192"</f>
        <v>300192</v>
      </c>
      <c r="B1671" t="s">
        <v>1709</v>
      </c>
      <c r="C1671">
        <v>-2.41</v>
      </c>
      <c r="D1671">
        <v>16.61</v>
      </c>
      <c r="E1671" t="s">
        <v>16</v>
      </c>
      <c r="F1671" t="s">
        <v>16</v>
      </c>
      <c r="H1671">
        <v>-0.23</v>
      </c>
      <c r="I1671">
        <v>0.06</v>
      </c>
      <c r="J1671">
        <v>-2.12</v>
      </c>
      <c r="L1671">
        <v>-0.94</v>
      </c>
      <c r="M1671">
        <v>58.17</v>
      </c>
      <c r="N1671">
        <v>0.02</v>
      </c>
      <c r="O1671">
        <v>0.6</v>
      </c>
    </row>
    <row r="1672" spans="1:15">
      <c r="A1672" t="str">
        <f>"300193"</f>
        <v>300193</v>
      </c>
      <c r="B1672" t="s">
        <v>1710</v>
      </c>
      <c r="C1672">
        <v>-2.97</v>
      </c>
      <c r="D1672">
        <v>8.16</v>
      </c>
      <c r="E1672" t="s">
        <v>16</v>
      </c>
      <c r="F1672" t="s">
        <v>16</v>
      </c>
      <c r="H1672">
        <v>0.37</v>
      </c>
      <c r="I1672">
        <v>8.08</v>
      </c>
      <c r="J1672">
        <v>-3.2</v>
      </c>
      <c r="L1672">
        <v>-0.48</v>
      </c>
      <c r="M1672">
        <v>36.16</v>
      </c>
      <c r="N1672">
        <v>0.01</v>
      </c>
      <c r="O1672">
        <v>1.61</v>
      </c>
    </row>
    <row r="1673" spans="1:15">
      <c r="A1673" t="str">
        <f>"300194"</f>
        <v>300194</v>
      </c>
      <c r="B1673" t="s">
        <v>1711</v>
      </c>
      <c r="C1673">
        <v>-0.85</v>
      </c>
      <c r="D1673">
        <v>3.5</v>
      </c>
      <c r="E1673" t="s">
        <v>16</v>
      </c>
      <c r="F1673" t="s">
        <v>16</v>
      </c>
      <c r="H1673">
        <v>-0.27</v>
      </c>
      <c r="I1673">
        <v>-5.91</v>
      </c>
      <c r="J1673">
        <v>-1.41</v>
      </c>
      <c r="L1673">
        <v>-0.28</v>
      </c>
      <c r="M1673">
        <v>4.05</v>
      </c>
      <c r="N1673">
        <v>0</v>
      </c>
      <c r="O1673">
        <v>0.73</v>
      </c>
    </row>
    <row r="1674" spans="1:15">
      <c r="A1674" t="str">
        <f>"300195"</f>
        <v>300195</v>
      </c>
      <c r="B1674" t="s">
        <v>1712</v>
      </c>
      <c r="C1674">
        <v>-1.29</v>
      </c>
      <c r="D1674">
        <v>5.35</v>
      </c>
      <c r="E1674" t="s">
        <v>16</v>
      </c>
      <c r="F1674" t="s">
        <v>16</v>
      </c>
      <c r="H1674">
        <v>-0.18</v>
      </c>
      <c r="I1674">
        <v>-6.3</v>
      </c>
      <c r="J1674">
        <v>-1.65</v>
      </c>
      <c r="L1674">
        <v>-0.92</v>
      </c>
      <c r="M1674">
        <v>11.28</v>
      </c>
      <c r="N1674">
        <v>0.01</v>
      </c>
      <c r="O1674">
        <v>0.45</v>
      </c>
    </row>
    <row r="1675" spans="1:15">
      <c r="A1675" t="str">
        <f>"300196"</f>
        <v>300196</v>
      </c>
      <c r="B1675" t="s">
        <v>1713</v>
      </c>
      <c r="C1675">
        <v>-6.39</v>
      </c>
      <c r="D1675">
        <v>29.86</v>
      </c>
      <c r="E1675" t="s">
        <v>16</v>
      </c>
      <c r="F1675" t="s">
        <v>16</v>
      </c>
      <c r="H1675">
        <v>0</v>
      </c>
      <c r="I1675">
        <v>21.28</v>
      </c>
      <c r="J1675">
        <v>-2.1</v>
      </c>
      <c r="L1675">
        <v>-6.33</v>
      </c>
      <c r="M1675">
        <v>3060.01</v>
      </c>
      <c r="N1675">
        <v>0.53</v>
      </c>
      <c r="O1675">
        <v>1.69</v>
      </c>
    </row>
    <row r="1676" spans="1:15">
      <c r="A1676" t="str">
        <f>"300197"</f>
        <v>300197</v>
      </c>
      <c r="B1676" t="s">
        <v>1714</v>
      </c>
      <c r="C1676">
        <v>-1.73</v>
      </c>
      <c r="D1676">
        <v>2.27</v>
      </c>
      <c r="E1676" t="s">
        <v>16</v>
      </c>
      <c r="F1676" t="s">
        <v>16</v>
      </c>
      <c r="H1676">
        <v>-0.43</v>
      </c>
      <c r="I1676">
        <v>-18.64</v>
      </c>
      <c r="J1676">
        <v>-2.16</v>
      </c>
      <c r="L1676">
        <v>-0.87</v>
      </c>
      <c r="M1676">
        <v>318.15</v>
      </c>
      <c r="N1676">
        <v>0.08</v>
      </c>
      <c r="O1676">
        <v>0.65</v>
      </c>
    </row>
    <row r="1677" spans="1:15">
      <c r="A1677" t="str">
        <f>"300198"</f>
        <v>300198</v>
      </c>
      <c r="B1677" t="s">
        <v>1715</v>
      </c>
      <c r="C1677">
        <v>-0.85</v>
      </c>
      <c r="D1677">
        <v>2.33</v>
      </c>
      <c r="E1677" t="s">
        <v>16</v>
      </c>
      <c r="F1677" t="s">
        <v>16</v>
      </c>
      <c r="H1677">
        <v>-0.84</v>
      </c>
      <c r="I1677">
        <v>-8.27</v>
      </c>
      <c r="J1677">
        <v>-3.32</v>
      </c>
      <c r="L1677">
        <v>0.43</v>
      </c>
      <c r="M1677">
        <v>11.49</v>
      </c>
      <c r="N1677">
        <v>0.01</v>
      </c>
      <c r="O1677">
        <v>2.45</v>
      </c>
    </row>
    <row r="1678" spans="1:15">
      <c r="A1678" t="str">
        <f>"300199"</f>
        <v>300199</v>
      </c>
      <c r="B1678" t="s">
        <v>1716</v>
      </c>
      <c r="C1678">
        <v>-0.59</v>
      </c>
      <c r="D1678">
        <v>22</v>
      </c>
      <c r="E1678" t="s">
        <v>16</v>
      </c>
      <c r="F1678" t="s">
        <v>16</v>
      </c>
      <c r="H1678">
        <v>-0.22</v>
      </c>
      <c r="I1678">
        <v>-3.76</v>
      </c>
      <c r="J1678">
        <v>-1.79</v>
      </c>
      <c r="L1678">
        <v>-0.63</v>
      </c>
      <c r="M1678">
        <v>147.55</v>
      </c>
      <c r="N1678">
        <v>0.01</v>
      </c>
      <c r="O1678">
        <v>0.62</v>
      </c>
    </row>
    <row r="1679" spans="1:15">
      <c r="A1679" t="str">
        <f>"300200"</f>
        <v>300200</v>
      </c>
      <c r="B1679" t="s">
        <v>1717</v>
      </c>
      <c r="C1679">
        <v>-3.26</v>
      </c>
      <c r="D1679">
        <v>9.49</v>
      </c>
      <c r="E1679" t="s">
        <v>16</v>
      </c>
      <c r="F1679" t="s">
        <v>16</v>
      </c>
      <c r="H1679">
        <v>0.11</v>
      </c>
      <c r="I1679">
        <v>3.72</v>
      </c>
      <c r="J1679">
        <v>-2.87</v>
      </c>
      <c r="L1679">
        <v>-0.92</v>
      </c>
      <c r="M1679">
        <v>54.14</v>
      </c>
      <c r="N1679">
        <v>0.02</v>
      </c>
      <c r="O1679">
        <v>1.45</v>
      </c>
    </row>
    <row r="1680" spans="1:15">
      <c r="A1680" t="str">
        <f>"300201"</f>
        <v>300201</v>
      </c>
      <c r="B1680" t="s">
        <v>1718</v>
      </c>
      <c r="C1680">
        <v>1.02</v>
      </c>
      <c r="D1680">
        <v>18.79</v>
      </c>
      <c r="E1680" t="s">
        <v>16</v>
      </c>
      <c r="F1680" t="s">
        <v>16</v>
      </c>
      <c r="H1680">
        <v>-0.15</v>
      </c>
      <c r="I1680">
        <v>0.91</v>
      </c>
      <c r="J1680">
        <v>-2.29</v>
      </c>
      <c r="L1680">
        <v>0.32</v>
      </c>
      <c r="M1680">
        <v>201.34</v>
      </c>
      <c r="N1680">
        <v>0.01</v>
      </c>
      <c r="O1680">
        <v>1.15</v>
      </c>
    </row>
    <row r="1681" spans="1:15">
      <c r="A1681" t="str">
        <f>"300203"</f>
        <v>300203</v>
      </c>
      <c r="B1681" t="s">
        <v>1719</v>
      </c>
      <c r="C1681">
        <v>-2.39</v>
      </c>
      <c r="D1681">
        <v>13.05</v>
      </c>
      <c r="E1681" t="s">
        <v>16</v>
      </c>
      <c r="F1681" t="s">
        <v>16</v>
      </c>
      <c r="H1681">
        <v>-0.22</v>
      </c>
      <c r="I1681">
        <v>4.48</v>
      </c>
      <c r="J1681">
        <v>-2.47</v>
      </c>
      <c r="L1681">
        <v>-0.82</v>
      </c>
      <c r="M1681">
        <v>122.79</v>
      </c>
      <c r="N1681">
        <v>0.03</v>
      </c>
      <c r="O1681">
        <v>0.84</v>
      </c>
    </row>
    <row r="1682" spans="1:15">
      <c r="A1682" t="str">
        <f>"300204"</f>
        <v>300204</v>
      </c>
      <c r="B1682" t="s">
        <v>1720</v>
      </c>
      <c r="C1682">
        <v>1.94</v>
      </c>
      <c r="D1682">
        <v>20.5</v>
      </c>
      <c r="E1682" t="s">
        <v>16</v>
      </c>
      <c r="F1682" t="s">
        <v>16</v>
      </c>
      <c r="H1682">
        <v>-0.09</v>
      </c>
      <c r="I1682">
        <v>-16.43</v>
      </c>
      <c r="J1682">
        <v>-5.44</v>
      </c>
      <c r="L1682">
        <v>-0.65</v>
      </c>
      <c r="M1682">
        <v>122.48</v>
      </c>
      <c r="N1682">
        <v>0.02</v>
      </c>
      <c r="O1682">
        <v>1.13</v>
      </c>
    </row>
    <row r="1683" spans="1:15">
      <c r="A1683" t="str">
        <f>"300205"</f>
        <v>300205</v>
      </c>
      <c r="B1683" t="s">
        <v>1721</v>
      </c>
      <c r="C1683">
        <v>-3.22</v>
      </c>
      <c r="D1683">
        <v>5.41</v>
      </c>
      <c r="E1683" t="s">
        <v>16</v>
      </c>
      <c r="F1683" t="s">
        <v>16</v>
      </c>
      <c r="H1683">
        <v>-0.54</v>
      </c>
      <c r="I1683">
        <v>-6.88</v>
      </c>
      <c r="J1683">
        <v>-3.05</v>
      </c>
      <c r="L1683">
        <v>-0.18</v>
      </c>
      <c r="M1683">
        <v>10.6</v>
      </c>
      <c r="N1683">
        <v>0.01</v>
      </c>
      <c r="O1683">
        <v>23.75</v>
      </c>
    </row>
    <row r="1684" spans="1:15">
      <c r="A1684" t="str">
        <f>"300206"</f>
        <v>300206</v>
      </c>
      <c r="B1684" t="s">
        <v>1722</v>
      </c>
      <c r="C1684">
        <v>0.07</v>
      </c>
      <c r="D1684">
        <v>13.57</v>
      </c>
      <c r="E1684" t="s">
        <v>16</v>
      </c>
      <c r="F1684" t="s">
        <v>16</v>
      </c>
      <c r="H1684">
        <v>0.22</v>
      </c>
      <c r="I1684">
        <v>4.71</v>
      </c>
      <c r="J1684">
        <v>-1.09</v>
      </c>
      <c r="L1684">
        <v>-1.33</v>
      </c>
      <c r="M1684">
        <v>16.86</v>
      </c>
      <c r="N1684">
        <v>0</v>
      </c>
      <c r="O1684">
        <v>1.27</v>
      </c>
    </row>
    <row r="1685" spans="1:15">
      <c r="A1685" t="str">
        <f>"300207"</f>
        <v>300207</v>
      </c>
      <c r="B1685" t="s">
        <v>1723</v>
      </c>
      <c r="C1685">
        <v>-1.09</v>
      </c>
      <c r="D1685">
        <v>20.8</v>
      </c>
      <c r="E1685" t="s">
        <v>16</v>
      </c>
      <c r="F1685" t="s">
        <v>16</v>
      </c>
      <c r="H1685">
        <v>-0.04</v>
      </c>
      <c r="I1685">
        <v>-2.03</v>
      </c>
      <c r="J1685">
        <v>-1.89</v>
      </c>
      <c r="L1685">
        <v>-0.33</v>
      </c>
      <c r="M1685">
        <v>158.46</v>
      </c>
      <c r="N1685">
        <v>0.01</v>
      </c>
      <c r="O1685">
        <v>0.21</v>
      </c>
    </row>
    <row r="1686" spans="1:15">
      <c r="A1686" t="str">
        <f>"300209"</f>
        <v>300209</v>
      </c>
      <c r="B1686" t="s">
        <v>1724</v>
      </c>
      <c r="C1686">
        <v>1.06</v>
      </c>
      <c r="D1686">
        <v>28.68</v>
      </c>
      <c r="E1686" t="s">
        <v>16</v>
      </c>
      <c r="F1686" t="s">
        <v>16</v>
      </c>
      <c r="H1686">
        <v>-0.09</v>
      </c>
      <c r="I1686">
        <v>10.69</v>
      </c>
      <c r="J1686">
        <v>-4.4</v>
      </c>
      <c r="L1686">
        <v>0.88</v>
      </c>
      <c r="M1686">
        <v>2432.98</v>
      </c>
      <c r="N1686">
        <v>0.12</v>
      </c>
      <c r="O1686">
        <v>1.25</v>
      </c>
    </row>
    <row r="1687" spans="1:15">
      <c r="A1687" t="str">
        <f>"300210"</f>
        <v>300210</v>
      </c>
      <c r="B1687" t="s">
        <v>1725</v>
      </c>
      <c r="C1687">
        <v>-1.76</v>
      </c>
      <c r="D1687">
        <v>9.48</v>
      </c>
      <c r="E1687" t="s">
        <v>16</v>
      </c>
      <c r="F1687" t="s">
        <v>16</v>
      </c>
      <c r="H1687">
        <v>0</v>
      </c>
      <c r="I1687">
        <v>-10.9</v>
      </c>
      <c r="J1687">
        <v>-2.27</v>
      </c>
      <c r="L1687">
        <v>0.52</v>
      </c>
      <c r="M1687">
        <v>37.15</v>
      </c>
      <c r="N1687">
        <v>0.01</v>
      </c>
      <c r="O1687">
        <v>0.66</v>
      </c>
    </row>
    <row r="1688" spans="1:15">
      <c r="A1688" t="str">
        <f>"300211"</f>
        <v>300211</v>
      </c>
      <c r="B1688" t="s">
        <v>1726</v>
      </c>
      <c r="C1688">
        <v>1.02</v>
      </c>
      <c r="D1688">
        <v>7.93</v>
      </c>
      <c r="E1688" t="s">
        <v>16</v>
      </c>
      <c r="F1688" t="s">
        <v>16</v>
      </c>
      <c r="H1688">
        <v>0.51</v>
      </c>
      <c r="I1688">
        <v>-0.13</v>
      </c>
      <c r="J1688">
        <v>-1.25</v>
      </c>
      <c r="L1688">
        <v>-0.13</v>
      </c>
      <c r="M1688">
        <v>5.49</v>
      </c>
      <c r="N1688">
        <v>0</v>
      </c>
      <c r="O1688">
        <v>0.18</v>
      </c>
    </row>
    <row r="1689" spans="1:15">
      <c r="A1689" t="str">
        <f>"300212"</f>
        <v>300212</v>
      </c>
      <c r="B1689" t="s">
        <v>1727</v>
      </c>
      <c r="C1689">
        <v>3.59</v>
      </c>
      <c r="D1689">
        <v>10.38</v>
      </c>
      <c r="E1689" t="s">
        <v>16</v>
      </c>
      <c r="F1689" t="s">
        <v>16</v>
      </c>
      <c r="H1689">
        <v>-0.09</v>
      </c>
      <c r="I1689">
        <v>-0.48</v>
      </c>
      <c r="J1689">
        <v>-2.99</v>
      </c>
      <c r="L1689">
        <v>-0.3</v>
      </c>
      <c r="M1689">
        <v>210.59</v>
      </c>
      <c r="N1689">
        <v>0.05</v>
      </c>
      <c r="O1689">
        <v>0.72</v>
      </c>
    </row>
    <row r="1690" spans="1:15">
      <c r="A1690" t="str">
        <f>"300213"</f>
        <v>300213</v>
      </c>
      <c r="B1690" t="s">
        <v>1728</v>
      </c>
      <c r="C1690">
        <v>-1.02</v>
      </c>
      <c r="D1690">
        <v>6.8</v>
      </c>
      <c r="E1690" t="s">
        <v>16</v>
      </c>
      <c r="F1690" t="s">
        <v>16</v>
      </c>
      <c r="H1690">
        <v>0</v>
      </c>
      <c r="I1690">
        <v>-5.82</v>
      </c>
      <c r="J1690">
        <v>-1.45</v>
      </c>
      <c r="L1690">
        <v>-0.58</v>
      </c>
      <c r="M1690">
        <v>8.88</v>
      </c>
      <c r="N1690">
        <v>0</v>
      </c>
      <c r="O1690">
        <v>0.84</v>
      </c>
    </row>
    <row r="1691" spans="1:15">
      <c r="A1691" t="str">
        <f>"300214"</f>
        <v>300214</v>
      </c>
      <c r="B1691" t="s">
        <v>1729</v>
      </c>
      <c r="C1691">
        <v>10.76</v>
      </c>
      <c r="D1691">
        <v>9.47</v>
      </c>
      <c r="E1691" t="s">
        <v>16</v>
      </c>
      <c r="F1691" t="s">
        <v>16</v>
      </c>
      <c r="H1691">
        <v>-0.1</v>
      </c>
      <c r="I1691">
        <v>26.6</v>
      </c>
      <c r="J1691">
        <v>-1.25</v>
      </c>
      <c r="L1691">
        <v>0.35</v>
      </c>
      <c r="M1691">
        <v>47.1</v>
      </c>
      <c r="N1691">
        <v>0.02</v>
      </c>
      <c r="O1691">
        <v>0.31</v>
      </c>
    </row>
    <row r="1692" spans="1:15">
      <c r="A1692" t="str">
        <f>"300215"</f>
        <v>300215</v>
      </c>
      <c r="B1692" t="s">
        <v>1730</v>
      </c>
      <c r="C1692">
        <v>-2.55</v>
      </c>
      <c r="D1692">
        <v>6.87</v>
      </c>
      <c r="E1692" t="s">
        <v>16</v>
      </c>
      <c r="F1692" t="s">
        <v>16</v>
      </c>
      <c r="H1692">
        <v>-0.28</v>
      </c>
      <c r="I1692">
        <v>-6.78</v>
      </c>
      <c r="J1692">
        <v>-2.97</v>
      </c>
      <c r="L1692">
        <v>0.14</v>
      </c>
      <c r="M1692">
        <v>65.8</v>
      </c>
      <c r="N1692">
        <v>0.03</v>
      </c>
      <c r="O1692">
        <v>2.37</v>
      </c>
    </row>
    <row r="1693" spans="1:15">
      <c r="A1693" t="str">
        <f>"300217"</f>
        <v>300217</v>
      </c>
      <c r="B1693" t="s">
        <v>1731</v>
      </c>
      <c r="C1693">
        <v>-2.12</v>
      </c>
      <c r="D1693">
        <v>4.61</v>
      </c>
      <c r="E1693" t="s">
        <v>16</v>
      </c>
      <c r="F1693" t="s">
        <v>16</v>
      </c>
      <c r="H1693">
        <v>-0.21</v>
      </c>
      <c r="I1693">
        <v>-10.83</v>
      </c>
      <c r="J1693">
        <v>-2.95</v>
      </c>
      <c r="L1693">
        <v>-0.64</v>
      </c>
      <c r="M1693">
        <v>70.62</v>
      </c>
      <c r="N1693">
        <v>0.02</v>
      </c>
      <c r="O1693">
        <v>0.21</v>
      </c>
    </row>
    <row r="1694" spans="1:15">
      <c r="A1694" t="str">
        <f>"300218"</f>
        <v>300218</v>
      </c>
      <c r="B1694" t="s">
        <v>1732</v>
      </c>
      <c r="C1694">
        <v>-2.76</v>
      </c>
      <c r="D1694">
        <v>12.68</v>
      </c>
      <c r="E1694" t="s">
        <v>16</v>
      </c>
      <c r="F1694" t="s">
        <v>16</v>
      </c>
      <c r="H1694">
        <v>0.16</v>
      </c>
      <c r="I1694">
        <v>-1.71</v>
      </c>
      <c r="J1694">
        <v>-4.3</v>
      </c>
      <c r="L1694">
        <v>0.23</v>
      </c>
      <c r="M1694">
        <v>16.6</v>
      </c>
      <c r="N1694">
        <v>0.01</v>
      </c>
      <c r="O1694">
        <v>3.63</v>
      </c>
    </row>
    <row r="1695" spans="1:15">
      <c r="A1695" t="str">
        <f>"300219"</f>
        <v>300219</v>
      </c>
      <c r="B1695" t="s">
        <v>1733</v>
      </c>
      <c r="C1695">
        <v>-0.98</v>
      </c>
      <c r="D1695">
        <v>9.05</v>
      </c>
      <c r="E1695" t="s">
        <v>16</v>
      </c>
      <c r="F1695" t="s">
        <v>16</v>
      </c>
      <c r="H1695">
        <v>0.11</v>
      </c>
      <c r="I1695">
        <v>6.1</v>
      </c>
      <c r="J1695">
        <v>-2.69</v>
      </c>
      <c r="L1695">
        <v>-0.55</v>
      </c>
      <c r="M1695">
        <v>387.96</v>
      </c>
      <c r="N1695">
        <v>0.09</v>
      </c>
      <c r="O1695">
        <v>1.88</v>
      </c>
    </row>
    <row r="1696" spans="1:15">
      <c r="A1696" t="str">
        <f>"300220"</f>
        <v>300220</v>
      </c>
      <c r="B1696" t="s">
        <v>1734</v>
      </c>
      <c r="C1696">
        <v>-0.99</v>
      </c>
      <c r="D1696">
        <v>11.04</v>
      </c>
      <c r="E1696" t="s">
        <v>16</v>
      </c>
      <c r="F1696" t="s">
        <v>16</v>
      </c>
      <c r="H1696">
        <v>0</v>
      </c>
      <c r="I1696">
        <v>-8.08</v>
      </c>
      <c r="J1696">
        <v>-2.21</v>
      </c>
      <c r="L1696">
        <v>-0.54</v>
      </c>
      <c r="M1696">
        <v>24.29</v>
      </c>
      <c r="N1696">
        <v>0.03</v>
      </c>
      <c r="O1696">
        <v>0.97</v>
      </c>
    </row>
    <row r="1697" spans="1:15">
      <c r="A1697" t="str">
        <f>"300221"</f>
        <v>300221</v>
      </c>
      <c r="B1697" t="s">
        <v>1735</v>
      </c>
      <c r="C1697">
        <v>4.28</v>
      </c>
      <c r="D1697">
        <v>18.26</v>
      </c>
      <c r="E1697" t="s">
        <v>16</v>
      </c>
      <c r="F1697" t="s">
        <v>16</v>
      </c>
      <c r="H1697">
        <v>-0.43</v>
      </c>
      <c r="I1697">
        <v>25.33</v>
      </c>
      <c r="J1697">
        <v>-3.28</v>
      </c>
      <c r="L1697">
        <v>0</v>
      </c>
      <c r="M1697">
        <v>806.86</v>
      </c>
      <c r="N1697">
        <v>0.1</v>
      </c>
      <c r="O1697">
        <v>0.99</v>
      </c>
    </row>
    <row r="1698" spans="1:15">
      <c r="A1698" t="str">
        <f>"300222"</f>
        <v>300222</v>
      </c>
      <c r="B1698" t="s">
        <v>1736</v>
      </c>
      <c r="C1698">
        <v>0.42</v>
      </c>
      <c r="D1698">
        <v>14.18</v>
      </c>
      <c r="E1698" t="s">
        <v>16</v>
      </c>
      <c r="F1698" t="s">
        <v>16</v>
      </c>
      <c r="H1698">
        <v>-0.27</v>
      </c>
      <c r="I1698">
        <v>-5.91</v>
      </c>
      <c r="J1698">
        <v>-4.51</v>
      </c>
      <c r="L1698">
        <v>-0.28</v>
      </c>
      <c r="M1698">
        <v>172.62</v>
      </c>
      <c r="N1698">
        <v>0.02</v>
      </c>
      <c r="O1698">
        <v>0.26</v>
      </c>
    </row>
    <row r="1699" spans="1:15">
      <c r="A1699" t="str">
        <f>"300223"</f>
        <v>300223</v>
      </c>
      <c r="B1699" t="s">
        <v>1737</v>
      </c>
      <c r="C1699">
        <v>8.36</v>
      </c>
      <c r="D1699">
        <v>186.05</v>
      </c>
      <c r="E1699" t="s">
        <v>16</v>
      </c>
      <c r="F1699" t="s">
        <v>16</v>
      </c>
      <c r="H1699">
        <v>0.04</v>
      </c>
      <c r="I1699">
        <v>23.7</v>
      </c>
      <c r="J1699">
        <v>-2.39</v>
      </c>
      <c r="L1699">
        <v>0.56</v>
      </c>
      <c r="M1699">
        <v>7997.61</v>
      </c>
      <c r="N1699">
        <v>0.13</v>
      </c>
      <c r="O1699">
        <v>1.66</v>
      </c>
    </row>
    <row r="1700" spans="1:15">
      <c r="A1700" t="str">
        <f>"300224"</f>
        <v>300224</v>
      </c>
      <c r="B1700" t="s">
        <v>1738</v>
      </c>
      <c r="C1700">
        <v>5.05</v>
      </c>
      <c r="D1700">
        <v>13.74</v>
      </c>
      <c r="E1700" t="s">
        <v>16</v>
      </c>
      <c r="F1700" t="s">
        <v>16</v>
      </c>
      <c r="H1700">
        <v>0.15</v>
      </c>
      <c r="I1700">
        <v>13.65</v>
      </c>
      <c r="J1700">
        <v>-1.58</v>
      </c>
      <c r="L1700">
        <v>-0.61</v>
      </c>
      <c r="M1700">
        <v>86.84</v>
      </c>
      <c r="N1700">
        <v>0.01</v>
      </c>
      <c r="O1700">
        <v>0.2</v>
      </c>
    </row>
    <row r="1701" spans="1:15">
      <c r="A1701" t="str">
        <f>"300225"</f>
        <v>300225</v>
      </c>
      <c r="B1701" t="s">
        <v>1739</v>
      </c>
      <c r="C1701">
        <v>-1.63</v>
      </c>
      <c r="D1701">
        <v>9.06</v>
      </c>
      <c r="E1701" t="s">
        <v>16</v>
      </c>
      <c r="F1701" t="s">
        <v>16</v>
      </c>
      <c r="H1701">
        <v>0.11</v>
      </c>
      <c r="I1701">
        <v>17.97</v>
      </c>
      <c r="J1701">
        <v>-2.89</v>
      </c>
      <c r="L1701">
        <v>-0.43</v>
      </c>
      <c r="M1701">
        <v>87.85</v>
      </c>
      <c r="N1701">
        <v>0.02</v>
      </c>
      <c r="O1701">
        <v>0.62</v>
      </c>
    </row>
    <row r="1702" spans="1:15">
      <c r="A1702" t="str">
        <f>"300226"</f>
        <v>300226</v>
      </c>
      <c r="B1702" t="s">
        <v>1740</v>
      </c>
      <c r="C1702">
        <v>0.06</v>
      </c>
      <c r="D1702">
        <v>16.82</v>
      </c>
      <c r="E1702" t="s">
        <v>16</v>
      </c>
      <c r="F1702" t="s">
        <v>16</v>
      </c>
      <c r="H1702">
        <v>-0.05</v>
      </c>
      <c r="I1702">
        <v>-3.5</v>
      </c>
      <c r="J1702">
        <v>-1.58</v>
      </c>
      <c r="L1702">
        <v>0.12</v>
      </c>
      <c r="M1702">
        <v>41.4</v>
      </c>
      <c r="N1702">
        <v>0.01</v>
      </c>
      <c r="O1702">
        <v>0.4</v>
      </c>
    </row>
    <row r="1703" spans="1:15">
      <c r="A1703" t="str">
        <f>"300227"</f>
        <v>300227</v>
      </c>
      <c r="B1703" t="s">
        <v>1741</v>
      </c>
      <c r="C1703">
        <v>-5.02</v>
      </c>
      <c r="D1703">
        <v>10.78</v>
      </c>
      <c r="E1703" t="s">
        <v>16</v>
      </c>
      <c r="F1703" t="s">
        <v>16</v>
      </c>
      <c r="H1703">
        <v>0.56</v>
      </c>
      <c r="I1703">
        <v>-0.65</v>
      </c>
      <c r="J1703">
        <v>-5.85</v>
      </c>
      <c r="L1703">
        <v>-0.88</v>
      </c>
      <c r="M1703">
        <v>52.54</v>
      </c>
      <c r="N1703">
        <v>0.01</v>
      </c>
      <c r="O1703">
        <v>0.28</v>
      </c>
    </row>
    <row r="1704" spans="1:15">
      <c r="A1704" t="str">
        <f>"300228"</f>
        <v>300228</v>
      </c>
      <c r="B1704" t="s">
        <v>1742</v>
      </c>
      <c r="C1704">
        <v>-1.14</v>
      </c>
      <c r="D1704">
        <v>7.79</v>
      </c>
      <c r="E1704" t="s">
        <v>16</v>
      </c>
      <c r="F1704" t="s">
        <v>16</v>
      </c>
      <c r="H1704">
        <v>0</v>
      </c>
      <c r="I1704">
        <v>-1.02</v>
      </c>
      <c r="J1704">
        <v>-1.89</v>
      </c>
      <c r="L1704">
        <v>-0.63</v>
      </c>
      <c r="M1704">
        <v>22</v>
      </c>
      <c r="N1704">
        <v>0.01</v>
      </c>
      <c r="O1704">
        <v>0.09</v>
      </c>
    </row>
    <row r="1705" spans="1:15">
      <c r="A1705" t="str">
        <f>"300229"</f>
        <v>300229</v>
      </c>
      <c r="B1705" t="s">
        <v>1743</v>
      </c>
      <c r="C1705">
        <v>2.22</v>
      </c>
      <c r="D1705">
        <v>15.64</v>
      </c>
      <c r="E1705" t="s">
        <v>16</v>
      </c>
      <c r="F1705" t="s">
        <v>16</v>
      </c>
      <c r="H1705">
        <v>0.06</v>
      </c>
      <c r="I1705">
        <v>-2.01</v>
      </c>
      <c r="J1705">
        <v>-2.13</v>
      </c>
      <c r="L1705">
        <v>0.07</v>
      </c>
      <c r="M1705">
        <v>70.27</v>
      </c>
      <c r="N1705">
        <v>0.01</v>
      </c>
      <c r="O1705">
        <v>2.43</v>
      </c>
    </row>
    <row r="1706" spans="1:15">
      <c r="A1706" t="str">
        <f>"300230"</f>
        <v>300230</v>
      </c>
      <c r="B1706" t="s">
        <v>1744</v>
      </c>
      <c r="C1706">
        <v>-2.16</v>
      </c>
      <c r="D1706">
        <v>4.54</v>
      </c>
      <c r="E1706" t="s">
        <v>16</v>
      </c>
      <c r="F1706" t="s">
        <v>16</v>
      </c>
      <c r="H1706">
        <v>-0.21</v>
      </c>
      <c r="I1706">
        <v>-3.61</v>
      </c>
      <c r="J1706">
        <v>-1.73</v>
      </c>
      <c r="L1706">
        <v>-0.43</v>
      </c>
      <c r="M1706">
        <v>7.11</v>
      </c>
      <c r="N1706">
        <v>0</v>
      </c>
      <c r="O1706">
        <v>0.78</v>
      </c>
    </row>
    <row r="1707" spans="1:15">
      <c r="A1707" t="str">
        <f>"300231"</f>
        <v>300231</v>
      </c>
      <c r="B1707" t="s">
        <v>1745</v>
      </c>
      <c r="C1707">
        <v>0.93</v>
      </c>
      <c r="D1707">
        <v>8.68</v>
      </c>
      <c r="E1707" t="s">
        <v>16</v>
      </c>
      <c r="F1707" t="s">
        <v>16</v>
      </c>
      <c r="H1707">
        <v>-0.11</v>
      </c>
      <c r="I1707">
        <v>-2.91</v>
      </c>
      <c r="J1707">
        <v>-1.48</v>
      </c>
      <c r="L1707">
        <v>-0.35</v>
      </c>
      <c r="M1707">
        <v>10.74</v>
      </c>
      <c r="N1707">
        <v>0</v>
      </c>
      <c r="O1707">
        <v>0.4</v>
      </c>
    </row>
    <row r="1708" spans="1:15">
      <c r="A1708" t="str">
        <f>"300232"</f>
        <v>300232</v>
      </c>
      <c r="B1708" t="s">
        <v>1746</v>
      </c>
      <c r="C1708">
        <v>-3.57</v>
      </c>
      <c r="D1708">
        <v>5.94</v>
      </c>
      <c r="E1708" t="s">
        <v>16</v>
      </c>
      <c r="F1708" t="s">
        <v>16</v>
      </c>
      <c r="H1708">
        <v>0</v>
      </c>
      <c r="I1708">
        <v>2.59</v>
      </c>
      <c r="J1708">
        <v>-3.57</v>
      </c>
      <c r="L1708">
        <v>-0.97</v>
      </c>
      <c r="M1708">
        <v>77.47</v>
      </c>
      <c r="N1708">
        <v>0.02</v>
      </c>
      <c r="O1708">
        <v>3.52</v>
      </c>
    </row>
    <row r="1709" spans="1:15">
      <c r="A1709" t="str">
        <f>"300233"</f>
        <v>300233</v>
      </c>
      <c r="B1709" t="s">
        <v>1747</v>
      </c>
      <c r="C1709">
        <v>0.08</v>
      </c>
      <c r="D1709">
        <v>12.66</v>
      </c>
      <c r="E1709" t="s">
        <v>16</v>
      </c>
      <c r="F1709" t="s">
        <v>16</v>
      </c>
      <c r="H1709">
        <v>0</v>
      </c>
      <c r="I1709">
        <v>1.12</v>
      </c>
      <c r="J1709">
        <v>-2.84</v>
      </c>
      <c r="L1709">
        <v>-0.63</v>
      </c>
      <c r="M1709">
        <v>32.81</v>
      </c>
      <c r="N1709">
        <v>0.01</v>
      </c>
      <c r="O1709">
        <v>1.81</v>
      </c>
    </row>
    <row r="1710" spans="1:15">
      <c r="A1710" t="str">
        <f>"300234"</f>
        <v>300234</v>
      </c>
      <c r="B1710" t="s">
        <v>1748</v>
      </c>
      <c r="C1710">
        <v>-2.47</v>
      </c>
      <c r="D1710">
        <v>11.05</v>
      </c>
      <c r="E1710" t="s">
        <v>16</v>
      </c>
      <c r="F1710" t="s">
        <v>16</v>
      </c>
      <c r="H1710">
        <v>-0.44</v>
      </c>
      <c r="I1710">
        <v>29.85</v>
      </c>
      <c r="J1710">
        <v>-4.82</v>
      </c>
      <c r="L1710">
        <v>-0.97</v>
      </c>
      <c r="M1710">
        <v>132.06</v>
      </c>
      <c r="N1710">
        <v>0.04</v>
      </c>
      <c r="O1710">
        <v>0.65</v>
      </c>
    </row>
    <row r="1711" spans="1:15">
      <c r="A1711" t="str">
        <f>"300235"</f>
        <v>300235</v>
      </c>
      <c r="B1711" t="s">
        <v>1749</v>
      </c>
      <c r="C1711">
        <v>-0.29</v>
      </c>
      <c r="D1711">
        <v>13.78</v>
      </c>
      <c r="E1711" t="s">
        <v>16</v>
      </c>
      <c r="F1711" t="s">
        <v>16</v>
      </c>
      <c r="H1711">
        <v>0.07</v>
      </c>
      <c r="I1711">
        <v>-0.29</v>
      </c>
      <c r="J1711">
        <v>-1.15</v>
      </c>
      <c r="L1711">
        <v>-1.74</v>
      </c>
      <c r="M1711">
        <v>183.33</v>
      </c>
      <c r="N1711">
        <v>0.09</v>
      </c>
      <c r="O1711">
        <v>4.93</v>
      </c>
    </row>
    <row r="1712" spans="1:15">
      <c r="A1712" t="str">
        <f>"300236"</f>
        <v>300236</v>
      </c>
      <c r="B1712" t="s">
        <v>1750</v>
      </c>
      <c r="C1712">
        <v>-0.71</v>
      </c>
      <c r="D1712">
        <v>105.8</v>
      </c>
      <c r="E1712" t="s">
        <v>16</v>
      </c>
      <c r="F1712" t="s">
        <v>16</v>
      </c>
      <c r="H1712">
        <v>0.14</v>
      </c>
      <c r="I1712">
        <v>12.67</v>
      </c>
      <c r="J1712">
        <v>-1.65</v>
      </c>
      <c r="L1712">
        <v>-0.53</v>
      </c>
      <c r="M1712">
        <v>813.02</v>
      </c>
      <c r="N1712">
        <v>0.04</v>
      </c>
      <c r="O1712">
        <v>1.6</v>
      </c>
    </row>
    <row r="1713" spans="1:15">
      <c r="A1713" t="str">
        <f>"300237"</f>
        <v>300237</v>
      </c>
      <c r="B1713" t="s">
        <v>1751</v>
      </c>
      <c r="C1713">
        <v>-1.46</v>
      </c>
      <c r="D1713">
        <v>2.02</v>
      </c>
      <c r="E1713" t="s">
        <v>16</v>
      </c>
      <c r="F1713" t="s">
        <v>16</v>
      </c>
      <c r="H1713">
        <v>-0.48</v>
      </c>
      <c r="I1713">
        <v>-9.82</v>
      </c>
      <c r="J1713">
        <v>-0.98</v>
      </c>
      <c r="L1713">
        <v>-0.49</v>
      </c>
      <c r="M1713">
        <v>23.56</v>
      </c>
      <c r="N1713">
        <v>0.01</v>
      </c>
      <c r="O1713">
        <v>3.74</v>
      </c>
    </row>
    <row r="1714" spans="1:15">
      <c r="A1714" t="str">
        <f>"300238"</f>
        <v>300238</v>
      </c>
      <c r="B1714" t="s">
        <v>1752</v>
      </c>
      <c r="C1714">
        <v>1.84</v>
      </c>
      <c r="D1714">
        <v>11.06</v>
      </c>
      <c r="E1714" t="s">
        <v>16</v>
      </c>
      <c r="F1714" t="s">
        <v>16</v>
      </c>
      <c r="H1714">
        <v>0.27</v>
      </c>
      <c r="I1714">
        <v>-2.12</v>
      </c>
      <c r="J1714">
        <v>-3.49</v>
      </c>
      <c r="L1714">
        <v>1.29</v>
      </c>
      <c r="M1714">
        <v>39.27</v>
      </c>
      <c r="N1714">
        <v>0.02</v>
      </c>
      <c r="O1714">
        <v>17</v>
      </c>
    </row>
    <row r="1715" spans="1:15">
      <c r="A1715" t="str">
        <f>"300239"</f>
        <v>300239</v>
      </c>
      <c r="B1715" t="s">
        <v>1753</v>
      </c>
      <c r="C1715">
        <v>2.24</v>
      </c>
      <c r="D1715">
        <v>5.47</v>
      </c>
      <c r="E1715" t="s">
        <v>16</v>
      </c>
      <c r="F1715" t="s">
        <v>16</v>
      </c>
      <c r="H1715">
        <v>0</v>
      </c>
      <c r="I1715">
        <v>11.18</v>
      </c>
      <c r="J1715">
        <v>-3.53</v>
      </c>
      <c r="L1715">
        <v>-0.75</v>
      </c>
      <c r="M1715">
        <v>48.16</v>
      </c>
      <c r="N1715">
        <v>0.02</v>
      </c>
      <c r="O1715">
        <v>0.45</v>
      </c>
    </row>
    <row r="1716" spans="1:15">
      <c r="A1716" t="str">
        <f>"300240"</f>
        <v>300240</v>
      </c>
      <c r="B1716" t="s">
        <v>1754</v>
      </c>
      <c r="C1716">
        <v>0</v>
      </c>
      <c r="D1716">
        <v>5.39</v>
      </c>
      <c r="E1716" t="s">
        <v>16</v>
      </c>
      <c r="F1716" t="s">
        <v>16</v>
      </c>
      <c r="H1716">
        <v>0</v>
      </c>
      <c r="I1716">
        <v>-6.1</v>
      </c>
      <c r="J1716">
        <v>-0.55</v>
      </c>
      <c r="L1716">
        <v>-0.56</v>
      </c>
      <c r="M1716">
        <v>15.43</v>
      </c>
      <c r="N1716">
        <v>0.01</v>
      </c>
      <c r="O1716">
        <v>2.55</v>
      </c>
    </row>
    <row r="1717" spans="1:15">
      <c r="A1717" t="str">
        <f>"300241"</f>
        <v>300241</v>
      </c>
      <c r="B1717" t="s">
        <v>1755</v>
      </c>
      <c r="C1717">
        <v>-3.98</v>
      </c>
      <c r="D1717">
        <v>6.75</v>
      </c>
      <c r="E1717" t="s">
        <v>16</v>
      </c>
      <c r="F1717" t="s">
        <v>16</v>
      </c>
      <c r="H1717">
        <v>0</v>
      </c>
      <c r="I1717">
        <v>-17.48</v>
      </c>
      <c r="J1717">
        <v>-3.16</v>
      </c>
      <c r="L1717">
        <v>-1.42</v>
      </c>
      <c r="M1717">
        <v>138.05</v>
      </c>
      <c r="N1717">
        <v>0.04</v>
      </c>
      <c r="O1717">
        <v>0.92</v>
      </c>
    </row>
    <row r="1718" spans="1:15">
      <c r="A1718" t="str">
        <f>"300242"</f>
        <v>300242</v>
      </c>
      <c r="B1718" t="s">
        <v>1756</v>
      </c>
      <c r="C1718">
        <v>0.21</v>
      </c>
      <c r="D1718">
        <v>4.71</v>
      </c>
      <c r="E1718" t="s">
        <v>16</v>
      </c>
      <c r="F1718" t="s">
        <v>16</v>
      </c>
      <c r="H1718">
        <v>0.43</v>
      </c>
      <c r="I1718">
        <v>-4.66</v>
      </c>
      <c r="J1718">
        <v>-0.42</v>
      </c>
      <c r="L1718">
        <v>-1.06</v>
      </c>
      <c r="M1718">
        <v>2.51</v>
      </c>
      <c r="N1718">
        <v>0</v>
      </c>
      <c r="O1718">
        <v>0.23</v>
      </c>
    </row>
    <row r="1719" spans="1:15">
      <c r="A1719" t="str">
        <f>"300243"</f>
        <v>300243</v>
      </c>
      <c r="B1719" t="s">
        <v>1757</v>
      </c>
      <c r="C1719">
        <v>-6.24</v>
      </c>
      <c r="D1719">
        <v>19.55</v>
      </c>
      <c r="E1719" t="s">
        <v>16</v>
      </c>
      <c r="F1719" t="s">
        <v>16</v>
      </c>
      <c r="H1719">
        <v>0.21</v>
      </c>
      <c r="I1719">
        <v>8.67</v>
      </c>
      <c r="J1719">
        <v>-5.56</v>
      </c>
      <c r="L1719">
        <v>-1.97</v>
      </c>
      <c r="M1719">
        <v>631.39</v>
      </c>
      <c r="N1719">
        <v>0.15</v>
      </c>
      <c r="O1719">
        <v>3.49</v>
      </c>
    </row>
    <row r="1720" spans="1:15">
      <c r="A1720" t="str">
        <f>"300244"</f>
        <v>300244</v>
      </c>
      <c r="B1720" t="s">
        <v>1758</v>
      </c>
      <c r="C1720">
        <v>0.39</v>
      </c>
      <c r="D1720">
        <v>18.24</v>
      </c>
      <c r="E1720" t="s">
        <v>16</v>
      </c>
      <c r="F1720" t="s">
        <v>16</v>
      </c>
      <c r="H1720">
        <v>0.11</v>
      </c>
      <c r="I1720">
        <v>7.74</v>
      </c>
      <c r="J1720">
        <v>-4.4</v>
      </c>
      <c r="L1720">
        <v>0.44</v>
      </c>
      <c r="M1720">
        <v>125.2</v>
      </c>
      <c r="N1720">
        <v>0.02</v>
      </c>
      <c r="O1720">
        <v>0.59</v>
      </c>
    </row>
    <row r="1721" spans="1:15">
      <c r="A1721" t="str">
        <f>"300245"</f>
        <v>300245</v>
      </c>
      <c r="B1721" t="s">
        <v>1759</v>
      </c>
      <c r="C1721">
        <v>-1.53</v>
      </c>
      <c r="D1721">
        <v>5.81</v>
      </c>
      <c r="E1721" t="s">
        <v>16</v>
      </c>
      <c r="F1721" t="s">
        <v>16</v>
      </c>
      <c r="H1721">
        <v>0</v>
      </c>
      <c r="I1721">
        <v>-9.22</v>
      </c>
      <c r="J1721">
        <v>-4.6</v>
      </c>
      <c r="L1721">
        <v>-0.17</v>
      </c>
      <c r="M1721">
        <v>91.53</v>
      </c>
      <c r="N1721">
        <v>0.06</v>
      </c>
      <c r="O1721">
        <v>1.95</v>
      </c>
    </row>
    <row r="1722" spans="1:15">
      <c r="A1722" t="str">
        <f>"300246"</f>
        <v>300246</v>
      </c>
      <c r="B1722" t="s">
        <v>1760</v>
      </c>
      <c r="C1722">
        <v>2.54</v>
      </c>
      <c r="D1722">
        <v>18.99</v>
      </c>
      <c r="E1722" t="s">
        <v>16</v>
      </c>
      <c r="F1722" t="s">
        <v>16</v>
      </c>
      <c r="H1722">
        <v>0.11</v>
      </c>
      <c r="I1722">
        <v>13.04</v>
      </c>
      <c r="J1722">
        <v>-1.76</v>
      </c>
      <c r="L1722">
        <v>-0.05</v>
      </c>
      <c r="M1722">
        <v>158.08</v>
      </c>
      <c r="N1722">
        <v>0.05</v>
      </c>
      <c r="O1722">
        <v>1.08</v>
      </c>
    </row>
    <row r="1723" spans="1:15">
      <c r="A1723" t="str">
        <f>"300247"</f>
        <v>300247</v>
      </c>
      <c r="B1723" t="s">
        <v>1761</v>
      </c>
      <c r="C1723">
        <v>-4.7</v>
      </c>
      <c r="D1723">
        <v>3.85</v>
      </c>
      <c r="E1723" t="s">
        <v>16</v>
      </c>
      <c r="F1723" t="s">
        <v>16</v>
      </c>
      <c r="H1723">
        <v>-0.25</v>
      </c>
      <c r="I1723">
        <v>-6.78</v>
      </c>
      <c r="J1723">
        <v>-4.47</v>
      </c>
      <c r="L1723">
        <v>-0.74</v>
      </c>
      <c r="M1723">
        <v>14.88</v>
      </c>
      <c r="N1723">
        <v>0.01</v>
      </c>
      <c r="O1723">
        <v>0.91</v>
      </c>
    </row>
    <row r="1724" spans="1:15">
      <c r="A1724" t="str">
        <f>"300248"</f>
        <v>300248</v>
      </c>
      <c r="B1724" t="s">
        <v>1762</v>
      </c>
      <c r="C1724">
        <v>-1.54</v>
      </c>
      <c r="D1724">
        <v>8.29</v>
      </c>
      <c r="E1724" t="s">
        <v>16</v>
      </c>
      <c r="F1724" t="s">
        <v>16</v>
      </c>
      <c r="H1724">
        <v>-0.11</v>
      </c>
      <c r="I1724">
        <v>-1.31</v>
      </c>
      <c r="J1724">
        <v>-2.81</v>
      </c>
      <c r="L1724">
        <v>-0.24</v>
      </c>
      <c r="M1724">
        <v>2.02</v>
      </c>
      <c r="N1724">
        <v>0</v>
      </c>
      <c r="O1724">
        <v>0.49</v>
      </c>
    </row>
    <row r="1725" spans="1:15">
      <c r="A1725" t="str">
        <f>"300249"</f>
        <v>300249</v>
      </c>
      <c r="B1725" t="s">
        <v>1763</v>
      </c>
      <c r="C1725">
        <v>-0.29</v>
      </c>
      <c r="D1725">
        <v>17.36</v>
      </c>
      <c r="E1725" t="s">
        <v>16</v>
      </c>
      <c r="F1725" t="s">
        <v>16</v>
      </c>
      <c r="H1725">
        <v>-0.11</v>
      </c>
      <c r="I1725">
        <v>9.94</v>
      </c>
      <c r="J1725">
        <v>-3.61</v>
      </c>
      <c r="L1725">
        <v>-0.34</v>
      </c>
      <c r="M1725">
        <v>361.23</v>
      </c>
      <c r="N1725">
        <v>0.06</v>
      </c>
      <c r="O1725">
        <v>0.71</v>
      </c>
    </row>
    <row r="1726" spans="1:15">
      <c r="A1726" t="str">
        <f>"300250"</f>
        <v>300250</v>
      </c>
      <c r="B1726" t="s">
        <v>1764</v>
      </c>
      <c r="C1726">
        <v>0.78</v>
      </c>
      <c r="D1726">
        <v>15.58</v>
      </c>
      <c r="E1726" t="s">
        <v>16</v>
      </c>
      <c r="F1726" t="s">
        <v>16</v>
      </c>
      <c r="H1726">
        <v>-0.05</v>
      </c>
      <c r="I1726">
        <v>-5.12</v>
      </c>
      <c r="J1726">
        <v>-1.52</v>
      </c>
      <c r="L1726">
        <v>-1.23</v>
      </c>
      <c r="M1726">
        <v>9.31</v>
      </c>
      <c r="N1726">
        <v>0</v>
      </c>
      <c r="O1726">
        <v>0.38</v>
      </c>
    </row>
    <row r="1727" spans="1:15">
      <c r="A1727" t="str">
        <f>"300251"</f>
        <v>300251</v>
      </c>
      <c r="B1727" t="s">
        <v>1765</v>
      </c>
      <c r="C1727">
        <v>-0.18</v>
      </c>
      <c r="D1727">
        <v>11.32</v>
      </c>
      <c r="E1727" t="s">
        <v>16</v>
      </c>
      <c r="F1727" t="s">
        <v>16</v>
      </c>
      <c r="H1727">
        <v>-0.17</v>
      </c>
      <c r="I1727">
        <v>-6.21</v>
      </c>
      <c r="J1727">
        <v>-0.96</v>
      </c>
      <c r="L1727">
        <v>0.26</v>
      </c>
      <c r="M1727">
        <v>137.46</v>
      </c>
      <c r="N1727">
        <v>0.01</v>
      </c>
      <c r="O1727">
        <v>0.94</v>
      </c>
    </row>
    <row r="1728" spans="1:15">
      <c r="A1728" t="str">
        <f>"300252"</f>
        <v>300252</v>
      </c>
      <c r="B1728" t="s">
        <v>1766</v>
      </c>
      <c r="C1728">
        <v>-0.89</v>
      </c>
      <c r="D1728">
        <v>17.89</v>
      </c>
      <c r="E1728" t="s">
        <v>16</v>
      </c>
      <c r="F1728" t="s">
        <v>16</v>
      </c>
      <c r="H1728">
        <v>0</v>
      </c>
      <c r="I1728">
        <v>7.58</v>
      </c>
      <c r="J1728">
        <v>-1.21</v>
      </c>
      <c r="L1728">
        <v>-1.77</v>
      </c>
      <c r="M1728">
        <v>467.72</v>
      </c>
      <c r="N1728">
        <v>0.05</v>
      </c>
      <c r="O1728">
        <v>0.36</v>
      </c>
    </row>
    <row r="1729" spans="1:15">
      <c r="A1729" t="str">
        <f>"300253"</f>
        <v>300253</v>
      </c>
      <c r="B1729" t="s">
        <v>1767</v>
      </c>
      <c r="C1729">
        <v>2.15</v>
      </c>
      <c r="D1729">
        <v>7.14</v>
      </c>
      <c r="E1729" t="s">
        <v>16</v>
      </c>
      <c r="F1729" t="s">
        <v>16</v>
      </c>
      <c r="H1729">
        <v>0.14</v>
      </c>
      <c r="I1729">
        <v>-4.29</v>
      </c>
      <c r="J1729">
        <v>-2.59</v>
      </c>
      <c r="L1729">
        <v>0.43</v>
      </c>
      <c r="M1729">
        <v>82.56</v>
      </c>
      <c r="N1729">
        <v>0.01</v>
      </c>
      <c r="O1729">
        <v>0.18</v>
      </c>
    </row>
    <row r="1730" spans="1:15">
      <c r="A1730" t="str">
        <f>"300254"</f>
        <v>300254</v>
      </c>
      <c r="B1730" t="s">
        <v>1768</v>
      </c>
      <c r="C1730">
        <v>-1.33</v>
      </c>
      <c r="D1730">
        <v>8.88</v>
      </c>
      <c r="E1730" t="s">
        <v>16</v>
      </c>
      <c r="F1730" t="s">
        <v>16</v>
      </c>
      <c r="H1730">
        <v>0.11</v>
      </c>
      <c r="I1730">
        <v>-8.36</v>
      </c>
      <c r="J1730">
        <v>-2.63</v>
      </c>
      <c r="L1730">
        <v>0</v>
      </c>
      <c r="M1730">
        <v>27.36</v>
      </c>
      <c r="N1730">
        <v>0.01</v>
      </c>
      <c r="O1730">
        <v>0.5</v>
      </c>
    </row>
    <row r="1731" spans="1:15">
      <c r="A1731" t="str">
        <f>"300255"</f>
        <v>300255</v>
      </c>
      <c r="B1731" t="s">
        <v>1769</v>
      </c>
      <c r="C1731">
        <v>3.73</v>
      </c>
      <c r="D1731">
        <v>25.85</v>
      </c>
      <c r="E1731" t="s">
        <v>16</v>
      </c>
      <c r="F1731" t="s">
        <v>16</v>
      </c>
      <c r="H1731">
        <v>0.12</v>
      </c>
      <c r="I1731">
        <v>-34.9</v>
      </c>
      <c r="J1731">
        <v>-5.14</v>
      </c>
      <c r="L1731">
        <v>3.25</v>
      </c>
      <c r="M1731">
        <v>2316.21</v>
      </c>
      <c r="N1731">
        <v>0.14</v>
      </c>
      <c r="O1731">
        <v>3.13</v>
      </c>
    </row>
    <row r="1732" spans="1:15">
      <c r="A1732" t="str">
        <f>"300256"</f>
        <v>300256</v>
      </c>
      <c r="B1732" t="s">
        <v>1770</v>
      </c>
      <c r="C1732">
        <v>-4.71</v>
      </c>
      <c r="D1732">
        <v>2.83</v>
      </c>
      <c r="E1732" t="s">
        <v>16</v>
      </c>
      <c r="F1732" t="s">
        <v>16</v>
      </c>
      <c r="H1732">
        <v>-0.34</v>
      </c>
      <c r="I1732">
        <v>-5.35</v>
      </c>
      <c r="J1732">
        <v>-4.07</v>
      </c>
      <c r="L1732">
        <v>-1.35</v>
      </c>
      <c r="M1732">
        <v>140</v>
      </c>
      <c r="N1732">
        <v>0.04</v>
      </c>
      <c r="O1732">
        <v>9.41</v>
      </c>
    </row>
    <row r="1733" spans="1:15">
      <c r="A1733" t="str">
        <f>"300257"</f>
        <v>300257</v>
      </c>
      <c r="B1733" t="s">
        <v>1771</v>
      </c>
      <c r="C1733">
        <v>-4.05</v>
      </c>
      <c r="D1733">
        <v>27.96</v>
      </c>
      <c r="E1733" t="s">
        <v>16</v>
      </c>
      <c r="F1733" t="s">
        <v>16</v>
      </c>
      <c r="H1733">
        <v>0.18</v>
      </c>
      <c r="I1733">
        <v>-2.34</v>
      </c>
      <c r="J1733">
        <v>-4.77</v>
      </c>
      <c r="L1733">
        <v>0</v>
      </c>
      <c r="M1733">
        <v>94.41</v>
      </c>
      <c r="N1733">
        <v>0.01</v>
      </c>
      <c r="O1733">
        <v>2.77</v>
      </c>
    </row>
    <row r="1734" spans="1:15">
      <c r="A1734" t="str">
        <f>"300258"</f>
        <v>300258</v>
      </c>
      <c r="B1734" t="s">
        <v>1772</v>
      </c>
      <c r="C1734">
        <v>-0.56</v>
      </c>
      <c r="D1734">
        <v>12.49</v>
      </c>
      <c r="E1734" t="s">
        <v>16</v>
      </c>
      <c r="F1734" t="s">
        <v>16</v>
      </c>
      <c r="H1734">
        <v>-0.31</v>
      </c>
      <c r="I1734">
        <v>0.73</v>
      </c>
      <c r="J1734">
        <v>-2.04</v>
      </c>
      <c r="L1734">
        <v>-1.04</v>
      </c>
      <c r="M1734">
        <v>43.63</v>
      </c>
      <c r="N1734">
        <v>0.01</v>
      </c>
      <c r="O1734">
        <v>0.17</v>
      </c>
    </row>
    <row r="1735" spans="1:15">
      <c r="A1735" t="str">
        <f>"300259"</f>
        <v>300259</v>
      </c>
      <c r="B1735" t="s">
        <v>1773</v>
      </c>
      <c r="C1735">
        <v>-1.93</v>
      </c>
      <c r="D1735">
        <v>5.6</v>
      </c>
      <c r="E1735" t="s">
        <v>16</v>
      </c>
      <c r="F1735" t="s">
        <v>16</v>
      </c>
      <c r="H1735">
        <v>-0.35</v>
      </c>
      <c r="I1735">
        <v>4.67</v>
      </c>
      <c r="J1735">
        <v>-3.95</v>
      </c>
      <c r="L1735">
        <v>0.53</v>
      </c>
      <c r="M1735">
        <v>87.82</v>
      </c>
      <c r="N1735">
        <v>0.02</v>
      </c>
      <c r="O1735">
        <v>0.8</v>
      </c>
    </row>
    <row r="1736" spans="1:15">
      <c r="A1736" t="str">
        <f>"300260"</f>
        <v>300260</v>
      </c>
      <c r="B1736" t="s">
        <v>1774</v>
      </c>
      <c r="C1736">
        <v>5.96</v>
      </c>
      <c r="D1736">
        <v>82.97</v>
      </c>
      <c r="E1736" t="s">
        <v>16</v>
      </c>
      <c r="F1736" t="s">
        <v>16</v>
      </c>
      <c r="H1736">
        <v>0</v>
      </c>
      <c r="I1736">
        <v>36.69</v>
      </c>
      <c r="J1736">
        <v>-0.43</v>
      </c>
      <c r="L1736">
        <v>-2.29</v>
      </c>
      <c r="M1736">
        <v>639.37</v>
      </c>
      <c r="N1736">
        <v>0.05</v>
      </c>
      <c r="O1736">
        <v>0.83</v>
      </c>
    </row>
    <row r="1737" spans="1:15">
      <c r="A1737" t="str">
        <f>"300261"</f>
        <v>300261</v>
      </c>
      <c r="B1737" t="s">
        <v>1775</v>
      </c>
      <c r="C1737">
        <v>-1.92</v>
      </c>
      <c r="D1737">
        <v>4.6</v>
      </c>
      <c r="E1737" t="s">
        <v>16</v>
      </c>
      <c r="F1737" t="s">
        <v>16</v>
      </c>
      <c r="H1737">
        <v>0</v>
      </c>
      <c r="I1737">
        <v>-6.31</v>
      </c>
      <c r="J1737">
        <v>-2.13</v>
      </c>
      <c r="L1737">
        <v>-1.07</v>
      </c>
      <c r="M1737">
        <v>55.22</v>
      </c>
      <c r="N1737">
        <v>0.02</v>
      </c>
      <c r="O1737">
        <v>4.36</v>
      </c>
    </row>
    <row r="1738" spans="1:15">
      <c r="A1738" t="str">
        <f>"300263"</f>
        <v>300263</v>
      </c>
      <c r="B1738" t="s">
        <v>1776</v>
      </c>
      <c r="C1738">
        <v>-2.22</v>
      </c>
      <c r="D1738">
        <v>16.26</v>
      </c>
      <c r="E1738" t="s">
        <v>16</v>
      </c>
      <c r="F1738" t="s">
        <v>16</v>
      </c>
      <c r="H1738">
        <v>-0.36</v>
      </c>
      <c r="I1738">
        <v>38.38</v>
      </c>
      <c r="J1738">
        <v>-5.41</v>
      </c>
      <c r="L1738">
        <v>0.12</v>
      </c>
      <c r="M1738">
        <v>4178.48</v>
      </c>
      <c r="N1738">
        <v>0.3</v>
      </c>
      <c r="O1738">
        <v>0.82</v>
      </c>
    </row>
    <row r="1739" spans="1:15">
      <c r="A1739" t="str">
        <f>"300264"</f>
        <v>300264</v>
      </c>
      <c r="B1739" t="s">
        <v>1777</v>
      </c>
      <c r="C1739">
        <v>0</v>
      </c>
      <c r="D1739">
        <v>8.81</v>
      </c>
      <c r="E1739" t="s">
        <v>16</v>
      </c>
      <c r="F1739" t="s">
        <v>16</v>
      </c>
      <c r="H1739">
        <v>0.11</v>
      </c>
      <c r="I1739">
        <v>16.53</v>
      </c>
      <c r="J1739">
        <v>-2.33</v>
      </c>
      <c r="L1739">
        <v>-1.14</v>
      </c>
      <c r="M1739">
        <v>71.07</v>
      </c>
      <c r="N1739">
        <v>0.02</v>
      </c>
      <c r="O1739">
        <v>0.61</v>
      </c>
    </row>
    <row r="1740" spans="1:15">
      <c r="A1740" t="str">
        <f>"300265"</f>
        <v>300265</v>
      </c>
      <c r="B1740" t="s">
        <v>1778</v>
      </c>
      <c r="C1740">
        <v>1.14</v>
      </c>
      <c r="D1740">
        <v>23.99</v>
      </c>
      <c r="E1740" t="s">
        <v>16</v>
      </c>
      <c r="F1740" t="s">
        <v>16</v>
      </c>
      <c r="H1740">
        <v>0.13</v>
      </c>
      <c r="I1740">
        <v>1.22</v>
      </c>
      <c r="J1740">
        <v>-1.52</v>
      </c>
      <c r="L1740">
        <v>-1.35</v>
      </c>
      <c r="M1740">
        <v>587.81</v>
      </c>
      <c r="N1740">
        <v>0.09</v>
      </c>
      <c r="O1740">
        <v>0.73</v>
      </c>
    </row>
    <row r="1741" spans="1:15">
      <c r="A1741" t="str">
        <f>"300266"</f>
        <v>300266</v>
      </c>
      <c r="B1741" t="s">
        <v>1779</v>
      </c>
      <c r="C1741">
        <v>0</v>
      </c>
      <c r="D1741">
        <v>2</v>
      </c>
      <c r="E1741" t="s">
        <v>16</v>
      </c>
      <c r="F1741" t="s">
        <v>16</v>
      </c>
      <c r="H1741">
        <v>0</v>
      </c>
      <c r="I1741">
        <v>-9.5</v>
      </c>
      <c r="J1741">
        <v>-0.5</v>
      </c>
      <c r="L1741">
        <v>-0.5</v>
      </c>
      <c r="M1741">
        <v>7.6</v>
      </c>
      <c r="N1741">
        <v>0</v>
      </c>
      <c r="O1741">
        <v>0.59</v>
      </c>
    </row>
    <row r="1742" spans="1:15">
      <c r="A1742" t="str">
        <f>"300267"</f>
        <v>300267</v>
      </c>
      <c r="B1742" t="s">
        <v>1780</v>
      </c>
      <c r="C1742">
        <v>-2.92</v>
      </c>
      <c r="D1742">
        <v>3.32</v>
      </c>
      <c r="E1742" t="s">
        <v>16</v>
      </c>
      <c r="F1742" t="s">
        <v>16</v>
      </c>
      <c r="H1742">
        <v>0</v>
      </c>
      <c r="I1742">
        <v>-4.87</v>
      </c>
      <c r="J1742">
        <v>-3.49</v>
      </c>
      <c r="L1742">
        <v>-0.58</v>
      </c>
      <c r="M1742">
        <v>48.04</v>
      </c>
      <c r="N1742">
        <v>0.01</v>
      </c>
      <c r="O1742">
        <v>1.42</v>
      </c>
    </row>
    <row r="1743" spans="1:15">
      <c r="A1743" t="str">
        <f>"300268"</f>
        <v>300268</v>
      </c>
      <c r="B1743" t="s">
        <v>1781</v>
      </c>
      <c r="C1743">
        <v>-1.07</v>
      </c>
      <c r="D1743">
        <v>11.08</v>
      </c>
      <c r="E1743" t="s">
        <v>16</v>
      </c>
      <c r="F1743" t="s">
        <v>16</v>
      </c>
      <c r="H1743">
        <v>-0.26</v>
      </c>
      <c r="I1743">
        <v>-9.85</v>
      </c>
      <c r="J1743">
        <v>-0.89</v>
      </c>
      <c r="L1743">
        <v>-0.71</v>
      </c>
      <c r="M1743">
        <v>1.67</v>
      </c>
      <c r="N1743">
        <v>0</v>
      </c>
      <c r="O1743">
        <v>0.08</v>
      </c>
    </row>
    <row r="1744" spans="1:15">
      <c r="A1744" t="str">
        <f>"300269"</f>
        <v>300269</v>
      </c>
      <c r="B1744" t="s">
        <v>1782</v>
      </c>
      <c r="C1744">
        <v>-4.69</v>
      </c>
      <c r="D1744">
        <v>4.88</v>
      </c>
      <c r="E1744" t="s">
        <v>16</v>
      </c>
      <c r="F1744" t="s">
        <v>16</v>
      </c>
      <c r="H1744">
        <v>0</v>
      </c>
      <c r="I1744">
        <v>-7.05</v>
      </c>
      <c r="J1744">
        <v>-4.69</v>
      </c>
      <c r="L1744">
        <v>-0.39</v>
      </c>
      <c r="M1744">
        <v>45.44</v>
      </c>
      <c r="N1744">
        <v>0.02</v>
      </c>
      <c r="O1744">
        <v>2.76</v>
      </c>
    </row>
    <row r="1745" spans="1:15">
      <c r="A1745" t="str">
        <f>"300270"</f>
        <v>300270</v>
      </c>
      <c r="B1745" t="s">
        <v>1783</v>
      </c>
      <c r="C1745">
        <v>-3.32</v>
      </c>
      <c r="D1745">
        <v>11.65</v>
      </c>
      <c r="E1745" t="s">
        <v>16</v>
      </c>
      <c r="F1745" t="s">
        <v>16</v>
      </c>
      <c r="H1745">
        <v>-0.08</v>
      </c>
      <c r="I1745">
        <v>-6.87</v>
      </c>
      <c r="J1745">
        <v>-3.32</v>
      </c>
      <c r="L1745">
        <v>-0.5</v>
      </c>
      <c r="M1745">
        <v>14.39</v>
      </c>
      <c r="N1745">
        <v>0.01</v>
      </c>
      <c r="O1745">
        <v>0.43</v>
      </c>
    </row>
    <row r="1746" spans="1:15">
      <c r="A1746" t="str">
        <f>"300271"</f>
        <v>300271</v>
      </c>
      <c r="B1746" t="s">
        <v>1784</v>
      </c>
      <c r="C1746">
        <v>0.57</v>
      </c>
      <c r="D1746">
        <v>5.29</v>
      </c>
      <c r="E1746" t="s">
        <v>16</v>
      </c>
      <c r="F1746" t="s">
        <v>16</v>
      </c>
      <c r="H1746">
        <v>0</v>
      </c>
      <c r="I1746">
        <v>-3.82</v>
      </c>
      <c r="J1746">
        <v>-0.94</v>
      </c>
      <c r="L1746">
        <v>0</v>
      </c>
      <c r="M1746">
        <v>176.58</v>
      </c>
      <c r="N1746">
        <v>0.06</v>
      </c>
      <c r="O1746">
        <v>9.56</v>
      </c>
    </row>
    <row r="1747" spans="1:15">
      <c r="A1747" t="str">
        <f>"300272"</f>
        <v>300272</v>
      </c>
      <c r="B1747" t="s">
        <v>1785</v>
      </c>
      <c r="C1747">
        <v>2.82</v>
      </c>
      <c r="D1747">
        <v>5.83</v>
      </c>
      <c r="E1747" t="s">
        <v>16</v>
      </c>
      <c r="F1747" t="s">
        <v>16</v>
      </c>
      <c r="H1747">
        <v>0.17</v>
      </c>
      <c r="I1747">
        <v>0.34</v>
      </c>
      <c r="J1747">
        <v>-1.52</v>
      </c>
      <c r="L1747">
        <v>1.41</v>
      </c>
      <c r="M1747">
        <v>64.63</v>
      </c>
      <c r="N1747">
        <v>0.03</v>
      </c>
      <c r="O1747">
        <v>15.61</v>
      </c>
    </row>
    <row r="1748" spans="1:15">
      <c r="A1748" t="str">
        <f>"300274"</f>
        <v>300274</v>
      </c>
      <c r="B1748" t="s">
        <v>1786</v>
      </c>
      <c r="C1748">
        <v>-1.45</v>
      </c>
      <c r="D1748">
        <v>146.98</v>
      </c>
      <c r="E1748" t="s">
        <v>16</v>
      </c>
      <c r="F1748" t="s">
        <v>16</v>
      </c>
      <c r="H1748">
        <v>0</v>
      </c>
      <c r="I1748">
        <v>-10.57</v>
      </c>
      <c r="J1748">
        <v>-3.1</v>
      </c>
      <c r="L1748">
        <v>-0.66</v>
      </c>
      <c r="M1748">
        <v>3130.62</v>
      </c>
      <c r="N1748">
        <v>0.01</v>
      </c>
      <c r="O1748">
        <v>0.57</v>
      </c>
    </row>
    <row r="1749" spans="1:15">
      <c r="A1749" t="str">
        <f>"300275"</f>
        <v>300275</v>
      </c>
      <c r="B1749" t="s">
        <v>1787</v>
      </c>
      <c r="C1749">
        <v>-1.14</v>
      </c>
      <c r="D1749">
        <v>8.66</v>
      </c>
      <c r="E1749" t="s">
        <v>16</v>
      </c>
      <c r="F1749" t="s">
        <v>16</v>
      </c>
      <c r="H1749">
        <v>-0.34</v>
      </c>
      <c r="I1749">
        <v>-6.48</v>
      </c>
      <c r="J1749">
        <v>-1.93</v>
      </c>
      <c r="L1749">
        <v>-0.57</v>
      </c>
      <c r="M1749">
        <v>35.28</v>
      </c>
      <c r="N1749">
        <v>0.02</v>
      </c>
      <c r="O1749">
        <v>4.6</v>
      </c>
    </row>
    <row r="1750" spans="1:15">
      <c r="A1750" t="str">
        <f>"300276"</f>
        <v>300276</v>
      </c>
      <c r="B1750" t="s">
        <v>1788</v>
      </c>
      <c r="C1750">
        <v>2.06</v>
      </c>
      <c r="D1750">
        <v>7.91</v>
      </c>
      <c r="E1750" t="s">
        <v>16</v>
      </c>
      <c r="F1750" t="s">
        <v>16</v>
      </c>
      <c r="H1750">
        <v>-0.12</v>
      </c>
      <c r="I1750">
        <v>3.13</v>
      </c>
      <c r="J1750">
        <v>-1.62</v>
      </c>
      <c r="L1750">
        <v>-0.26</v>
      </c>
      <c r="M1750">
        <v>80.7</v>
      </c>
      <c r="N1750">
        <v>0.01</v>
      </c>
      <c r="O1750">
        <v>0.92</v>
      </c>
    </row>
    <row r="1751" spans="1:15">
      <c r="A1751" t="str">
        <f>"300277"</f>
        <v>300277</v>
      </c>
      <c r="B1751" t="s">
        <v>1789</v>
      </c>
      <c r="C1751">
        <v>-0.14</v>
      </c>
      <c r="D1751">
        <v>14.7</v>
      </c>
      <c r="E1751" t="s">
        <v>16</v>
      </c>
      <c r="F1751" t="s">
        <v>16</v>
      </c>
      <c r="H1751">
        <v>0.14</v>
      </c>
      <c r="I1751">
        <v>-5.28</v>
      </c>
      <c r="J1751">
        <v>-2.84</v>
      </c>
      <c r="L1751">
        <v>-0.07</v>
      </c>
      <c r="M1751">
        <v>93.56</v>
      </c>
      <c r="N1751">
        <v>0.01</v>
      </c>
      <c r="O1751">
        <v>0.56</v>
      </c>
    </row>
    <row r="1752" spans="1:15">
      <c r="A1752" t="str">
        <f>"300278"</f>
        <v>300278</v>
      </c>
      <c r="B1752" t="s">
        <v>1790</v>
      </c>
      <c r="C1752">
        <v>-0.68</v>
      </c>
      <c r="D1752">
        <v>4.36</v>
      </c>
      <c r="E1752" t="s">
        <v>16</v>
      </c>
      <c r="F1752" t="s">
        <v>16</v>
      </c>
      <c r="H1752">
        <v>0</v>
      </c>
      <c r="I1752">
        <v>-1.13</v>
      </c>
      <c r="J1752">
        <v>-2.02</v>
      </c>
      <c r="L1752">
        <v>0</v>
      </c>
      <c r="M1752">
        <v>4.43</v>
      </c>
      <c r="N1752">
        <v>0</v>
      </c>
      <c r="O1752">
        <v>0.35</v>
      </c>
    </row>
    <row r="1753" spans="1:15">
      <c r="A1753" t="str">
        <f>"300279"</f>
        <v>300279</v>
      </c>
      <c r="B1753" t="s">
        <v>1791</v>
      </c>
      <c r="C1753">
        <v>-5.31</v>
      </c>
      <c r="D1753">
        <v>6.95</v>
      </c>
      <c r="E1753" t="s">
        <v>16</v>
      </c>
      <c r="F1753" t="s">
        <v>16</v>
      </c>
      <c r="H1753">
        <v>0</v>
      </c>
      <c r="I1753">
        <v>-8.07</v>
      </c>
      <c r="J1753">
        <v>-5.18</v>
      </c>
      <c r="L1753">
        <v>-0.41</v>
      </c>
      <c r="M1753">
        <v>2.27</v>
      </c>
      <c r="N1753">
        <v>0</v>
      </c>
      <c r="O1753">
        <v>0.19</v>
      </c>
    </row>
    <row r="1754" spans="1:15">
      <c r="A1754" t="str">
        <f>"300281"</f>
        <v>300281</v>
      </c>
      <c r="B1754" t="s">
        <v>1792</v>
      </c>
      <c r="C1754">
        <v>0</v>
      </c>
      <c r="D1754">
        <v>6.86</v>
      </c>
      <c r="E1754" t="s">
        <v>16</v>
      </c>
      <c r="F1754" t="s">
        <v>16</v>
      </c>
      <c r="H1754">
        <v>0</v>
      </c>
      <c r="I1754">
        <v>-13.38</v>
      </c>
      <c r="J1754">
        <v>-1.01</v>
      </c>
      <c r="L1754">
        <v>-0.87</v>
      </c>
      <c r="M1754">
        <v>40.53</v>
      </c>
      <c r="N1754">
        <v>0.03</v>
      </c>
      <c r="O1754">
        <v>1.33</v>
      </c>
    </row>
    <row r="1755" spans="1:15">
      <c r="A1755" t="str">
        <f>"300283"</f>
        <v>300283</v>
      </c>
      <c r="B1755" t="s">
        <v>1793</v>
      </c>
      <c r="C1755">
        <v>0.45</v>
      </c>
      <c r="D1755">
        <v>22.25</v>
      </c>
      <c r="E1755" t="s">
        <v>16</v>
      </c>
      <c r="F1755" t="s">
        <v>16</v>
      </c>
      <c r="H1755">
        <v>0.27</v>
      </c>
      <c r="I1755">
        <v>27</v>
      </c>
      <c r="J1755">
        <v>-1.11</v>
      </c>
      <c r="K1755" t="s">
        <v>54</v>
      </c>
      <c r="L1755">
        <v>-2.03</v>
      </c>
      <c r="M1755">
        <v>4205.57</v>
      </c>
      <c r="N1755">
        <v>0.61</v>
      </c>
      <c r="O1755">
        <v>4.3</v>
      </c>
    </row>
    <row r="1756" spans="1:15">
      <c r="A1756" t="str">
        <f>"300284"</f>
        <v>300284</v>
      </c>
      <c r="B1756" t="s">
        <v>1794</v>
      </c>
      <c r="C1756">
        <v>0</v>
      </c>
      <c r="D1756">
        <v>5.55</v>
      </c>
      <c r="E1756" t="s">
        <v>16</v>
      </c>
      <c r="F1756" t="s">
        <v>16</v>
      </c>
      <c r="H1756">
        <v>-0.35</v>
      </c>
      <c r="I1756">
        <v>-4.31</v>
      </c>
      <c r="J1756">
        <v>-1.07</v>
      </c>
      <c r="L1756">
        <v>-0.54</v>
      </c>
      <c r="M1756">
        <v>15.73</v>
      </c>
      <c r="N1756">
        <v>0</v>
      </c>
      <c r="O1756">
        <v>0.96</v>
      </c>
    </row>
    <row r="1757" spans="1:15">
      <c r="A1757" t="str">
        <f>"300285"</f>
        <v>300285</v>
      </c>
      <c r="B1757" t="s">
        <v>1795</v>
      </c>
      <c r="C1757">
        <v>14.05</v>
      </c>
      <c r="D1757">
        <v>89.53</v>
      </c>
      <c r="E1757" t="s">
        <v>16</v>
      </c>
      <c r="F1757" t="s">
        <v>16</v>
      </c>
      <c r="H1757">
        <v>0.28</v>
      </c>
      <c r="I1757">
        <v>39.89</v>
      </c>
      <c r="J1757">
        <v>-2.56</v>
      </c>
      <c r="L1757">
        <v>4.71</v>
      </c>
      <c r="M1757">
        <v>24192.88</v>
      </c>
      <c r="N1757">
        <v>0.37</v>
      </c>
      <c r="O1757">
        <v>2.21</v>
      </c>
    </row>
    <row r="1758" spans="1:15">
      <c r="A1758" t="str">
        <f>"300286"</f>
        <v>300286</v>
      </c>
      <c r="B1758" t="s">
        <v>1796</v>
      </c>
      <c r="C1758">
        <v>-2.57</v>
      </c>
      <c r="D1758">
        <v>28.09</v>
      </c>
      <c r="E1758" t="s">
        <v>16</v>
      </c>
      <c r="F1758" t="s">
        <v>16</v>
      </c>
      <c r="H1758">
        <v>-0.06</v>
      </c>
      <c r="I1758">
        <v>-15.01</v>
      </c>
      <c r="J1758">
        <v>-4.13</v>
      </c>
      <c r="L1758">
        <v>-0.49</v>
      </c>
      <c r="M1758">
        <v>25.82</v>
      </c>
      <c r="N1758">
        <v>0.01</v>
      </c>
      <c r="O1758">
        <v>0.22</v>
      </c>
    </row>
    <row r="1759" spans="1:15">
      <c r="A1759" t="str">
        <f>"300287"</f>
        <v>300287</v>
      </c>
      <c r="B1759" t="s">
        <v>1797</v>
      </c>
      <c r="C1759">
        <v>0</v>
      </c>
      <c r="D1759">
        <v>3.53</v>
      </c>
      <c r="E1759" t="s">
        <v>16</v>
      </c>
      <c r="F1759" t="s">
        <v>16</v>
      </c>
      <c r="H1759">
        <v>0</v>
      </c>
      <c r="I1759">
        <v>-8.31</v>
      </c>
      <c r="J1759">
        <v>-0.84</v>
      </c>
      <c r="L1759">
        <v>-0.57</v>
      </c>
      <c r="M1759">
        <v>22.57</v>
      </c>
      <c r="N1759">
        <v>0</v>
      </c>
      <c r="O1759">
        <v>0.51</v>
      </c>
    </row>
    <row r="1760" spans="1:15">
      <c r="A1760" t="str">
        <f>"300288"</f>
        <v>300288</v>
      </c>
      <c r="B1760" t="s">
        <v>1798</v>
      </c>
      <c r="C1760">
        <v>-0.85</v>
      </c>
      <c r="D1760">
        <v>9.38</v>
      </c>
      <c r="E1760" t="s">
        <v>16</v>
      </c>
      <c r="F1760" t="s">
        <v>16</v>
      </c>
      <c r="H1760">
        <v>-0.1</v>
      </c>
      <c r="I1760">
        <v>-4.38</v>
      </c>
      <c r="J1760">
        <v>-2.09</v>
      </c>
      <c r="L1760">
        <v>-0.42</v>
      </c>
      <c r="M1760">
        <v>30.8</v>
      </c>
      <c r="N1760">
        <v>0.01</v>
      </c>
      <c r="O1760">
        <v>1.13</v>
      </c>
    </row>
    <row r="1761" spans="1:15">
      <c r="A1761" t="str">
        <f>"300289"</f>
        <v>300289</v>
      </c>
      <c r="B1761" t="s">
        <v>1799</v>
      </c>
      <c r="C1761">
        <v>0.17</v>
      </c>
      <c r="D1761">
        <v>5.87</v>
      </c>
      <c r="E1761" t="s">
        <v>16</v>
      </c>
      <c r="F1761" t="s">
        <v>16</v>
      </c>
      <c r="H1761">
        <v>-0.16</v>
      </c>
      <c r="I1761">
        <v>2.98</v>
      </c>
      <c r="J1761">
        <v>-0.17</v>
      </c>
      <c r="L1761">
        <v>-1.37</v>
      </c>
      <c r="M1761">
        <v>50.58</v>
      </c>
      <c r="N1761">
        <v>0.03</v>
      </c>
      <c r="O1761">
        <v>1.26</v>
      </c>
    </row>
    <row r="1762" spans="1:15">
      <c r="A1762" t="str">
        <f>"300290"</f>
        <v>300290</v>
      </c>
      <c r="B1762" t="s">
        <v>1800</v>
      </c>
      <c r="C1762">
        <v>-1.14</v>
      </c>
      <c r="D1762">
        <v>9.5</v>
      </c>
      <c r="E1762" t="s">
        <v>16</v>
      </c>
      <c r="F1762" t="s">
        <v>16</v>
      </c>
      <c r="H1762">
        <v>-0.51</v>
      </c>
      <c r="I1762">
        <v>-7.05</v>
      </c>
      <c r="J1762">
        <v>-2.46</v>
      </c>
      <c r="L1762">
        <v>-0.52</v>
      </c>
      <c r="M1762">
        <v>140.25</v>
      </c>
      <c r="N1762">
        <v>0.03</v>
      </c>
      <c r="O1762">
        <v>0.73</v>
      </c>
    </row>
    <row r="1763" spans="1:15">
      <c r="A1763" t="str">
        <f>"300291"</f>
        <v>300291</v>
      </c>
      <c r="B1763" t="s">
        <v>1801</v>
      </c>
      <c r="C1763">
        <v>-0.79</v>
      </c>
      <c r="D1763">
        <v>5.05</v>
      </c>
      <c r="E1763" t="s">
        <v>16</v>
      </c>
      <c r="F1763" t="s">
        <v>16</v>
      </c>
      <c r="H1763">
        <v>0</v>
      </c>
      <c r="I1763">
        <v>-16.8</v>
      </c>
      <c r="J1763">
        <v>-3.63</v>
      </c>
      <c r="L1763">
        <v>-0.2</v>
      </c>
      <c r="M1763">
        <v>86.11</v>
      </c>
      <c r="N1763">
        <v>0.03</v>
      </c>
      <c r="O1763">
        <v>1.47</v>
      </c>
    </row>
    <row r="1764" spans="1:15">
      <c r="A1764" t="str">
        <f>"300292"</f>
        <v>300292</v>
      </c>
      <c r="B1764" t="s">
        <v>1802</v>
      </c>
      <c r="C1764">
        <v>-0.93</v>
      </c>
      <c r="D1764">
        <v>6.41</v>
      </c>
      <c r="E1764" t="s">
        <v>16</v>
      </c>
      <c r="F1764" t="s">
        <v>16</v>
      </c>
      <c r="H1764">
        <v>0.31</v>
      </c>
      <c r="I1764">
        <v>9.76</v>
      </c>
      <c r="J1764">
        <v>-4.33</v>
      </c>
      <c r="L1764">
        <v>-1.24</v>
      </c>
      <c r="M1764">
        <v>507.11</v>
      </c>
      <c r="N1764">
        <v>0.08</v>
      </c>
      <c r="O1764">
        <v>0.76</v>
      </c>
    </row>
    <row r="1765" spans="1:15">
      <c r="A1765" t="str">
        <f>"300293"</f>
        <v>300293</v>
      </c>
      <c r="B1765" t="s">
        <v>1803</v>
      </c>
      <c r="C1765">
        <v>0.56</v>
      </c>
      <c r="D1765">
        <v>17.8</v>
      </c>
      <c r="E1765" t="s">
        <v>16</v>
      </c>
      <c r="F1765" t="s">
        <v>16</v>
      </c>
      <c r="H1765">
        <v>-0.05</v>
      </c>
      <c r="I1765">
        <v>1.25</v>
      </c>
      <c r="J1765">
        <v>-3.37</v>
      </c>
      <c r="L1765">
        <v>-1.24</v>
      </c>
      <c r="M1765">
        <v>13.81</v>
      </c>
      <c r="N1765">
        <v>0</v>
      </c>
      <c r="O1765">
        <v>0.71</v>
      </c>
    </row>
    <row r="1766" spans="1:15">
      <c r="A1766" t="str">
        <f>"300294"</f>
        <v>300294</v>
      </c>
      <c r="B1766" t="s">
        <v>1804</v>
      </c>
      <c r="C1766">
        <v>-1.32</v>
      </c>
      <c r="D1766">
        <v>15.68</v>
      </c>
      <c r="E1766" t="s">
        <v>16</v>
      </c>
      <c r="F1766" t="s">
        <v>16</v>
      </c>
      <c r="H1766">
        <v>0.06</v>
      </c>
      <c r="I1766">
        <v>-3.86</v>
      </c>
      <c r="J1766">
        <v>-2.61</v>
      </c>
      <c r="L1766">
        <v>-0.82</v>
      </c>
      <c r="M1766">
        <v>42.39</v>
      </c>
      <c r="N1766">
        <v>0.01</v>
      </c>
      <c r="O1766">
        <v>6.11</v>
      </c>
    </row>
    <row r="1767" spans="1:15">
      <c r="A1767" t="str">
        <f>"300295"</f>
        <v>300295</v>
      </c>
      <c r="B1767" t="s">
        <v>1805</v>
      </c>
      <c r="C1767">
        <v>-1.11</v>
      </c>
      <c r="D1767">
        <v>10.73</v>
      </c>
      <c r="E1767" t="s">
        <v>16</v>
      </c>
      <c r="F1767" t="s">
        <v>16</v>
      </c>
      <c r="H1767">
        <v>0.28</v>
      </c>
      <c r="I1767">
        <v>-9.14</v>
      </c>
      <c r="J1767">
        <v>-2.9</v>
      </c>
      <c r="L1767">
        <v>-0.65</v>
      </c>
      <c r="M1767">
        <v>8.52</v>
      </c>
      <c r="N1767">
        <v>0.01</v>
      </c>
      <c r="O1767">
        <v>8.78</v>
      </c>
    </row>
    <row r="1768" spans="1:15">
      <c r="A1768" t="str">
        <f>"300296"</f>
        <v>300296</v>
      </c>
      <c r="B1768" t="s">
        <v>1806</v>
      </c>
      <c r="C1768">
        <v>-2.75</v>
      </c>
      <c r="D1768">
        <v>6.72</v>
      </c>
      <c r="E1768" t="s">
        <v>16</v>
      </c>
      <c r="F1768" t="s">
        <v>16</v>
      </c>
      <c r="H1768">
        <v>-0.29</v>
      </c>
      <c r="I1768">
        <v>2.44</v>
      </c>
      <c r="J1768">
        <v>-2.89</v>
      </c>
      <c r="L1768">
        <v>-0.87</v>
      </c>
      <c r="M1768">
        <v>396.96</v>
      </c>
      <c r="N1768">
        <v>0.03</v>
      </c>
      <c r="O1768">
        <v>1.69</v>
      </c>
    </row>
    <row r="1769" spans="1:15">
      <c r="A1769" t="str">
        <f>"300298"</f>
        <v>300298</v>
      </c>
      <c r="B1769" t="s">
        <v>1807</v>
      </c>
      <c r="C1769">
        <v>-1.31</v>
      </c>
      <c r="D1769">
        <v>14.29</v>
      </c>
      <c r="E1769" t="s">
        <v>16</v>
      </c>
      <c r="F1769" t="s">
        <v>16</v>
      </c>
      <c r="H1769">
        <v>-0.06</v>
      </c>
      <c r="I1769">
        <v>-3.71</v>
      </c>
      <c r="J1769">
        <v>-2.46</v>
      </c>
      <c r="L1769">
        <v>-0.21</v>
      </c>
      <c r="M1769">
        <v>7.95</v>
      </c>
      <c r="N1769">
        <v>0</v>
      </c>
      <c r="O1769">
        <v>1.02</v>
      </c>
    </row>
    <row r="1770" spans="1:15">
      <c r="A1770" t="str">
        <f>"300299"</f>
        <v>300299</v>
      </c>
      <c r="B1770" t="s">
        <v>1808</v>
      </c>
      <c r="C1770">
        <v>0.2</v>
      </c>
      <c r="D1770">
        <v>5.09</v>
      </c>
      <c r="E1770" t="s">
        <v>16</v>
      </c>
      <c r="F1770" t="s">
        <v>16</v>
      </c>
      <c r="H1770">
        <v>0.2</v>
      </c>
      <c r="I1770">
        <v>-2.12</v>
      </c>
      <c r="J1770">
        <v>-0.97</v>
      </c>
      <c r="L1770">
        <v>0</v>
      </c>
      <c r="M1770">
        <v>5.03</v>
      </c>
      <c r="N1770">
        <v>0</v>
      </c>
      <c r="O1770">
        <v>0.92</v>
      </c>
    </row>
    <row r="1771" spans="1:15">
      <c r="A1771" t="str">
        <f>"300300"</f>
        <v>300300</v>
      </c>
      <c r="B1771" t="s">
        <v>1809</v>
      </c>
      <c r="C1771">
        <v>-2.45</v>
      </c>
      <c r="D1771">
        <v>8.37</v>
      </c>
      <c r="E1771" t="s">
        <v>16</v>
      </c>
      <c r="F1771" t="s">
        <v>16</v>
      </c>
      <c r="H1771">
        <v>-0.23</v>
      </c>
      <c r="I1771">
        <v>-8.62</v>
      </c>
      <c r="J1771">
        <v>-4.12</v>
      </c>
      <c r="L1771">
        <v>1.28</v>
      </c>
      <c r="M1771">
        <v>167.72</v>
      </c>
      <c r="N1771">
        <v>0.04</v>
      </c>
      <c r="O1771">
        <v>2.16</v>
      </c>
    </row>
    <row r="1772" spans="1:15">
      <c r="A1772" t="str">
        <f>"300301"</f>
        <v>300301</v>
      </c>
      <c r="B1772" t="s">
        <v>1810</v>
      </c>
      <c r="C1772">
        <v>-3.07</v>
      </c>
      <c r="D1772">
        <v>3.16</v>
      </c>
      <c r="E1772" t="s">
        <v>16</v>
      </c>
      <c r="F1772" t="s">
        <v>16</v>
      </c>
      <c r="H1772">
        <v>0.64</v>
      </c>
      <c r="I1772">
        <v>-5.11</v>
      </c>
      <c r="J1772">
        <v>-3.36</v>
      </c>
      <c r="L1772">
        <v>0</v>
      </c>
      <c r="M1772">
        <v>9.13</v>
      </c>
      <c r="N1772">
        <v>0</v>
      </c>
      <c r="O1772">
        <v>1.64</v>
      </c>
    </row>
    <row r="1773" spans="1:15">
      <c r="A1773" t="str">
        <f>"300302"</f>
        <v>300302</v>
      </c>
      <c r="B1773" t="s">
        <v>1811</v>
      </c>
      <c r="C1773">
        <v>-0.25</v>
      </c>
      <c r="D1773">
        <v>50.9</v>
      </c>
      <c r="E1773" t="s">
        <v>16</v>
      </c>
      <c r="F1773" t="s">
        <v>16</v>
      </c>
      <c r="H1773">
        <v>0</v>
      </c>
      <c r="I1773">
        <v>-7.76</v>
      </c>
      <c r="J1773">
        <v>-2.4</v>
      </c>
      <c r="L1773">
        <v>-0.78</v>
      </c>
      <c r="M1773">
        <v>2034.31</v>
      </c>
      <c r="N1773">
        <v>0.13</v>
      </c>
      <c r="O1773">
        <v>0.48</v>
      </c>
    </row>
    <row r="1774" spans="1:15">
      <c r="A1774" t="str">
        <f>"300303"</f>
        <v>300303</v>
      </c>
      <c r="B1774" t="s">
        <v>1812</v>
      </c>
      <c r="C1774">
        <v>-2.53</v>
      </c>
      <c r="D1774">
        <v>9.62</v>
      </c>
      <c r="E1774" t="s">
        <v>16</v>
      </c>
      <c r="F1774" t="s">
        <v>16</v>
      </c>
      <c r="H1774">
        <v>-0.2</v>
      </c>
      <c r="I1774">
        <v>7.01</v>
      </c>
      <c r="J1774">
        <v>-2.14</v>
      </c>
      <c r="L1774">
        <v>-1.82</v>
      </c>
      <c r="M1774">
        <v>492.93</v>
      </c>
      <c r="N1774">
        <v>0.04</v>
      </c>
      <c r="O1774">
        <v>0.83</v>
      </c>
    </row>
    <row r="1775" spans="1:15">
      <c r="A1775" t="str">
        <f>"300304"</f>
        <v>300304</v>
      </c>
      <c r="B1775" t="s">
        <v>1813</v>
      </c>
      <c r="C1775">
        <v>2.35</v>
      </c>
      <c r="D1775">
        <v>18.28</v>
      </c>
      <c r="E1775" t="s">
        <v>16</v>
      </c>
      <c r="F1775" t="s">
        <v>16</v>
      </c>
      <c r="H1775">
        <v>-0.04</v>
      </c>
      <c r="I1775">
        <v>18.7</v>
      </c>
      <c r="J1775">
        <v>-2.71</v>
      </c>
      <c r="L1775">
        <v>-2.07</v>
      </c>
      <c r="M1775">
        <v>484.65</v>
      </c>
      <c r="N1775">
        <v>0.06</v>
      </c>
      <c r="O1775">
        <v>1.34</v>
      </c>
    </row>
    <row r="1776" spans="1:15">
      <c r="A1776" t="str">
        <f>"300305"</f>
        <v>300305</v>
      </c>
      <c r="B1776" t="s">
        <v>1814</v>
      </c>
      <c r="C1776">
        <v>-3.68</v>
      </c>
      <c r="D1776">
        <v>7.86</v>
      </c>
      <c r="E1776" t="s">
        <v>16</v>
      </c>
      <c r="F1776" t="s">
        <v>16</v>
      </c>
      <c r="H1776">
        <v>0.13</v>
      </c>
      <c r="I1776">
        <v>2.21</v>
      </c>
      <c r="J1776">
        <v>-2.24</v>
      </c>
      <c r="L1776">
        <v>-2.08</v>
      </c>
      <c r="M1776">
        <v>161.24</v>
      </c>
      <c r="N1776">
        <v>0.08</v>
      </c>
      <c r="O1776">
        <v>0.64</v>
      </c>
    </row>
    <row r="1777" spans="1:15">
      <c r="A1777" t="str">
        <f>"300306"</f>
        <v>300306</v>
      </c>
      <c r="B1777" t="s">
        <v>1815</v>
      </c>
      <c r="C1777">
        <v>-1.75</v>
      </c>
      <c r="D1777">
        <v>10.1</v>
      </c>
      <c r="E1777" t="s">
        <v>16</v>
      </c>
      <c r="F1777" t="s">
        <v>16</v>
      </c>
      <c r="H1777">
        <v>-0.29</v>
      </c>
      <c r="I1777">
        <v>-4.63</v>
      </c>
      <c r="J1777">
        <v>-1.94</v>
      </c>
      <c r="L1777">
        <v>-0.39</v>
      </c>
      <c r="M1777">
        <v>7.48</v>
      </c>
      <c r="N1777">
        <v>0.01</v>
      </c>
      <c r="O1777">
        <v>0.73</v>
      </c>
    </row>
    <row r="1778" spans="1:15">
      <c r="A1778" t="str">
        <f>"300307"</f>
        <v>300307</v>
      </c>
      <c r="B1778" t="s">
        <v>1816</v>
      </c>
      <c r="C1778">
        <v>2.52</v>
      </c>
      <c r="D1778">
        <v>8.14</v>
      </c>
      <c r="E1778" t="s">
        <v>16</v>
      </c>
      <c r="F1778" t="s">
        <v>16</v>
      </c>
      <c r="H1778">
        <v>-0.11</v>
      </c>
      <c r="I1778">
        <v>20.06</v>
      </c>
      <c r="J1778">
        <v>-6.22</v>
      </c>
      <c r="L1778">
        <v>-1.64</v>
      </c>
      <c r="M1778">
        <v>486.25</v>
      </c>
      <c r="N1778">
        <v>0.12</v>
      </c>
      <c r="O1778">
        <v>0.53</v>
      </c>
    </row>
    <row r="1779" spans="1:15">
      <c r="A1779" t="str">
        <f>"300308"</f>
        <v>300308</v>
      </c>
      <c r="B1779" t="s">
        <v>1817</v>
      </c>
      <c r="C1779">
        <v>7.19</v>
      </c>
      <c r="D1779">
        <v>1367.88</v>
      </c>
      <c r="E1779" t="s">
        <v>16</v>
      </c>
      <c r="F1779" t="s">
        <v>16</v>
      </c>
      <c r="H1779">
        <v>0.29</v>
      </c>
      <c r="I1779">
        <v>6.87</v>
      </c>
      <c r="J1779">
        <v>-0.05</v>
      </c>
      <c r="L1779">
        <v>-0.48</v>
      </c>
      <c r="M1779">
        <v>25921.46</v>
      </c>
      <c r="N1779">
        <v>0.02</v>
      </c>
      <c r="O1779">
        <v>0.57</v>
      </c>
    </row>
    <row r="1780" spans="1:15">
      <c r="A1780" t="str">
        <f>"300310"</f>
        <v>300310</v>
      </c>
      <c r="B1780" t="s">
        <v>1818</v>
      </c>
      <c r="C1780">
        <v>-1.06</v>
      </c>
      <c r="D1780">
        <v>4.66</v>
      </c>
      <c r="E1780" t="s">
        <v>16</v>
      </c>
      <c r="F1780" t="s">
        <v>16</v>
      </c>
      <c r="H1780">
        <v>-0.2</v>
      </c>
      <c r="I1780">
        <v>-4.51</v>
      </c>
      <c r="J1780">
        <v>-1.69</v>
      </c>
      <c r="L1780">
        <v>-0.64</v>
      </c>
      <c r="M1780">
        <v>105.81</v>
      </c>
      <c r="N1780">
        <v>0.04</v>
      </c>
      <c r="O1780">
        <v>1.93</v>
      </c>
    </row>
    <row r="1781" spans="1:15">
      <c r="A1781" t="str">
        <f>"300311"</f>
        <v>300311</v>
      </c>
      <c r="B1781" t="s">
        <v>1819</v>
      </c>
      <c r="C1781">
        <v>-1.14</v>
      </c>
      <c r="D1781">
        <v>5.2</v>
      </c>
      <c r="E1781" t="s">
        <v>16</v>
      </c>
      <c r="F1781" t="s">
        <v>16</v>
      </c>
      <c r="H1781">
        <v>-0.18</v>
      </c>
      <c r="I1781">
        <v>0.78</v>
      </c>
      <c r="J1781">
        <v>-1.89</v>
      </c>
      <c r="L1781">
        <v>-0.19</v>
      </c>
      <c r="M1781">
        <v>24.89</v>
      </c>
      <c r="N1781">
        <v>0.01</v>
      </c>
      <c r="O1781">
        <v>4.43</v>
      </c>
    </row>
    <row r="1782" spans="1:15">
      <c r="A1782" t="str">
        <f>"300313"</f>
        <v>300313</v>
      </c>
      <c r="B1782" t="s">
        <v>1820</v>
      </c>
      <c r="C1782" t="s">
        <v>16</v>
      </c>
      <c r="D1782">
        <v>8.69</v>
      </c>
      <c r="E1782" t="s">
        <v>16</v>
      </c>
      <c r="F1782" t="s">
        <v>16</v>
      </c>
      <c r="H1782" t="s">
        <v>16</v>
      </c>
      <c r="I1782">
        <v>0.7</v>
      </c>
      <c r="J1782" t="s">
        <v>16</v>
      </c>
      <c r="L1782" t="s">
        <v>16</v>
      </c>
      <c r="M1782">
        <v>0</v>
      </c>
      <c r="N1782" t="s">
        <v>16</v>
      </c>
      <c r="O1782" t="s">
        <v>16</v>
      </c>
    </row>
    <row r="1783" spans="1:15">
      <c r="A1783" t="str">
        <f>"300314"</f>
        <v>300314</v>
      </c>
      <c r="B1783" t="s">
        <v>1821</v>
      </c>
      <c r="C1783">
        <v>-0.62</v>
      </c>
      <c r="D1783">
        <v>9.65</v>
      </c>
      <c r="E1783" t="s">
        <v>16</v>
      </c>
      <c r="F1783" t="s">
        <v>16</v>
      </c>
      <c r="H1783">
        <v>-0.2</v>
      </c>
      <c r="I1783">
        <v>-2.62</v>
      </c>
      <c r="J1783">
        <v>-5.39</v>
      </c>
      <c r="L1783">
        <v>-1.03</v>
      </c>
      <c r="M1783">
        <v>19.22</v>
      </c>
      <c r="N1783">
        <v>0.02</v>
      </c>
      <c r="O1783">
        <v>2.86</v>
      </c>
    </row>
    <row r="1784" spans="1:15">
      <c r="A1784" t="str">
        <f>"300315"</f>
        <v>300315</v>
      </c>
      <c r="B1784" t="s">
        <v>1822</v>
      </c>
      <c r="C1784">
        <v>-0.74</v>
      </c>
      <c r="D1784">
        <v>4</v>
      </c>
      <c r="E1784" t="s">
        <v>16</v>
      </c>
      <c r="F1784" t="s">
        <v>16</v>
      </c>
      <c r="H1784">
        <v>-0.49</v>
      </c>
      <c r="I1784">
        <v>-5.88</v>
      </c>
      <c r="J1784">
        <v>-1.72</v>
      </c>
      <c r="L1784">
        <v>0.25</v>
      </c>
      <c r="M1784">
        <v>106.29</v>
      </c>
      <c r="N1784">
        <v>0.01</v>
      </c>
      <c r="O1784">
        <v>1.57</v>
      </c>
    </row>
    <row r="1785" spans="1:15">
      <c r="A1785" t="str">
        <f>"300316"</f>
        <v>300316</v>
      </c>
      <c r="B1785" t="s">
        <v>1823</v>
      </c>
      <c r="C1785">
        <v>3.89</v>
      </c>
      <c r="D1785">
        <v>53.89</v>
      </c>
      <c r="E1785" t="s">
        <v>16</v>
      </c>
      <c r="F1785" t="s">
        <v>16</v>
      </c>
      <c r="H1785">
        <v>-0.06</v>
      </c>
      <c r="I1785">
        <v>9.96</v>
      </c>
      <c r="J1785">
        <v>-3.16</v>
      </c>
      <c r="L1785">
        <v>-0.67</v>
      </c>
      <c r="M1785">
        <v>1262.76</v>
      </c>
      <c r="N1785">
        <v>0.04</v>
      </c>
      <c r="O1785">
        <v>0.98</v>
      </c>
    </row>
    <row r="1786" spans="1:15">
      <c r="A1786" t="str">
        <f>"300317"</f>
        <v>300317</v>
      </c>
      <c r="B1786" t="s">
        <v>1824</v>
      </c>
      <c r="C1786">
        <v>-6.87</v>
      </c>
      <c r="D1786">
        <v>4.47</v>
      </c>
      <c r="E1786" t="s">
        <v>16</v>
      </c>
      <c r="F1786" t="s">
        <v>16</v>
      </c>
      <c r="H1786">
        <v>-0.21</v>
      </c>
      <c r="I1786">
        <v>-19.6</v>
      </c>
      <c r="J1786">
        <v>-7.45</v>
      </c>
      <c r="L1786">
        <v>-0.21</v>
      </c>
      <c r="M1786">
        <v>33.39</v>
      </c>
      <c r="N1786">
        <v>0.01</v>
      </c>
      <c r="O1786">
        <v>0.38</v>
      </c>
    </row>
    <row r="1787" spans="1:15">
      <c r="A1787" t="str">
        <f>"300318"</f>
        <v>300318</v>
      </c>
      <c r="B1787" t="s">
        <v>1825</v>
      </c>
      <c r="C1787">
        <v>-1.11</v>
      </c>
      <c r="D1787">
        <v>4.45</v>
      </c>
      <c r="E1787" t="s">
        <v>16</v>
      </c>
      <c r="F1787" t="s">
        <v>16</v>
      </c>
      <c r="H1787">
        <v>-0.44</v>
      </c>
      <c r="I1787">
        <v>-6.71</v>
      </c>
      <c r="J1787">
        <v>-2.41</v>
      </c>
      <c r="L1787">
        <v>-0.67</v>
      </c>
      <c r="M1787">
        <v>3.31</v>
      </c>
      <c r="N1787">
        <v>0</v>
      </c>
      <c r="O1787" t="s">
        <v>16</v>
      </c>
    </row>
    <row r="1788" spans="1:15">
      <c r="A1788" t="str">
        <f>"300319"</f>
        <v>300319</v>
      </c>
      <c r="B1788" t="s">
        <v>1826</v>
      </c>
      <c r="C1788">
        <v>20.02</v>
      </c>
      <c r="D1788">
        <v>27.76</v>
      </c>
      <c r="E1788">
        <v>15133.36</v>
      </c>
      <c r="F1788">
        <v>1</v>
      </c>
      <c r="H1788">
        <v>0</v>
      </c>
      <c r="I1788">
        <v>43.39</v>
      </c>
      <c r="J1788">
        <v>0</v>
      </c>
      <c r="K1788" t="s">
        <v>140</v>
      </c>
      <c r="L1788">
        <v>-0.61</v>
      </c>
      <c r="M1788">
        <v>3824.19</v>
      </c>
      <c r="N1788">
        <v>0.25</v>
      </c>
      <c r="O1788">
        <v>0.67</v>
      </c>
    </row>
    <row r="1789" spans="1:15">
      <c r="A1789" t="str">
        <f>"300320"</f>
        <v>300320</v>
      </c>
      <c r="B1789" t="s">
        <v>1827</v>
      </c>
      <c r="C1789">
        <v>8.18</v>
      </c>
      <c r="D1789">
        <v>9.52</v>
      </c>
      <c r="E1789" t="s">
        <v>16</v>
      </c>
      <c r="F1789" t="s">
        <v>16</v>
      </c>
      <c r="H1789">
        <v>-0.2</v>
      </c>
      <c r="I1789">
        <v>7.69</v>
      </c>
      <c r="J1789">
        <v>-1.35</v>
      </c>
      <c r="L1789">
        <v>0</v>
      </c>
      <c r="M1789">
        <v>16.9</v>
      </c>
      <c r="N1789">
        <v>0</v>
      </c>
      <c r="O1789">
        <v>0.31</v>
      </c>
    </row>
    <row r="1790" spans="1:15">
      <c r="A1790" t="str">
        <f>"300321"</f>
        <v>300321</v>
      </c>
      <c r="B1790" t="s">
        <v>1828</v>
      </c>
      <c r="C1790">
        <v>10.04</v>
      </c>
      <c r="D1790">
        <v>49.52</v>
      </c>
      <c r="E1790" t="s">
        <v>16</v>
      </c>
      <c r="F1790" t="s">
        <v>16</v>
      </c>
      <c r="H1790">
        <v>0.26</v>
      </c>
      <c r="I1790">
        <v>11.28</v>
      </c>
      <c r="J1790">
        <v>-0.96</v>
      </c>
      <c r="L1790">
        <v>-1.13</v>
      </c>
      <c r="M1790">
        <v>358.14</v>
      </c>
      <c r="N1790">
        <v>0.19</v>
      </c>
      <c r="O1790">
        <v>19.63</v>
      </c>
    </row>
    <row r="1791" spans="1:15">
      <c r="A1791" t="str">
        <f>"300322"</f>
        <v>300322</v>
      </c>
      <c r="B1791" t="s">
        <v>1829</v>
      </c>
      <c r="C1791">
        <v>1.96</v>
      </c>
      <c r="D1791">
        <v>30.73</v>
      </c>
      <c r="E1791" t="s">
        <v>16</v>
      </c>
      <c r="F1791" t="s">
        <v>16</v>
      </c>
      <c r="H1791">
        <v>-0.15</v>
      </c>
      <c r="I1791">
        <v>-2.75</v>
      </c>
      <c r="J1791">
        <v>-2.16</v>
      </c>
      <c r="L1791">
        <v>0.13</v>
      </c>
      <c r="M1791">
        <v>332.89</v>
      </c>
      <c r="N1791">
        <v>0.03</v>
      </c>
      <c r="O1791">
        <v>0.46</v>
      </c>
    </row>
    <row r="1792" spans="1:15">
      <c r="A1792" t="str">
        <f>"300323"</f>
        <v>300323</v>
      </c>
      <c r="B1792" t="s">
        <v>1830</v>
      </c>
      <c r="C1792">
        <v>-3.99</v>
      </c>
      <c r="D1792">
        <v>16.13</v>
      </c>
      <c r="E1792" t="s">
        <v>16</v>
      </c>
      <c r="F1792" t="s">
        <v>16</v>
      </c>
      <c r="H1792">
        <v>0.12</v>
      </c>
      <c r="I1792">
        <v>-10.49</v>
      </c>
      <c r="J1792">
        <v>-3.18</v>
      </c>
      <c r="L1792">
        <v>-1.96</v>
      </c>
      <c r="M1792">
        <v>2062.37</v>
      </c>
      <c r="N1792">
        <v>0.16</v>
      </c>
      <c r="O1792">
        <v>2.92</v>
      </c>
    </row>
    <row r="1793" spans="1:15">
      <c r="A1793" t="str">
        <f>"300324"</f>
        <v>300324</v>
      </c>
      <c r="B1793" t="s">
        <v>1831</v>
      </c>
      <c r="C1793">
        <v>1.27</v>
      </c>
      <c r="D1793">
        <v>4</v>
      </c>
      <c r="E1793" t="s">
        <v>16</v>
      </c>
      <c r="F1793" t="s">
        <v>16</v>
      </c>
      <c r="H1793">
        <v>-0.24</v>
      </c>
      <c r="I1793">
        <v>-4.31</v>
      </c>
      <c r="J1793">
        <v>-2.91</v>
      </c>
      <c r="L1793">
        <v>0</v>
      </c>
      <c r="M1793">
        <v>27.06</v>
      </c>
      <c r="N1793">
        <v>0</v>
      </c>
      <c r="O1793">
        <v>0.58</v>
      </c>
    </row>
    <row r="1794" spans="1:15">
      <c r="A1794" t="str">
        <f>"300326"</f>
        <v>300326</v>
      </c>
      <c r="B1794" t="s">
        <v>1832</v>
      </c>
      <c r="C1794">
        <v>-1.59</v>
      </c>
      <c r="D1794">
        <v>6.2</v>
      </c>
      <c r="E1794" t="s">
        <v>16</v>
      </c>
      <c r="F1794" t="s">
        <v>16</v>
      </c>
      <c r="H1794">
        <v>0.16</v>
      </c>
      <c r="I1794">
        <v>-0.48</v>
      </c>
      <c r="J1794">
        <v>-1.74</v>
      </c>
      <c r="L1794">
        <v>-0.32</v>
      </c>
      <c r="M1794">
        <v>2.89</v>
      </c>
      <c r="N1794">
        <v>0</v>
      </c>
      <c r="O1794">
        <v>0.21</v>
      </c>
    </row>
    <row r="1795" spans="1:15">
      <c r="A1795" t="str">
        <f>"300327"</f>
        <v>300327</v>
      </c>
      <c r="B1795" t="s">
        <v>1833</v>
      </c>
      <c r="C1795">
        <v>1.98</v>
      </c>
      <c r="D1795">
        <v>28.8</v>
      </c>
      <c r="E1795" t="s">
        <v>16</v>
      </c>
      <c r="F1795" t="s">
        <v>16</v>
      </c>
      <c r="H1795">
        <v>0.1</v>
      </c>
      <c r="I1795">
        <v>4.05</v>
      </c>
      <c r="J1795">
        <v>-0.69</v>
      </c>
      <c r="L1795">
        <v>-0.57</v>
      </c>
      <c r="M1795">
        <v>146.86</v>
      </c>
      <c r="N1795">
        <v>0.02</v>
      </c>
      <c r="O1795">
        <v>1.07</v>
      </c>
    </row>
    <row r="1796" spans="1:15">
      <c r="A1796" t="str">
        <f>"300328"</f>
        <v>300328</v>
      </c>
      <c r="B1796" t="s">
        <v>1834</v>
      </c>
      <c r="C1796">
        <v>-2.65</v>
      </c>
      <c r="D1796">
        <v>18.77</v>
      </c>
      <c r="E1796" t="s">
        <v>16</v>
      </c>
      <c r="F1796" t="s">
        <v>16</v>
      </c>
      <c r="H1796">
        <v>0.27</v>
      </c>
      <c r="I1796">
        <v>-4.23</v>
      </c>
      <c r="J1796">
        <v>-5.68</v>
      </c>
      <c r="L1796">
        <v>1.5</v>
      </c>
      <c r="M1796">
        <v>463.22</v>
      </c>
      <c r="N1796">
        <v>0.05</v>
      </c>
      <c r="O1796">
        <v>1.48</v>
      </c>
    </row>
    <row r="1797" spans="1:15">
      <c r="A1797" t="str">
        <f>"300329"</f>
        <v>300329</v>
      </c>
      <c r="B1797" t="s">
        <v>1835</v>
      </c>
      <c r="C1797">
        <v>-3.09</v>
      </c>
      <c r="D1797">
        <v>11.92</v>
      </c>
      <c r="E1797" t="s">
        <v>16</v>
      </c>
      <c r="F1797" t="s">
        <v>16</v>
      </c>
      <c r="H1797">
        <v>0</v>
      </c>
      <c r="I1797">
        <v>-5.4</v>
      </c>
      <c r="J1797">
        <v>-3.64</v>
      </c>
      <c r="L1797">
        <v>-0.16</v>
      </c>
      <c r="M1797">
        <v>1.96</v>
      </c>
      <c r="N1797">
        <v>0</v>
      </c>
      <c r="O1797">
        <v>0.29</v>
      </c>
    </row>
    <row r="1798" spans="1:15">
      <c r="A1798" t="str">
        <f>"300331"</f>
        <v>300331</v>
      </c>
      <c r="B1798" t="s">
        <v>1836</v>
      </c>
      <c r="C1798">
        <v>-2.54</v>
      </c>
      <c r="D1798">
        <v>69.32</v>
      </c>
      <c r="E1798" t="s">
        <v>16</v>
      </c>
      <c r="F1798" t="s">
        <v>16</v>
      </c>
      <c r="H1798">
        <v>-0.11</v>
      </c>
      <c r="I1798">
        <v>18.74</v>
      </c>
      <c r="J1798">
        <v>-4.36</v>
      </c>
      <c r="L1798">
        <v>0.37</v>
      </c>
      <c r="M1798">
        <v>1472.78</v>
      </c>
      <c r="N1798">
        <v>0.11</v>
      </c>
      <c r="O1798">
        <v>1.23</v>
      </c>
    </row>
    <row r="1799" spans="1:15">
      <c r="A1799" t="str">
        <f>"300332"</f>
        <v>300332</v>
      </c>
      <c r="B1799" t="s">
        <v>1837</v>
      </c>
      <c r="C1799">
        <v>-1.37</v>
      </c>
      <c r="D1799">
        <v>4.31</v>
      </c>
      <c r="E1799" t="s">
        <v>16</v>
      </c>
      <c r="F1799" t="s">
        <v>16</v>
      </c>
      <c r="H1799">
        <v>0.23</v>
      </c>
      <c r="I1799">
        <v>-10.77</v>
      </c>
      <c r="J1799">
        <v>-1.6</v>
      </c>
      <c r="L1799">
        <v>-0.46</v>
      </c>
      <c r="M1799">
        <v>13.66</v>
      </c>
      <c r="N1799">
        <v>0</v>
      </c>
      <c r="O1799">
        <v>0.39</v>
      </c>
    </row>
    <row r="1800" spans="1:15">
      <c r="A1800" t="str">
        <f>"300333"</f>
        <v>300333</v>
      </c>
      <c r="B1800" t="s">
        <v>1838</v>
      </c>
      <c r="C1800">
        <v>-4.14</v>
      </c>
      <c r="D1800">
        <v>9.02</v>
      </c>
      <c r="E1800" t="s">
        <v>16</v>
      </c>
      <c r="F1800" t="s">
        <v>16</v>
      </c>
      <c r="H1800">
        <v>-0.1</v>
      </c>
      <c r="I1800">
        <v>-13.19</v>
      </c>
      <c r="J1800">
        <v>-5.55</v>
      </c>
      <c r="L1800">
        <v>-0.32</v>
      </c>
      <c r="M1800">
        <v>31.61</v>
      </c>
      <c r="N1800">
        <v>0.01</v>
      </c>
      <c r="O1800">
        <v>1.83</v>
      </c>
    </row>
    <row r="1801" spans="1:15">
      <c r="A1801" t="str">
        <f>"300334"</f>
        <v>300334</v>
      </c>
      <c r="B1801" t="s">
        <v>1839</v>
      </c>
      <c r="C1801">
        <v>-1.06</v>
      </c>
      <c r="D1801">
        <v>12.13</v>
      </c>
      <c r="E1801" t="s">
        <v>16</v>
      </c>
      <c r="F1801" t="s">
        <v>16</v>
      </c>
      <c r="H1801">
        <v>0</v>
      </c>
      <c r="I1801">
        <v>61.52</v>
      </c>
      <c r="J1801">
        <v>-4.11</v>
      </c>
      <c r="L1801">
        <v>-2.04</v>
      </c>
      <c r="M1801">
        <v>298.45</v>
      </c>
      <c r="N1801">
        <v>0.14</v>
      </c>
      <c r="O1801">
        <v>0.63</v>
      </c>
    </row>
    <row r="1802" spans="1:15">
      <c r="A1802" t="str">
        <f>"300335"</f>
        <v>300335</v>
      </c>
      <c r="B1802" t="s">
        <v>1840</v>
      </c>
      <c r="C1802">
        <v>-0.76</v>
      </c>
      <c r="D1802">
        <v>5.19</v>
      </c>
      <c r="E1802" t="s">
        <v>16</v>
      </c>
      <c r="F1802" t="s">
        <v>16</v>
      </c>
      <c r="H1802">
        <v>0.19</v>
      </c>
      <c r="I1802">
        <v>-10.82</v>
      </c>
      <c r="J1802">
        <v>-0.57</v>
      </c>
      <c r="L1802">
        <v>-0.57</v>
      </c>
      <c r="M1802">
        <v>26.21</v>
      </c>
      <c r="N1802">
        <v>0.01</v>
      </c>
      <c r="O1802">
        <v>7.41</v>
      </c>
    </row>
    <row r="1803" spans="1:15">
      <c r="A1803" t="str">
        <f>"300337"</f>
        <v>300337</v>
      </c>
      <c r="B1803" t="s">
        <v>1841</v>
      </c>
      <c r="C1803">
        <v>3.46</v>
      </c>
      <c r="D1803">
        <v>12.86</v>
      </c>
      <c r="E1803" t="s">
        <v>16</v>
      </c>
      <c r="F1803" t="s">
        <v>16</v>
      </c>
      <c r="H1803">
        <v>0.16</v>
      </c>
      <c r="I1803">
        <v>4.55</v>
      </c>
      <c r="J1803">
        <v>-2.21</v>
      </c>
      <c r="L1803">
        <v>-0.24</v>
      </c>
      <c r="M1803">
        <v>90.64</v>
      </c>
      <c r="N1803">
        <v>0.02</v>
      </c>
      <c r="O1803">
        <v>1.92</v>
      </c>
    </row>
    <row r="1804" spans="1:15">
      <c r="A1804" t="str">
        <f>"300338"</f>
        <v>300338</v>
      </c>
      <c r="B1804" t="s">
        <v>1842</v>
      </c>
      <c r="C1804">
        <v>-0.62</v>
      </c>
      <c r="D1804">
        <v>3.23</v>
      </c>
      <c r="E1804" t="s">
        <v>16</v>
      </c>
      <c r="F1804" t="s">
        <v>16</v>
      </c>
      <c r="H1804">
        <v>1.57</v>
      </c>
      <c r="I1804">
        <v>-0.92</v>
      </c>
      <c r="J1804">
        <v>-4.72</v>
      </c>
      <c r="L1804">
        <v>2.15</v>
      </c>
      <c r="M1804">
        <v>60.06</v>
      </c>
      <c r="N1804">
        <v>0.06</v>
      </c>
      <c r="O1804">
        <v>2.86</v>
      </c>
    </row>
    <row r="1805" spans="1:15">
      <c r="A1805" t="str">
        <f>"300339"</f>
        <v>300339</v>
      </c>
      <c r="B1805" t="s">
        <v>1843</v>
      </c>
      <c r="C1805">
        <v>0.7</v>
      </c>
      <c r="D1805">
        <v>40.21</v>
      </c>
      <c r="E1805" t="s">
        <v>16</v>
      </c>
      <c r="F1805" t="s">
        <v>16</v>
      </c>
      <c r="H1805">
        <v>-0.29</v>
      </c>
      <c r="I1805">
        <v>-2.17</v>
      </c>
      <c r="J1805">
        <v>-1.45</v>
      </c>
      <c r="L1805">
        <v>-0.5</v>
      </c>
      <c r="M1805">
        <v>215.32</v>
      </c>
      <c r="N1805">
        <v>0.01</v>
      </c>
      <c r="O1805">
        <v>0.87</v>
      </c>
    </row>
    <row r="1806" spans="1:15">
      <c r="A1806" t="str">
        <f>"300340"</f>
        <v>300340</v>
      </c>
      <c r="B1806" t="s">
        <v>1844</v>
      </c>
      <c r="C1806">
        <v>-1.72</v>
      </c>
      <c r="D1806">
        <v>9.15</v>
      </c>
      <c r="E1806" t="s">
        <v>16</v>
      </c>
      <c r="F1806" t="s">
        <v>16</v>
      </c>
      <c r="H1806">
        <v>-0.1</v>
      </c>
      <c r="I1806">
        <v>-3.68</v>
      </c>
      <c r="J1806">
        <v>-2.14</v>
      </c>
      <c r="L1806">
        <v>0</v>
      </c>
      <c r="M1806">
        <v>25.23</v>
      </c>
      <c r="N1806">
        <v>0.01</v>
      </c>
      <c r="O1806">
        <v>5.02</v>
      </c>
    </row>
    <row r="1807" spans="1:15">
      <c r="A1807" t="str">
        <f>"300341"</f>
        <v>300341</v>
      </c>
      <c r="B1807" t="s">
        <v>1845</v>
      </c>
      <c r="C1807">
        <v>2.17</v>
      </c>
      <c r="D1807">
        <v>15.56</v>
      </c>
      <c r="E1807" t="s">
        <v>16</v>
      </c>
      <c r="F1807" t="s">
        <v>16</v>
      </c>
      <c r="H1807">
        <v>-0.05</v>
      </c>
      <c r="I1807">
        <v>12.84</v>
      </c>
      <c r="J1807">
        <v>-4.48</v>
      </c>
      <c r="L1807">
        <v>0.26</v>
      </c>
      <c r="M1807">
        <v>76.2</v>
      </c>
      <c r="N1807">
        <v>0.03</v>
      </c>
      <c r="O1807">
        <v>3.7</v>
      </c>
    </row>
    <row r="1808" spans="1:15">
      <c r="A1808" t="str">
        <f>"300342"</f>
        <v>300342</v>
      </c>
      <c r="B1808" t="s">
        <v>1846</v>
      </c>
      <c r="C1808">
        <v>0.34</v>
      </c>
      <c r="D1808">
        <v>44.74</v>
      </c>
      <c r="E1808" t="s">
        <v>16</v>
      </c>
      <c r="F1808" t="s">
        <v>16</v>
      </c>
      <c r="H1808">
        <v>-0.06</v>
      </c>
      <c r="I1808">
        <v>-8.77</v>
      </c>
      <c r="J1808">
        <v>-2.1</v>
      </c>
      <c r="L1808">
        <v>-0.9</v>
      </c>
      <c r="M1808">
        <v>1442.8</v>
      </c>
      <c r="N1808">
        <v>0.1</v>
      </c>
      <c r="O1808">
        <v>0.61</v>
      </c>
    </row>
    <row r="1809" spans="1:15">
      <c r="A1809" t="str">
        <f>"300343"</f>
        <v>300343</v>
      </c>
      <c r="B1809" t="s">
        <v>1847</v>
      </c>
      <c r="C1809">
        <v>-5.87</v>
      </c>
      <c r="D1809">
        <v>5.93</v>
      </c>
      <c r="E1809" t="s">
        <v>16</v>
      </c>
      <c r="F1809" t="s">
        <v>16</v>
      </c>
      <c r="H1809">
        <v>0.34</v>
      </c>
      <c r="I1809">
        <v>-9.6</v>
      </c>
      <c r="J1809">
        <v>-5.27</v>
      </c>
      <c r="L1809">
        <v>-1.75</v>
      </c>
      <c r="M1809">
        <v>206.54</v>
      </c>
      <c r="N1809">
        <v>0.04</v>
      </c>
      <c r="O1809">
        <v>0.5</v>
      </c>
    </row>
    <row r="1810" spans="1:15">
      <c r="A1810" t="str">
        <f>"300345"</f>
        <v>300345</v>
      </c>
      <c r="B1810" t="s">
        <v>1848</v>
      </c>
      <c r="C1810">
        <v>-4.33</v>
      </c>
      <c r="D1810">
        <v>5.75</v>
      </c>
      <c r="E1810" t="s">
        <v>16</v>
      </c>
      <c r="F1810" t="s">
        <v>16</v>
      </c>
      <c r="H1810">
        <v>0.17</v>
      </c>
      <c r="I1810">
        <v>-2.04</v>
      </c>
      <c r="J1810">
        <v>-4.17</v>
      </c>
      <c r="L1810">
        <v>-0.17</v>
      </c>
      <c r="M1810">
        <v>38.4</v>
      </c>
      <c r="N1810">
        <v>0.02</v>
      </c>
      <c r="O1810">
        <v>0.59</v>
      </c>
    </row>
    <row r="1811" spans="1:15">
      <c r="A1811" t="str">
        <f>"300346"</f>
        <v>300346</v>
      </c>
      <c r="B1811" t="s">
        <v>1849</v>
      </c>
      <c r="C1811">
        <v>-0.66</v>
      </c>
      <c r="D1811">
        <v>64.9</v>
      </c>
      <c r="E1811" t="s">
        <v>16</v>
      </c>
      <c r="F1811" t="s">
        <v>16</v>
      </c>
      <c r="H1811">
        <v>0.23</v>
      </c>
      <c r="I1811">
        <v>23.41</v>
      </c>
      <c r="J1811">
        <v>-0.46</v>
      </c>
      <c r="L1811">
        <v>-1.15</v>
      </c>
      <c r="M1811">
        <v>2691.05</v>
      </c>
      <c r="N1811">
        <v>0.07</v>
      </c>
      <c r="O1811">
        <v>0.68</v>
      </c>
    </row>
    <row r="1812" spans="1:15">
      <c r="A1812" t="str">
        <f>"300347"</f>
        <v>300347</v>
      </c>
      <c r="B1812" t="s">
        <v>1850</v>
      </c>
      <c r="C1812">
        <v>-0.17</v>
      </c>
      <c r="D1812">
        <v>40.12</v>
      </c>
      <c r="E1812" t="s">
        <v>16</v>
      </c>
      <c r="F1812" t="s">
        <v>16</v>
      </c>
      <c r="H1812">
        <v>-0.04</v>
      </c>
      <c r="I1812">
        <v>1.36</v>
      </c>
      <c r="J1812">
        <v>-1.86</v>
      </c>
      <c r="L1812">
        <v>-0.47</v>
      </c>
      <c r="M1812">
        <v>143.2</v>
      </c>
      <c r="N1812">
        <v>0.01</v>
      </c>
      <c r="O1812">
        <v>0.81</v>
      </c>
    </row>
    <row r="1813" spans="1:15">
      <c r="A1813" t="str">
        <f>"300348"</f>
        <v>300348</v>
      </c>
      <c r="B1813" t="s">
        <v>1851</v>
      </c>
      <c r="C1813">
        <v>-2.05</v>
      </c>
      <c r="D1813">
        <v>9.55</v>
      </c>
      <c r="E1813" t="s">
        <v>16</v>
      </c>
      <c r="F1813" t="s">
        <v>16</v>
      </c>
      <c r="H1813">
        <v>0.21</v>
      </c>
      <c r="I1813">
        <v>-3.83</v>
      </c>
      <c r="J1813">
        <v>-2.55</v>
      </c>
      <c r="L1813">
        <v>-0.41</v>
      </c>
      <c r="M1813">
        <v>103.9</v>
      </c>
      <c r="N1813">
        <v>0.02</v>
      </c>
      <c r="O1813">
        <v>4.65</v>
      </c>
    </row>
    <row r="1814" spans="1:15">
      <c r="A1814" t="str">
        <f>"300349"</f>
        <v>300349</v>
      </c>
      <c r="B1814" t="s">
        <v>1852</v>
      </c>
      <c r="C1814">
        <v>-2.52</v>
      </c>
      <c r="D1814">
        <v>12.38</v>
      </c>
      <c r="E1814" t="s">
        <v>16</v>
      </c>
      <c r="F1814" t="s">
        <v>16</v>
      </c>
      <c r="H1814">
        <v>-0.23</v>
      </c>
      <c r="I1814">
        <v>2.23</v>
      </c>
      <c r="J1814">
        <v>-4.77</v>
      </c>
      <c r="L1814">
        <v>0.63</v>
      </c>
      <c r="M1814">
        <v>573.82</v>
      </c>
      <c r="N1814">
        <v>0.17</v>
      </c>
      <c r="O1814">
        <v>24.94</v>
      </c>
    </row>
    <row r="1815" spans="1:15">
      <c r="A1815" t="str">
        <f>"300350"</f>
        <v>300350</v>
      </c>
      <c r="B1815" t="s">
        <v>1853</v>
      </c>
      <c r="C1815">
        <v>-1.65</v>
      </c>
      <c r="D1815">
        <v>4.17</v>
      </c>
      <c r="E1815" t="s">
        <v>16</v>
      </c>
      <c r="F1815" t="s">
        <v>16</v>
      </c>
      <c r="H1815">
        <v>0.24</v>
      </c>
      <c r="I1815">
        <v>-5.66</v>
      </c>
      <c r="J1815">
        <v>-1.42</v>
      </c>
      <c r="L1815">
        <v>-0.94</v>
      </c>
      <c r="M1815">
        <v>12.64</v>
      </c>
      <c r="N1815">
        <v>0.01</v>
      </c>
      <c r="O1815">
        <v>0.32</v>
      </c>
    </row>
    <row r="1816" spans="1:15">
      <c r="A1816" t="str">
        <f>"300351"</f>
        <v>300351</v>
      </c>
      <c r="B1816" t="s">
        <v>1854</v>
      </c>
      <c r="C1816">
        <v>-5.36</v>
      </c>
      <c r="D1816">
        <v>19.43</v>
      </c>
      <c r="E1816" t="s">
        <v>16</v>
      </c>
      <c r="F1816" t="s">
        <v>16</v>
      </c>
      <c r="H1816">
        <v>0.15</v>
      </c>
      <c r="I1816">
        <v>12.31</v>
      </c>
      <c r="J1816">
        <v>-5.22</v>
      </c>
      <c r="K1816" t="s">
        <v>54</v>
      </c>
      <c r="L1816">
        <v>-2.92</v>
      </c>
      <c r="M1816">
        <v>730.04</v>
      </c>
      <c r="N1816">
        <v>0.19</v>
      </c>
      <c r="O1816">
        <v>6.83</v>
      </c>
    </row>
    <row r="1817" spans="1:15">
      <c r="A1817" t="str">
        <f>"300352"</f>
        <v>300352</v>
      </c>
      <c r="B1817" t="s">
        <v>1855</v>
      </c>
      <c r="C1817">
        <v>2.8</v>
      </c>
      <c r="D1817">
        <v>2.94</v>
      </c>
      <c r="E1817" t="s">
        <v>16</v>
      </c>
      <c r="F1817" t="s">
        <v>16</v>
      </c>
      <c r="H1817">
        <v>-0.33</v>
      </c>
      <c r="I1817">
        <v>-4.85</v>
      </c>
      <c r="J1817">
        <v>-4.55</v>
      </c>
      <c r="L1817">
        <v>-0.7</v>
      </c>
      <c r="M1817">
        <v>81.2</v>
      </c>
      <c r="N1817">
        <v>0.02</v>
      </c>
      <c r="O1817">
        <v>0.38</v>
      </c>
    </row>
    <row r="1818" spans="1:15">
      <c r="A1818" t="str">
        <f>"300353"</f>
        <v>300353</v>
      </c>
      <c r="B1818" t="s">
        <v>1856</v>
      </c>
      <c r="C1818">
        <v>1.57</v>
      </c>
      <c r="D1818">
        <v>22.67</v>
      </c>
      <c r="E1818" t="s">
        <v>16</v>
      </c>
      <c r="F1818" t="s">
        <v>16</v>
      </c>
      <c r="H1818">
        <v>-0.03</v>
      </c>
      <c r="I1818">
        <v>24.02</v>
      </c>
      <c r="J1818">
        <v>-0.79</v>
      </c>
      <c r="L1818">
        <v>-1.34</v>
      </c>
      <c r="M1818">
        <v>218.88</v>
      </c>
      <c r="N1818">
        <v>0.02</v>
      </c>
      <c r="O1818">
        <v>0.59</v>
      </c>
    </row>
    <row r="1819" spans="1:15">
      <c r="A1819" t="str">
        <f>"300354"</f>
        <v>300354</v>
      </c>
      <c r="B1819" t="s">
        <v>1857</v>
      </c>
      <c r="C1819">
        <v>0.94</v>
      </c>
      <c r="D1819">
        <v>35.41</v>
      </c>
      <c r="E1819" t="s">
        <v>16</v>
      </c>
      <c r="F1819" t="s">
        <v>16</v>
      </c>
      <c r="H1819">
        <v>-0.07</v>
      </c>
      <c r="I1819">
        <v>11.21</v>
      </c>
      <c r="J1819">
        <v>-2.07</v>
      </c>
      <c r="L1819">
        <v>-0.97</v>
      </c>
      <c r="M1819">
        <v>155.29</v>
      </c>
      <c r="N1819">
        <v>0.07</v>
      </c>
      <c r="O1819">
        <v>2.74</v>
      </c>
    </row>
    <row r="1820" spans="1:15">
      <c r="A1820" t="str">
        <f>"300355"</f>
        <v>300355</v>
      </c>
      <c r="B1820" t="s">
        <v>1858</v>
      </c>
      <c r="C1820">
        <v>-1.03</v>
      </c>
      <c r="D1820">
        <v>2.89</v>
      </c>
      <c r="E1820" t="s">
        <v>16</v>
      </c>
      <c r="F1820" t="s">
        <v>16</v>
      </c>
      <c r="H1820">
        <v>0</v>
      </c>
      <c r="I1820">
        <v>-6.47</v>
      </c>
      <c r="J1820">
        <v>-1.03</v>
      </c>
      <c r="L1820">
        <v>-0.34</v>
      </c>
      <c r="M1820">
        <v>25.81</v>
      </c>
      <c r="N1820">
        <v>0.01</v>
      </c>
      <c r="O1820">
        <v>2.02</v>
      </c>
    </row>
    <row r="1821" spans="1:15">
      <c r="A1821" t="str">
        <f>"300357"</f>
        <v>300357</v>
      </c>
      <c r="B1821" t="s">
        <v>1859</v>
      </c>
      <c r="C1821">
        <v>1.53</v>
      </c>
      <c r="D1821">
        <v>21.25</v>
      </c>
      <c r="E1821" t="s">
        <v>16</v>
      </c>
      <c r="F1821" t="s">
        <v>16</v>
      </c>
      <c r="H1821">
        <v>-0.08</v>
      </c>
      <c r="I1821">
        <v>-3.41</v>
      </c>
      <c r="J1821">
        <v>-1.48</v>
      </c>
      <c r="L1821">
        <v>-1.15</v>
      </c>
      <c r="M1821">
        <v>34.76</v>
      </c>
      <c r="N1821">
        <v>0.01</v>
      </c>
      <c r="O1821">
        <v>3.23</v>
      </c>
    </row>
    <row r="1822" spans="1:15">
      <c r="A1822" t="str">
        <f>"300358"</f>
        <v>300358</v>
      </c>
      <c r="B1822" t="s">
        <v>1860</v>
      </c>
      <c r="C1822">
        <v>-0.62</v>
      </c>
      <c r="D1822">
        <v>8.05</v>
      </c>
      <c r="E1822" t="s">
        <v>16</v>
      </c>
      <c r="F1822" t="s">
        <v>16</v>
      </c>
      <c r="H1822">
        <v>-0.11</v>
      </c>
      <c r="I1822">
        <v>-0.12</v>
      </c>
      <c r="J1822">
        <v>-1.83</v>
      </c>
      <c r="L1822">
        <v>0.12</v>
      </c>
      <c r="M1822">
        <v>17.03</v>
      </c>
      <c r="N1822">
        <v>0</v>
      </c>
      <c r="O1822">
        <v>1.65</v>
      </c>
    </row>
    <row r="1823" spans="1:15">
      <c r="A1823" t="str">
        <f>"300359"</f>
        <v>300359</v>
      </c>
      <c r="B1823" t="s">
        <v>1861</v>
      </c>
      <c r="C1823">
        <v>0.54</v>
      </c>
      <c r="D1823">
        <v>3.75</v>
      </c>
      <c r="E1823" t="s">
        <v>16</v>
      </c>
      <c r="F1823" t="s">
        <v>16</v>
      </c>
      <c r="H1823">
        <v>0.27</v>
      </c>
      <c r="I1823">
        <v>-6.25</v>
      </c>
      <c r="J1823">
        <v>-1.32</v>
      </c>
      <c r="L1823">
        <v>0</v>
      </c>
      <c r="M1823">
        <v>22.08</v>
      </c>
      <c r="N1823">
        <v>0.01</v>
      </c>
      <c r="O1823">
        <v>1.76</v>
      </c>
    </row>
    <row r="1824" spans="1:15">
      <c r="A1824" t="str">
        <f>"300360"</f>
        <v>300360</v>
      </c>
      <c r="B1824" t="s">
        <v>1862</v>
      </c>
      <c r="C1824">
        <v>-1.3</v>
      </c>
      <c r="D1824">
        <v>12.15</v>
      </c>
      <c r="E1824" t="s">
        <v>16</v>
      </c>
      <c r="F1824" t="s">
        <v>16</v>
      </c>
      <c r="H1824">
        <v>-0.24</v>
      </c>
      <c r="I1824">
        <v>-8.99</v>
      </c>
      <c r="J1824">
        <v>-1.86</v>
      </c>
      <c r="L1824">
        <v>-0.49</v>
      </c>
      <c r="M1824">
        <v>33.93</v>
      </c>
      <c r="N1824">
        <v>0.01</v>
      </c>
      <c r="O1824">
        <v>1.41</v>
      </c>
    </row>
    <row r="1825" spans="1:15">
      <c r="A1825" t="str">
        <f>"300363"</f>
        <v>300363</v>
      </c>
      <c r="B1825" t="s">
        <v>1863</v>
      </c>
      <c r="C1825">
        <v>0.85</v>
      </c>
      <c r="D1825">
        <v>14.28</v>
      </c>
      <c r="E1825" t="s">
        <v>16</v>
      </c>
      <c r="F1825" t="s">
        <v>16</v>
      </c>
      <c r="H1825">
        <v>0.07</v>
      </c>
      <c r="I1825">
        <v>2.15</v>
      </c>
      <c r="J1825">
        <v>-1.65</v>
      </c>
      <c r="L1825">
        <v>0</v>
      </c>
      <c r="M1825">
        <v>19.12</v>
      </c>
      <c r="N1825">
        <v>0</v>
      </c>
      <c r="O1825">
        <v>0.92</v>
      </c>
    </row>
    <row r="1826" spans="1:15">
      <c r="A1826" t="str">
        <f>"300364"</f>
        <v>300364</v>
      </c>
      <c r="B1826" t="s">
        <v>1864</v>
      </c>
      <c r="C1826">
        <v>7.09</v>
      </c>
      <c r="D1826">
        <v>25.06</v>
      </c>
      <c r="E1826" t="s">
        <v>16</v>
      </c>
      <c r="F1826" t="s">
        <v>16</v>
      </c>
      <c r="H1826">
        <v>0.12</v>
      </c>
      <c r="I1826">
        <v>4.85</v>
      </c>
      <c r="J1826">
        <v>-0.87</v>
      </c>
      <c r="L1826">
        <v>-0.04</v>
      </c>
      <c r="M1826">
        <v>90.29</v>
      </c>
      <c r="N1826">
        <v>0.01</v>
      </c>
      <c r="O1826">
        <v>0.31</v>
      </c>
    </row>
    <row r="1827" spans="1:15">
      <c r="A1827" t="str">
        <f>"300365"</f>
        <v>300365</v>
      </c>
      <c r="B1827" t="s">
        <v>1865</v>
      </c>
      <c r="C1827">
        <v>4.75</v>
      </c>
      <c r="D1827">
        <v>5.07</v>
      </c>
      <c r="E1827" t="s">
        <v>16</v>
      </c>
      <c r="F1827" t="s">
        <v>16</v>
      </c>
      <c r="H1827">
        <v>-0.19</v>
      </c>
      <c r="I1827">
        <v>-2.69</v>
      </c>
      <c r="J1827">
        <v>-3.24</v>
      </c>
      <c r="L1827">
        <v>-0.83</v>
      </c>
      <c r="M1827">
        <v>18.34</v>
      </c>
      <c r="N1827">
        <v>0.01</v>
      </c>
      <c r="O1827">
        <v>0.53</v>
      </c>
    </row>
    <row r="1828" spans="1:15">
      <c r="A1828" t="str">
        <f>"300366"</f>
        <v>300366</v>
      </c>
      <c r="B1828" t="s">
        <v>1866</v>
      </c>
      <c r="C1828">
        <v>-2.49</v>
      </c>
      <c r="D1828">
        <v>5.1</v>
      </c>
      <c r="E1828" t="s">
        <v>16</v>
      </c>
      <c r="F1828" t="s">
        <v>16</v>
      </c>
      <c r="H1828">
        <v>0</v>
      </c>
      <c r="I1828">
        <v>-2.86</v>
      </c>
      <c r="J1828">
        <v>-2.49</v>
      </c>
      <c r="L1828">
        <v>0</v>
      </c>
      <c r="M1828">
        <v>11.45</v>
      </c>
      <c r="N1828">
        <v>0</v>
      </c>
      <c r="O1828">
        <v>0.55</v>
      </c>
    </row>
    <row r="1829" spans="1:15">
      <c r="A1829" t="str">
        <f>"300368"</f>
        <v>300368</v>
      </c>
      <c r="B1829" t="s">
        <v>1867</v>
      </c>
      <c r="C1829">
        <v>-3.59</v>
      </c>
      <c r="D1829">
        <v>8.6</v>
      </c>
      <c r="E1829" t="s">
        <v>16</v>
      </c>
      <c r="F1829" t="s">
        <v>16</v>
      </c>
      <c r="H1829">
        <v>-0.22</v>
      </c>
      <c r="I1829">
        <v>-9.66</v>
      </c>
      <c r="J1829">
        <v>-3.91</v>
      </c>
      <c r="L1829">
        <v>-0.45</v>
      </c>
      <c r="M1829">
        <v>42.98</v>
      </c>
      <c r="N1829">
        <v>0.01</v>
      </c>
      <c r="O1829">
        <v>0.69</v>
      </c>
    </row>
    <row r="1830" spans="1:15">
      <c r="A1830" t="str">
        <f>"300369"</f>
        <v>300369</v>
      </c>
      <c r="B1830" t="s">
        <v>1868</v>
      </c>
      <c r="C1830">
        <v>-1.2</v>
      </c>
      <c r="D1830">
        <v>5.77</v>
      </c>
      <c r="E1830" t="s">
        <v>16</v>
      </c>
      <c r="F1830" t="s">
        <v>16</v>
      </c>
      <c r="H1830">
        <v>0</v>
      </c>
      <c r="I1830">
        <v>-7.38</v>
      </c>
      <c r="J1830">
        <v>-2.2</v>
      </c>
      <c r="L1830">
        <v>-0.51</v>
      </c>
      <c r="M1830">
        <v>74.02</v>
      </c>
      <c r="N1830">
        <v>0.02</v>
      </c>
      <c r="O1830">
        <v>5.71</v>
      </c>
    </row>
    <row r="1831" spans="1:15">
      <c r="A1831" t="str">
        <f>"300370"</f>
        <v>300370</v>
      </c>
      <c r="B1831" t="s">
        <v>1869</v>
      </c>
      <c r="C1831">
        <v>1.84</v>
      </c>
      <c r="D1831">
        <v>2.21</v>
      </c>
      <c r="E1831" t="s">
        <v>16</v>
      </c>
      <c r="F1831" t="s">
        <v>16</v>
      </c>
      <c r="H1831">
        <v>0.45</v>
      </c>
      <c r="I1831">
        <v>-11.95</v>
      </c>
      <c r="J1831">
        <v>-0.9</v>
      </c>
      <c r="L1831">
        <v>-0.46</v>
      </c>
      <c r="M1831">
        <v>26.7</v>
      </c>
      <c r="N1831">
        <v>0.01</v>
      </c>
      <c r="O1831">
        <v>2.55</v>
      </c>
    </row>
    <row r="1832" spans="1:15">
      <c r="A1832" t="str">
        <f>"300371"</f>
        <v>300371</v>
      </c>
      <c r="B1832" t="s">
        <v>1870</v>
      </c>
      <c r="C1832">
        <v>-0.48</v>
      </c>
      <c r="D1832">
        <v>10.43</v>
      </c>
      <c r="E1832" t="s">
        <v>16</v>
      </c>
      <c r="F1832" t="s">
        <v>16</v>
      </c>
      <c r="H1832">
        <v>-0.18</v>
      </c>
      <c r="I1832">
        <v>-5.35</v>
      </c>
      <c r="J1832">
        <v>-1.51</v>
      </c>
      <c r="L1832">
        <v>-0.48</v>
      </c>
      <c r="M1832">
        <v>9.18</v>
      </c>
      <c r="N1832">
        <v>0.01</v>
      </c>
      <c r="O1832">
        <v>0.76</v>
      </c>
    </row>
    <row r="1833" spans="1:15">
      <c r="A1833" t="str">
        <f>"300373"</f>
        <v>300373</v>
      </c>
      <c r="B1833" t="s">
        <v>1871</v>
      </c>
      <c r="C1833">
        <v>7.91</v>
      </c>
      <c r="D1833">
        <v>123.13</v>
      </c>
      <c r="E1833" t="s">
        <v>16</v>
      </c>
      <c r="F1833" t="s">
        <v>16</v>
      </c>
      <c r="H1833">
        <v>0.13</v>
      </c>
      <c r="I1833">
        <v>16.71</v>
      </c>
      <c r="J1833">
        <v>-2.37</v>
      </c>
      <c r="L1833">
        <v>-0.53</v>
      </c>
      <c r="M1833">
        <v>3851.06</v>
      </c>
      <c r="N1833">
        <v>0.12</v>
      </c>
      <c r="O1833">
        <v>1.06</v>
      </c>
    </row>
    <row r="1834" spans="1:15">
      <c r="A1834" t="str">
        <f>"300374"</f>
        <v>300374</v>
      </c>
      <c r="B1834" t="s">
        <v>1872</v>
      </c>
      <c r="C1834">
        <v>-8.29</v>
      </c>
      <c r="D1834">
        <v>11.61</v>
      </c>
      <c r="E1834" t="s">
        <v>16</v>
      </c>
      <c r="F1834" t="s">
        <v>16</v>
      </c>
      <c r="H1834">
        <v>0.43</v>
      </c>
      <c r="I1834">
        <v>-3.25</v>
      </c>
      <c r="J1834">
        <v>-5.46</v>
      </c>
      <c r="L1834">
        <v>-3.63</v>
      </c>
      <c r="M1834">
        <v>457.26</v>
      </c>
      <c r="N1834">
        <v>0.29</v>
      </c>
      <c r="O1834">
        <v>41.19</v>
      </c>
    </row>
    <row r="1835" spans="1:15">
      <c r="A1835" t="str">
        <f>"300375"</f>
        <v>300375</v>
      </c>
      <c r="B1835" t="s">
        <v>1873</v>
      </c>
      <c r="C1835">
        <v>-4.8</v>
      </c>
      <c r="D1835">
        <v>4.56</v>
      </c>
      <c r="E1835" t="s">
        <v>16</v>
      </c>
      <c r="F1835" t="s">
        <v>16</v>
      </c>
      <c r="H1835">
        <v>-0.21</v>
      </c>
      <c r="I1835">
        <v>2.47</v>
      </c>
      <c r="J1835">
        <v>-6.56</v>
      </c>
      <c r="L1835">
        <v>1.04</v>
      </c>
      <c r="M1835">
        <v>402.25</v>
      </c>
      <c r="N1835">
        <v>0.18</v>
      </c>
      <c r="O1835">
        <v>3.18</v>
      </c>
    </row>
    <row r="1836" spans="1:15">
      <c r="A1836" t="str">
        <f>"300376"</f>
        <v>300376</v>
      </c>
      <c r="B1836" t="s">
        <v>1874</v>
      </c>
      <c r="C1836">
        <v>-4.13</v>
      </c>
      <c r="D1836">
        <v>6.04</v>
      </c>
      <c r="E1836" t="s">
        <v>16</v>
      </c>
      <c r="F1836" t="s">
        <v>16</v>
      </c>
      <c r="H1836">
        <v>-0.65</v>
      </c>
      <c r="I1836">
        <v>21.04</v>
      </c>
      <c r="J1836">
        <v>-4.43</v>
      </c>
      <c r="L1836">
        <v>-0.79</v>
      </c>
      <c r="M1836">
        <v>172.75</v>
      </c>
      <c r="N1836">
        <v>0.02</v>
      </c>
      <c r="O1836">
        <v>0.45</v>
      </c>
    </row>
    <row r="1837" spans="1:15">
      <c r="A1837" t="str">
        <f>"300377"</f>
        <v>300377</v>
      </c>
      <c r="B1837" t="s">
        <v>1875</v>
      </c>
      <c r="C1837">
        <v>-1.1</v>
      </c>
      <c r="D1837">
        <v>16.16</v>
      </c>
      <c r="E1837" t="s">
        <v>16</v>
      </c>
      <c r="F1837" t="s">
        <v>16</v>
      </c>
      <c r="H1837">
        <v>0.12</v>
      </c>
      <c r="I1837">
        <v>21.23</v>
      </c>
      <c r="J1837">
        <v>-0.86</v>
      </c>
      <c r="L1837">
        <v>-2.02</v>
      </c>
      <c r="M1837">
        <v>1106.45</v>
      </c>
      <c r="N1837">
        <v>0.12</v>
      </c>
      <c r="O1837">
        <v>0.69</v>
      </c>
    </row>
    <row r="1838" spans="1:15">
      <c r="A1838" t="str">
        <f>"300378"</f>
        <v>300378</v>
      </c>
      <c r="B1838" t="s">
        <v>1876</v>
      </c>
      <c r="C1838">
        <v>2.17</v>
      </c>
      <c r="D1838">
        <v>38.16</v>
      </c>
      <c r="E1838" t="s">
        <v>16</v>
      </c>
      <c r="F1838" t="s">
        <v>16</v>
      </c>
      <c r="H1838">
        <v>-0.17</v>
      </c>
      <c r="I1838">
        <v>5.94</v>
      </c>
      <c r="J1838">
        <v>-2.03</v>
      </c>
      <c r="L1838">
        <v>-0.86</v>
      </c>
      <c r="M1838">
        <v>102.94</v>
      </c>
      <c r="N1838">
        <v>0.01</v>
      </c>
      <c r="O1838">
        <v>0.88</v>
      </c>
    </row>
    <row r="1839" spans="1:15">
      <c r="A1839" t="str">
        <f>"300380"</f>
        <v>300380</v>
      </c>
      <c r="B1839" t="s">
        <v>1877</v>
      </c>
      <c r="C1839">
        <v>-1.46</v>
      </c>
      <c r="D1839">
        <v>30.43</v>
      </c>
      <c r="E1839" t="s">
        <v>16</v>
      </c>
      <c r="F1839" t="s">
        <v>16</v>
      </c>
      <c r="H1839">
        <v>0</v>
      </c>
      <c r="I1839">
        <v>-1.14</v>
      </c>
      <c r="J1839">
        <v>-2.03</v>
      </c>
      <c r="L1839">
        <v>-0.42</v>
      </c>
      <c r="M1839">
        <v>11.07</v>
      </c>
      <c r="N1839">
        <v>0</v>
      </c>
      <c r="O1839">
        <v>1.13</v>
      </c>
    </row>
    <row r="1840" spans="1:15">
      <c r="A1840" t="str">
        <f>"300381"</f>
        <v>300381</v>
      </c>
      <c r="B1840" t="s">
        <v>1878</v>
      </c>
      <c r="C1840">
        <v>2.79</v>
      </c>
      <c r="D1840">
        <v>5.89</v>
      </c>
      <c r="E1840" t="s">
        <v>16</v>
      </c>
      <c r="F1840" t="s">
        <v>16</v>
      </c>
      <c r="H1840">
        <v>0</v>
      </c>
      <c r="I1840">
        <v>-3.92</v>
      </c>
      <c r="J1840">
        <v>-3.28</v>
      </c>
      <c r="L1840">
        <v>0</v>
      </c>
      <c r="M1840">
        <v>3.55</v>
      </c>
      <c r="N1840">
        <v>0</v>
      </c>
      <c r="O1840">
        <v>0.06</v>
      </c>
    </row>
    <row r="1841" spans="1:15">
      <c r="A1841" t="str">
        <f>"300382"</f>
        <v>300382</v>
      </c>
      <c r="B1841" t="s">
        <v>1879</v>
      </c>
      <c r="C1841">
        <v>5.01</v>
      </c>
      <c r="D1841">
        <v>16.13</v>
      </c>
      <c r="E1841" t="s">
        <v>16</v>
      </c>
      <c r="F1841" t="s">
        <v>16</v>
      </c>
      <c r="H1841">
        <v>-0.79</v>
      </c>
      <c r="I1841">
        <v>-1.95</v>
      </c>
      <c r="J1841">
        <v>-3.18</v>
      </c>
      <c r="L1841">
        <v>1.24</v>
      </c>
      <c r="M1841">
        <v>304.94</v>
      </c>
      <c r="N1841">
        <v>0.05</v>
      </c>
      <c r="O1841">
        <v>0.6</v>
      </c>
    </row>
    <row r="1842" spans="1:15">
      <c r="A1842" t="str">
        <f>"300383"</f>
        <v>300383</v>
      </c>
      <c r="B1842" t="s">
        <v>1880</v>
      </c>
      <c r="C1842">
        <v>2.79</v>
      </c>
      <c r="D1842">
        <v>12.9</v>
      </c>
      <c r="E1842" t="s">
        <v>16</v>
      </c>
      <c r="F1842" t="s">
        <v>16</v>
      </c>
      <c r="H1842">
        <v>-0.14</v>
      </c>
      <c r="I1842">
        <v>-4.02</v>
      </c>
      <c r="J1842">
        <v>-1.23</v>
      </c>
      <c r="L1842">
        <v>0.08</v>
      </c>
      <c r="M1842">
        <v>180.49</v>
      </c>
      <c r="N1842">
        <v>0.01</v>
      </c>
      <c r="O1842">
        <v>1.62</v>
      </c>
    </row>
    <row r="1843" spans="1:15">
      <c r="A1843" t="str">
        <f>"300384"</f>
        <v>300384</v>
      </c>
      <c r="B1843" t="s">
        <v>1881</v>
      </c>
      <c r="C1843">
        <v>4.54</v>
      </c>
      <c r="D1843">
        <v>12.67</v>
      </c>
      <c r="E1843" t="s">
        <v>16</v>
      </c>
      <c r="F1843" t="s">
        <v>16</v>
      </c>
      <c r="H1843">
        <v>-0.3</v>
      </c>
      <c r="I1843">
        <v>2.84</v>
      </c>
      <c r="J1843">
        <v>-2.99</v>
      </c>
      <c r="L1843">
        <v>0.25</v>
      </c>
      <c r="M1843">
        <v>2.55</v>
      </c>
      <c r="N1843">
        <v>0</v>
      </c>
      <c r="O1843">
        <v>0.3</v>
      </c>
    </row>
    <row r="1844" spans="1:15">
      <c r="A1844" t="str">
        <f>"300385"</f>
        <v>300385</v>
      </c>
      <c r="B1844" t="s">
        <v>1882</v>
      </c>
      <c r="C1844">
        <v>0.37</v>
      </c>
      <c r="D1844">
        <v>13.41</v>
      </c>
      <c r="E1844" t="s">
        <v>16</v>
      </c>
      <c r="F1844" t="s">
        <v>16</v>
      </c>
      <c r="H1844">
        <v>-0.14</v>
      </c>
      <c r="I1844">
        <v>-6.81</v>
      </c>
      <c r="J1844">
        <v>-4.56</v>
      </c>
      <c r="L1844">
        <v>-1.2</v>
      </c>
      <c r="M1844">
        <v>105.86</v>
      </c>
      <c r="N1844">
        <v>0.05</v>
      </c>
      <c r="O1844">
        <v>0.61</v>
      </c>
    </row>
    <row r="1845" spans="1:15">
      <c r="A1845" t="str">
        <f>"300386"</f>
        <v>300386</v>
      </c>
      <c r="B1845" t="s">
        <v>1883</v>
      </c>
      <c r="C1845">
        <v>-5.58</v>
      </c>
      <c r="D1845">
        <v>11.68</v>
      </c>
      <c r="E1845" t="s">
        <v>16</v>
      </c>
      <c r="F1845" t="s">
        <v>16</v>
      </c>
      <c r="H1845">
        <v>0.26</v>
      </c>
      <c r="I1845">
        <v>9.36</v>
      </c>
      <c r="J1845">
        <v>-4.89</v>
      </c>
      <c r="K1845" t="s">
        <v>54</v>
      </c>
      <c r="L1845">
        <v>-2.99</v>
      </c>
      <c r="M1845">
        <v>671.88</v>
      </c>
      <c r="N1845">
        <v>0.28</v>
      </c>
      <c r="O1845">
        <v>49.11</v>
      </c>
    </row>
    <row r="1846" spans="1:15">
      <c r="A1846" t="str">
        <f>"300387"</f>
        <v>300387</v>
      </c>
      <c r="B1846" t="s">
        <v>1884</v>
      </c>
      <c r="C1846">
        <v>-0.42</v>
      </c>
      <c r="D1846">
        <v>7.17</v>
      </c>
      <c r="E1846" t="s">
        <v>16</v>
      </c>
      <c r="F1846" t="s">
        <v>16</v>
      </c>
      <c r="H1846">
        <v>-0.13</v>
      </c>
      <c r="I1846">
        <v>-4.65</v>
      </c>
      <c r="J1846">
        <v>-0.69</v>
      </c>
      <c r="L1846">
        <v>-0.28</v>
      </c>
      <c r="M1846">
        <v>5.46</v>
      </c>
      <c r="N1846">
        <v>0</v>
      </c>
      <c r="O1846">
        <v>1.33</v>
      </c>
    </row>
    <row r="1847" spans="1:15">
      <c r="A1847" t="str">
        <f>"300388"</f>
        <v>300388</v>
      </c>
      <c r="B1847" t="s">
        <v>1885</v>
      </c>
      <c r="C1847">
        <v>-0.29</v>
      </c>
      <c r="D1847">
        <v>6.9</v>
      </c>
      <c r="E1847" t="s">
        <v>16</v>
      </c>
      <c r="F1847" t="s">
        <v>16</v>
      </c>
      <c r="H1847">
        <v>0.15</v>
      </c>
      <c r="I1847">
        <v>-6.25</v>
      </c>
      <c r="J1847">
        <v>-0.72</v>
      </c>
      <c r="L1847">
        <v>0.43</v>
      </c>
      <c r="M1847">
        <v>4.38</v>
      </c>
      <c r="N1847">
        <v>0</v>
      </c>
      <c r="O1847">
        <v>0.83</v>
      </c>
    </row>
    <row r="1848" spans="1:15">
      <c r="A1848" t="str">
        <f>"300389"</f>
        <v>300389</v>
      </c>
      <c r="B1848" t="s">
        <v>1886</v>
      </c>
      <c r="C1848">
        <v>-1.77</v>
      </c>
      <c r="D1848">
        <v>13.32</v>
      </c>
      <c r="E1848" t="s">
        <v>16</v>
      </c>
      <c r="F1848" t="s">
        <v>16</v>
      </c>
      <c r="H1848">
        <v>0.15</v>
      </c>
      <c r="I1848">
        <v>-2.92</v>
      </c>
      <c r="J1848">
        <v>-1.33</v>
      </c>
      <c r="L1848">
        <v>-0.59</v>
      </c>
      <c r="M1848">
        <v>19.82</v>
      </c>
      <c r="N1848">
        <v>0.01</v>
      </c>
      <c r="O1848">
        <v>0.89</v>
      </c>
    </row>
    <row r="1849" spans="1:15">
      <c r="A1849" t="str">
        <f>"300390"</f>
        <v>300390</v>
      </c>
      <c r="B1849" t="s">
        <v>1887</v>
      </c>
      <c r="C1849">
        <v>-3</v>
      </c>
      <c r="D1849">
        <v>89</v>
      </c>
      <c r="E1849" t="s">
        <v>16</v>
      </c>
      <c r="F1849" t="s">
        <v>16</v>
      </c>
      <c r="H1849">
        <v>-0.25</v>
      </c>
      <c r="I1849">
        <v>13.04</v>
      </c>
      <c r="J1849">
        <v>-5.52</v>
      </c>
      <c r="L1849">
        <v>-0.53</v>
      </c>
      <c r="M1849">
        <v>4949.03</v>
      </c>
      <c r="N1849">
        <v>0.11</v>
      </c>
      <c r="O1849">
        <v>0.88</v>
      </c>
    </row>
    <row r="1850" spans="1:15">
      <c r="A1850" t="str">
        <f>"300393"</f>
        <v>300393</v>
      </c>
      <c r="B1850" t="s">
        <v>1888</v>
      </c>
      <c r="C1850">
        <v>-3.29</v>
      </c>
      <c r="D1850">
        <v>7.93</v>
      </c>
      <c r="E1850" t="s">
        <v>16</v>
      </c>
      <c r="F1850" t="s">
        <v>16</v>
      </c>
      <c r="H1850">
        <v>0</v>
      </c>
      <c r="I1850">
        <v>-14.46</v>
      </c>
      <c r="J1850">
        <v>-3.41</v>
      </c>
      <c r="L1850">
        <v>0</v>
      </c>
      <c r="M1850">
        <v>16.89</v>
      </c>
      <c r="N1850">
        <v>0</v>
      </c>
      <c r="O1850">
        <v>0.24</v>
      </c>
    </row>
    <row r="1851" spans="1:15">
      <c r="A1851" t="str">
        <f>"300394"</f>
        <v>300394</v>
      </c>
      <c r="B1851" t="s">
        <v>1889</v>
      </c>
      <c r="C1851">
        <v>2.21</v>
      </c>
      <c r="D1851">
        <v>336.6</v>
      </c>
      <c r="E1851" t="s">
        <v>16</v>
      </c>
      <c r="F1851" t="s">
        <v>16</v>
      </c>
      <c r="H1851">
        <v>-0.05</v>
      </c>
      <c r="I1851">
        <v>-1.77</v>
      </c>
      <c r="J1851">
        <v>-1.14</v>
      </c>
      <c r="L1851">
        <v>-1.31</v>
      </c>
      <c r="M1851">
        <v>9480.25</v>
      </c>
      <c r="N1851">
        <v>0.05</v>
      </c>
      <c r="O1851">
        <v>0.77</v>
      </c>
    </row>
    <row r="1852" spans="1:15">
      <c r="A1852" t="str">
        <f>"300395"</f>
        <v>300395</v>
      </c>
      <c r="B1852" t="s">
        <v>1890</v>
      </c>
      <c r="C1852">
        <v>0.65</v>
      </c>
      <c r="D1852">
        <v>135.75</v>
      </c>
      <c r="E1852" t="s">
        <v>16</v>
      </c>
      <c r="F1852" t="s">
        <v>16</v>
      </c>
      <c r="H1852">
        <v>0.07</v>
      </c>
      <c r="I1852">
        <v>11.2</v>
      </c>
      <c r="J1852">
        <v>-1.4</v>
      </c>
      <c r="L1852">
        <v>-1.12</v>
      </c>
      <c r="M1852">
        <v>9322.2</v>
      </c>
      <c r="N1852">
        <v>0.17</v>
      </c>
      <c r="O1852">
        <v>1.57</v>
      </c>
    </row>
    <row r="1853" spans="1:15">
      <c r="A1853" t="str">
        <f>"300396"</f>
        <v>300396</v>
      </c>
      <c r="B1853" t="s">
        <v>1891</v>
      </c>
      <c r="C1853">
        <v>-2.35</v>
      </c>
      <c r="D1853">
        <v>6.66</v>
      </c>
      <c r="E1853" t="s">
        <v>16</v>
      </c>
      <c r="F1853" t="s">
        <v>16</v>
      </c>
      <c r="H1853">
        <v>-0.14</v>
      </c>
      <c r="I1853">
        <v>-11.9</v>
      </c>
      <c r="J1853">
        <v>-3.48</v>
      </c>
      <c r="L1853">
        <v>-0.73</v>
      </c>
      <c r="M1853">
        <v>0.88</v>
      </c>
      <c r="N1853">
        <v>0</v>
      </c>
      <c r="O1853">
        <v>0.06</v>
      </c>
    </row>
    <row r="1854" spans="1:15">
      <c r="A1854" t="str">
        <f>"300397"</f>
        <v>300397</v>
      </c>
      <c r="B1854" t="s">
        <v>1892</v>
      </c>
      <c r="C1854">
        <v>-0.5</v>
      </c>
      <c r="D1854">
        <v>16.01</v>
      </c>
      <c r="E1854" t="s">
        <v>16</v>
      </c>
      <c r="F1854" t="s">
        <v>16</v>
      </c>
      <c r="H1854">
        <v>-0.11</v>
      </c>
      <c r="I1854">
        <v>24.01</v>
      </c>
      <c r="J1854">
        <v>-1.96</v>
      </c>
      <c r="L1854">
        <v>-0.99</v>
      </c>
      <c r="M1854">
        <v>1662.77</v>
      </c>
      <c r="N1854">
        <v>0.28</v>
      </c>
      <c r="O1854">
        <v>1.59</v>
      </c>
    </row>
    <row r="1855" spans="1:15">
      <c r="A1855" t="str">
        <f>"300398"</f>
        <v>300398</v>
      </c>
      <c r="B1855" t="s">
        <v>1893</v>
      </c>
      <c r="C1855">
        <v>-1.77</v>
      </c>
      <c r="D1855">
        <v>46.1</v>
      </c>
      <c r="E1855" t="s">
        <v>16</v>
      </c>
      <c r="F1855" t="s">
        <v>16</v>
      </c>
      <c r="H1855">
        <v>0.33</v>
      </c>
      <c r="I1855">
        <v>11.51</v>
      </c>
      <c r="J1855">
        <v>-2.66</v>
      </c>
      <c r="L1855">
        <v>-0.7</v>
      </c>
      <c r="M1855">
        <v>2070.93</v>
      </c>
      <c r="N1855">
        <v>0.1</v>
      </c>
      <c r="O1855">
        <v>0.93</v>
      </c>
    </row>
    <row r="1856" spans="1:15">
      <c r="A1856" t="str">
        <f>"300399"</f>
        <v>300399</v>
      </c>
      <c r="B1856" t="s">
        <v>1894</v>
      </c>
      <c r="C1856">
        <v>-2.86</v>
      </c>
      <c r="D1856">
        <v>19.01</v>
      </c>
      <c r="E1856" t="s">
        <v>16</v>
      </c>
      <c r="F1856" t="s">
        <v>16</v>
      </c>
      <c r="H1856">
        <v>-0.04</v>
      </c>
      <c r="I1856">
        <v>0.21</v>
      </c>
      <c r="J1856">
        <v>-3.5</v>
      </c>
      <c r="L1856">
        <v>-0.72</v>
      </c>
      <c r="M1856">
        <v>89.38</v>
      </c>
      <c r="N1856">
        <v>0.04</v>
      </c>
      <c r="O1856">
        <v>2.37</v>
      </c>
    </row>
    <row r="1857" spans="1:15">
      <c r="A1857" t="str">
        <f>"300400"</f>
        <v>300400</v>
      </c>
      <c r="B1857" t="s">
        <v>1895</v>
      </c>
      <c r="C1857">
        <v>2.36</v>
      </c>
      <c r="D1857">
        <v>44.64</v>
      </c>
      <c r="E1857" t="s">
        <v>16</v>
      </c>
      <c r="F1857" t="s">
        <v>16</v>
      </c>
      <c r="H1857">
        <v>-0.03</v>
      </c>
      <c r="I1857">
        <v>58.8</v>
      </c>
      <c r="J1857">
        <v>-2.06</v>
      </c>
      <c r="L1857">
        <v>0.28</v>
      </c>
      <c r="M1857">
        <v>284.68</v>
      </c>
      <c r="N1857">
        <v>0.04</v>
      </c>
      <c r="O1857">
        <v>0.45</v>
      </c>
    </row>
    <row r="1858" spans="1:15">
      <c r="A1858" t="str">
        <f>"300401"</f>
        <v>300401</v>
      </c>
      <c r="B1858" t="s">
        <v>1896</v>
      </c>
      <c r="C1858">
        <v>-4</v>
      </c>
      <c r="D1858">
        <v>16.56</v>
      </c>
      <c r="E1858" t="s">
        <v>16</v>
      </c>
      <c r="F1858" t="s">
        <v>16</v>
      </c>
      <c r="H1858">
        <v>-0.11</v>
      </c>
      <c r="I1858">
        <v>45.65</v>
      </c>
      <c r="J1858">
        <v>-6.7</v>
      </c>
      <c r="L1858">
        <v>0.06</v>
      </c>
      <c r="M1858">
        <v>1280.17</v>
      </c>
      <c r="N1858">
        <v>0.2</v>
      </c>
      <c r="O1858">
        <v>1.78</v>
      </c>
    </row>
    <row r="1859" spans="1:15">
      <c r="A1859" t="str">
        <f>"300402"</f>
        <v>300402</v>
      </c>
      <c r="B1859" t="s">
        <v>1897</v>
      </c>
      <c r="C1859">
        <v>3.75</v>
      </c>
      <c r="D1859">
        <v>17.41</v>
      </c>
      <c r="E1859" t="s">
        <v>16</v>
      </c>
      <c r="F1859" t="s">
        <v>16</v>
      </c>
      <c r="H1859">
        <v>0.06</v>
      </c>
      <c r="I1859">
        <v>7.47</v>
      </c>
      <c r="J1859">
        <v>-3.22</v>
      </c>
      <c r="L1859">
        <v>0</v>
      </c>
      <c r="M1859">
        <v>24.16</v>
      </c>
      <c r="N1859">
        <v>0.01</v>
      </c>
      <c r="O1859">
        <v>1.92</v>
      </c>
    </row>
    <row r="1860" spans="1:15">
      <c r="A1860" t="str">
        <f>"300403"</f>
        <v>300403</v>
      </c>
      <c r="B1860" t="s">
        <v>1898</v>
      </c>
      <c r="C1860">
        <v>3.55</v>
      </c>
      <c r="D1860">
        <v>10.5</v>
      </c>
      <c r="E1860" t="s">
        <v>16</v>
      </c>
      <c r="F1860" t="s">
        <v>16</v>
      </c>
      <c r="H1860">
        <v>-0.09</v>
      </c>
      <c r="I1860">
        <v>0.29</v>
      </c>
      <c r="J1860">
        <v>-0.94</v>
      </c>
      <c r="L1860">
        <v>-1.28</v>
      </c>
      <c r="M1860">
        <v>41.04</v>
      </c>
      <c r="N1860">
        <v>0.01</v>
      </c>
      <c r="O1860">
        <v>3.08</v>
      </c>
    </row>
    <row r="1861" spans="1:15">
      <c r="A1861" t="str">
        <f>"300404"</f>
        <v>300404</v>
      </c>
      <c r="B1861" t="s">
        <v>1899</v>
      </c>
      <c r="C1861">
        <v>0.7</v>
      </c>
      <c r="D1861">
        <v>8.67</v>
      </c>
      <c r="E1861" t="s">
        <v>16</v>
      </c>
      <c r="F1861" t="s">
        <v>16</v>
      </c>
      <c r="H1861">
        <v>-0.11</v>
      </c>
      <c r="I1861">
        <v>-4.3</v>
      </c>
      <c r="J1861">
        <v>-1.81</v>
      </c>
      <c r="L1861">
        <v>-0.7</v>
      </c>
      <c r="M1861">
        <v>34.29</v>
      </c>
      <c r="N1861">
        <v>0.02</v>
      </c>
      <c r="O1861">
        <v>1.45</v>
      </c>
    </row>
    <row r="1862" spans="1:15">
      <c r="A1862" t="str">
        <f>"300405"</f>
        <v>300405</v>
      </c>
      <c r="B1862" t="s">
        <v>1900</v>
      </c>
      <c r="C1862">
        <v>-1.56</v>
      </c>
      <c r="D1862">
        <v>5.67</v>
      </c>
      <c r="E1862" t="s">
        <v>16</v>
      </c>
      <c r="F1862" t="s">
        <v>16</v>
      </c>
      <c r="H1862">
        <v>-0.34</v>
      </c>
      <c r="I1862">
        <v>-7.35</v>
      </c>
      <c r="J1862">
        <v>-1.56</v>
      </c>
      <c r="L1862">
        <v>-0.87</v>
      </c>
      <c r="M1862">
        <v>59.21</v>
      </c>
      <c r="N1862">
        <v>0.06</v>
      </c>
      <c r="O1862">
        <v>1.34</v>
      </c>
    </row>
    <row r="1863" spans="1:15">
      <c r="A1863" t="str">
        <f>"300406"</f>
        <v>300406</v>
      </c>
      <c r="B1863" t="s">
        <v>1901</v>
      </c>
      <c r="C1863">
        <v>0.35</v>
      </c>
      <c r="D1863">
        <v>11.34</v>
      </c>
      <c r="E1863" t="s">
        <v>16</v>
      </c>
      <c r="F1863" t="s">
        <v>16</v>
      </c>
      <c r="H1863">
        <v>-0.08</v>
      </c>
      <c r="I1863">
        <v>-2.99</v>
      </c>
      <c r="J1863">
        <v>-1.56</v>
      </c>
      <c r="L1863">
        <v>0.44</v>
      </c>
      <c r="M1863">
        <v>26.56</v>
      </c>
      <c r="N1863">
        <v>0.01</v>
      </c>
      <c r="O1863">
        <v>0.63</v>
      </c>
    </row>
    <row r="1864" spans="1:15">
      <c r="A1864" t="str">
        <f>"300407"</f>
        <v>300407</v>
      </c>
      <c r="B1864" t="s">
        <v>1902</v>
      </c>
      <c r="C1864">
        <v>-0.52</v>
      </c>
      <c r="D1864">
        <v>11.55</v>
      </c>
      <c r="E1864" t="s">
        <v>16</v>
      </c>
      <c r="F1864" t="s">
        <v>16</v>
      </c>
      <c r="H1864">
        <v>-0.08</v>
      </c>
      <c r="I1864">
        <v>-2.04</v>
      </c>
      <c r="J1864">
        <v>-3.99</v>
      </c>
      <c r="L1864">
        <v>0</v>
      </c>
      <c r="M1864">
        <v>1.63</v>
      </c>
      <c r="N1864">
        <v>0</v>
      </c>
      <c r="O1864">
        <v>0.7</v>
      </c>
    </row>
    <row r="1865" spans="1:15">
      <c r="A1865" t="str">
        <f>"300408"</f>
        <v>300408</v>
      </c>
      <c r="B1865" t="s">
        <v>1903</v>
      </c>
      <c r="C1865">
        <v>1.56</v>
      </c>
      <c r="D1865">
        <v>157.89</v>
      </c>
      <c r="E1865" t="s">
        <v>16</v>
      </c>
      <c r="F1865" t="s">
        <v>16</v>
      </c>
      <c r="H1865">
        <v>-0.05</v>
      </c>
      <c r="I1865">
        <v>13.57</v>
      </c>
      <c r="J1865">
        <v>-5.26</v>
      </c>
      <c r="L1865">
        <v>0.01</v>
      </c>
      <c r="M1865">
        <v>9959.41</v>
      </c>
      <c r="N1865">
        <v>0.05</v>
      </c>
      <c r="O1865">
        <v>0.71</v>
      </c>
    </row>
    <row r="1866" spans="1:15">
      <c r="A1866" t="str">
        <f>"300409"</f>
        <v>300409</v>
      </c>
      <c r="B1866" t="s">
        <v>1904</v>
      </c>
      <c r="C1866">
        <v>-0.72</v>
      </c>
      <c r="D1866">
        <v>22</v>
      </c>
      <c r="E1866" t="s">
        <v>16</v>
      </c>
      <c r="F1866" t="s">
        <v>16</v>
      </c>
      <c r="H1866">
        <v>-0.22</v>
      </c>
      <c r="I1866">
        <v>2.71</v>
      </c>
      <c r="J1866">
        <v>-1.39</v>
      </c>
      <c r="L1866">
        <v>0</v>
      </c>
      <c r="M1866">
        <v>168.19</v>
      </c>
      <c r="N1866">
        <v>0.01</v>
      </c>
      <c r="O1866">
        <v>0.9</v>
      </c>
    </row>
    <row r="1867" spans="1:15">
      <c r="A1867" t="str">
        <f>"300410"</f>
        <v>300410</v>
      </c>
      <c r="B1867" t="s">
        <v>1905</v>
      </c>
      <c r="C1867">
        <v>-2.79</v>
      </c>
      <c r="D1867">
        <v>12.89</v>
      </c>
      <c r="E1867" t="s">
        <v>16</v>
      </c>
      <c r="F1867" t="s">
        <v>16</v>
      </c>
      <c r="H1867">
        <v>-0.14</v>
      </c>
      <c r="I1867">
        <v>6.09</v>
      </c>
      <c r="J1867">
        <v>-2.2</v>
      </c>
      <c r="L1867">
        <v>-0.98</v>
      </c>
      <c r="M1867">
        <v>231.48</v>
      </c>
      <c r="N1867">
        <v>0.06</v>
      </c>
      <c r="O1867">
        <v>0.28</v>
      </c>
    </row>
    <row r="1868" spans="1:15">
      <c r="A1868" t="str">
        <f>"300411"</f>
        <v>300411</v>
      </c>
      <c r="B1868" t="s">
        <v>1906</v>
      </c>
      <c r="C1868">
        <v>-19.96</v>
      </c>
      <c r="D1868">
        <v>8.82</v>
      </c>
      <c r="E1868">
        <v>124.19</v>
      </c>
      <c r="F1868" t="s">
        <v>16</v>
      </c>
      <c r="H1868">
        <v>0</v>
      </c>
      <c r="I1868">
        <v>-6.77</v>
      </c>
      <c r="J1868">
        <v>-9.45</v>
      </c>
      <c r="K1868" t="s">
        <v>26</v>
      </c>
      <c r="L1868">
        <v>-16.52</v>
      </c>
      <c r="M1868">
        <v>2972.52</v>
      </c>
      <c r="N1868">
        <v>1.12</v>
      </c>
      <c r="O1868">
        <v>6.46</v>
      </c>
    </row>
    <row r="1869" spans="1:15">
      <c r="A1869" t="str">
        <f>"300412"</f>
        <v>300412</v>
      </c>
      <c r="B1869" t="s">
        <v>1907</v>
      </c>
      <c r="C1869">
        <v>-0.24</v>
      </c>
      <c r="D1869">
        <v>4.16</v>
      </c>
      <c r="E1869" t="s">
        <v>16</v>
      </c>
      <c r="F1869" t="s">
        <v>16</v>
      </c>
      <c r="H1869">
        <v>0</v>
      </c>
      <c r="I1869">
        <v>-5.45</v>
      </c>
      <c r="J1869">
        <v>-2.35</v>
      </c>
      <c r="L1869">
        <v>-0.48</v>
      </c>
      <c r="M1869">
        <v>14.23</v>
      </c>
      <c r="N1869">
        <v>0.01</v>
      </c>
      <c r="O1869">
        <v>2.08</v>
      </c>
    </row>
    <row r="1870" spans="1:15">
      <c r="A1870" t="str">
        <f>"300413"</f>
        <v>300413</v>
      </c>
      <c r="B1870" t="s">
        <v>1908</v>
      </c>
      <c r="C1870">
        <v>-0.45</v>
      </c>
      <c r="D1870">
        <v>15.54</v>
      </c>
      <c r="E1870" t="s">
        <v>16</v>
      </c>
      <c r="F1870" t="s">
        <v>16</v>
      </c>
      <c r="H1870">
        <v>-0.12</v>
      </c>
      <c r="I1870">
        <v>-5.93</v>
      </c>
      <c r="J1870">
        <v>-1.83</v>
      </c>
      <c r="L1870">
        <v>-0.19</v>
      </c>
      <c r="M1870">
        <v>104.07</v>
      </c>
      <c r="N1870">
        <v>0.01</v>
      </c>
      <c r="O1870">
        <v>2.7</v>
      </c>
    </row>
    <row r="1871" spans="1:15">
      <c r="A1871" t="str">
        <f>"300414"</f>
        <v>300414</v>
      </c>
      <c r="B1871" t="s">
        <v>1909</v>
      </c>
      <c r="C1871">
        <v>0.75</v>
      </c>
      <c r="D1871">
        <v>12.04</v>
      </c>
      <c r="E1871" t="s">
        <v>16</v>
      </c>
      <c r="F1871" t="s">
        <v>16</v>
      </c>
      <c r="H1871">
        <v>-0.07</v>
      </c>
      <c r="I1871">
        <v>0.92</v>
      </c>
      <c r="J1871">
        <v>-0.66</v>
      </c>
      <c r="L1871">
        <v>-1</v>
      </c>
      <c r="M1871">
        <v>46.14</v>
      </c>
      <c r="N1871">
        <v>0.02</v>
      </c>
      <c r="O1871">
        <v>4.7</v>
      </c>
    </row>
    <row r="1872" spans="1:15">
      <c r="A1872" t="str">
        <f>"300415"</f>
        <v>300415</v>
      </c>
      <c r="B1872" t="s">
        <v>1910</v>
      </c>
      <c r="C1872">
        <v>-0.75</v>
      </c>
      <c r="D1872">
        <v>21.05</v>
      </c>
      <c r="E1872" t="s">
        <v>16</v>
      </c>
      <c r="F1872" t="s">
        <v>16</v>
      </c>
      <c r="H1872">
        <v>-0.13</v>
      </c>
      <c r="I1872">
        <v>-0.89</v>
      </c>
      <c r="J1872">
        <v>-1.64</v>
      </c>
      <c r="L1872">
        <v>-0.94</v>
      </c>
      <c r="M1872">
        <v>202.33</v>
      </c>
      <c r="N1872">
        <v>0.03</v>
      </c>
      <c r="O1872">
        <v>6.06</v>
      </c>
    </row>
    <row r="1873" spans="1:15">
      <c r="A1873" t="str">
        <f>"300416"</f>
        <v>300416</v>
      </c>
      <c r="B1873" t="s">
        <v>1911</v>
      </c>
      <c r="C1873">
        <v>2.47</v>
      </c>
      <c r="D1873">
        <v>19.91</v>
      </c>
      <c r="E1873" t="s">
        <v>16</v>
      </c>
      <c r="F1873" t="s">
        <v>16</v>
      </c>
      <c r="H1873">
        <v>-0.29</v>
      </c>
      <c r="I1873">
        <v>10.18</v>
      </c>
      <c r="J1873">
        <v>-1.09</v>
      </c>
      <c r="L1873">
        <v>-0.67</v>
      </c>
      <c r="M1873">
        <v>180.84</v>
      </c>
      <c r="N1873">
        <v>0.03</v>
      </c>
      <c r="O1873">
        <v>0.5</v>
      </c>
    </row>
    <row r="1874" spans="1:15">
      <c r="A1874" t="str">
        <f>"300417"</f>
        <v>300417</v>
      </c>
      <c r="B1874" t="s">
        <v>1912</v>
      </c>
      <c r="C1874">
        <v>0.46</v>
      </c>
      <c r="D1874">
        <v>11.03</v>
      </c>
      <c r="E1874" t="s">
        <v>16</v>
      </c>
      <c r="F1874" t="s">
        <v>16</v>
      </c>
      <c r="H1874">
        <v>-0.08</v>
      </c>
      <c r="I1874">
        <v>-11.05</v>
      </c>
      <c r="J1874">
        <v>-1.08</v>
      </c>
      <c r="L1874">
        <v>-1.18</v>
      </c>
      <c r="M1874">
        <v>67.27</v>
      </c>
      <c r="N1874">
        <v>0.09</v>
      </c>
      <c r="O1874">
        <v>2.01</v>
      </c>
    </row>
    <row r="1875" spans="1:15">
      <c r="A1875" t="str">
        <f>"300418"</f>
        <v>300418</v>
      </c>
      <c r="B1875" t="s">
        <v>1913</v>
      </c>
      <c r="C1875">
        <v>10.97</v>
      </c>
      <c r="D1875">
        <v>43</v>
      </c>
      <c r="E1875" t="s">
        <v>16</v>
      </c>
      <c r="F1875" t="s">
        <v>16</v>
      </c>
      <c r="H1875">
        <v>0.02</v>
      </c>
      <c r="I1875">
        <v>6.23</v>
      </c>
      <c r="J1875">
        <v>-5.93</v>
      </c>
      <c r="L1875">
        <v>0</v>
      </c>
      <c r="M1875">
        <v>783.53</v>
      </c>
      <c r="N1875">
        <v>0.02</v>
      </c>
      <c r="O1875">
        <v>2.39</v>
      </c>
    </row>
    <row r="1876" spans="1:15">
      <c r="A1876" t="str">
        <f>"300419"</f>
        <v>300419</v>
      </c>
      <c r="B1876" t="s">
        <v>1914</v>
      </c>
      <c r="C1876">
        <v>-2.4</v>
      </c>
      <c r="D1876">
        <v>6.91</v>
      </c>
      <c r="E1876" t="s">
        <v>16</v>
      </c>
      <c r="F1876" t="s">
        <v>16</v>
      </c>
      <c r="H1876">
        <v>0</v>
      </c>
      <c r="I1876">
        <v>-3.89</v>
      </c>
      <c r="J1876">
        <v>-3.49</v>
      </c>
      <c r="L1876">
        <v>1.13</v>
      </c>
      <c r="M1876">
        <v>52.27</v>
      </c>
      <c r="N1876">
        <v>0.02</v>
      </c>
      <c r="O1876">
        <v>52.14</v>
      </c>
    </row>
    <row r="1877" spans="1:15">
      <c r="A1877" t="str">
        <f>"300420"</f>
        <v>300420</v>
      </c>
      <c r="B1877" t="s">
        <v>1915</v>
      </c>
      <c r="C1877">
        <v>15.77</v>
      </c>
      <c r="D1877">
        <v>7.49</v>
      </c>
      <c r="E1877" t="s">
        <v>16</v>
      </c>
      <c r="F1877" t="s">
        <v>16</v>
      </c>
      <c r="H1877">
        <v>-0.26</v>
      </c>
      <c r="I1877">
        <v>32.33</v>
      </c>
      <c r="J1877">
        <v>-3.48</v>
      </c>
      <c r="L1877">
        <v>5.56</v>
      </c>
      <c r="M1877">
        <v>1787.33</v>
      </c>
      <c r="N1877">
        <v>0.28</v>
      </c>
      <c r="O1877">
        <v>5.91</v>
      </c>
    </row>
    <row r="1878" spans="1:15">
      <c r="A1878" t="str">
        <f>"300421"</f>
        <v>300421</v>
      </c>
      <c r="B1878" t="s">
        <v>1916</v>
      </c>
      <c r="C1878">
        <v>0.59</v>
      </c>
      <c r="D1878">
        <v>20.29</v>
      </c>
      <c r="E1878" t="s">
        <v>16</v>
      </c>
      <c r="F1878" t="s">
        <v>16</v>
      </c>
      <c r="H1878">
        <v>-0.04</v>
      </c>
      <c r="I1878">
        <v>-6.58</v>
      </c>
      <c r="J1878">
        <v>-1.84</v>
      </c>
      <c r="L1878">
        <v>-0.79</v>
      </c>
      <c r="M1878">
        <v>51.83</v>
      </c>
      <c r="N1878">
        <v>0.01</v>
      </c>
      <c r="O1878">
        <v>2.54</v>
      </c>
    </row>
    <row r="1879" spans="1:15">
      <c r="A1879" t="str">
        <f>"300422"</f>
        <v>300422</v>
      </c>
      <c r="B1879" t="s">
        <v>1917</v>
      </c>
      <c r="C1879">
        <v>-0.62</v>
      </c>
      <c r="D1879">
        <v>4.79</v>
      </c>
      <c r="E1879" t="s">
        <v>16</v>
      </c>
      <c r="F1879" t="s">
        <v>16</v>
      </c>
      <c r="H1879">
        <v>0</v>
      </c>
      <c r="I1879">
        <v>-8.06</v>
      </c>
      <c r="J1879">
        <v>-1.64</v>
      </c>
      <c r="L1879">
        <v>-0.83</v>
      </c>
      <c r="M1879">
        <v>6.79</v>
      </c>
      <c r="N1879">
        <v>0</v>
      </c>
      <c r="O1879">
        <v>0.49</v>
      </c>
    </row>
    <row r="1880" spans="1:15">
      <c r="A1880" t="str">
        <f>"300423"</f>
        <v>300423</v>
      </c>
      <c r="B1880" t="s">
        <v>1918</v>
      </c>
      <c r="C1880">
        <v>-1.02</v>
      </c>
      <c r="D1880">
        <v>5.81</v>
      </c>
      <c r="E1880" t="s">
        <v>16</v>
      </c>
      <c r="F1880" t="s">
        <v>16</v>
      </c>
      <c r="H1880">
        <v>-0.33</v>
      </c>
      <c r="I1880">
        <v>-7.92</v>
      </c>
      <c r="J1880">
        <v>-1.53</v>
      </c>
      <c r="L1880">
        <v>0.34</v>
      </c>
      <c r="M1880">
        <v>4.83</v>
      </c>
      <c r="N1880">
        <v>0</v>
      </c>
      <c r="O1880">
        <v>0.24</v>
      </c>
    </row>
    <row r="1881" spans="1:15">
      <c r="A1881" t="str">
        <f>"300424"</f>
        <v>300424</v>
      </c>
      <c r="B1881" t="s">
        <v>1919</v>
      </c>
      <c r="C1881">
        <v>-2.61</v>
      </c>
      <c r="D1881">
        <v>18.26</v>
      </c>
      <c r="E1881" t="s">
        <v>16</v>
      </c>
      <c r="F1881" t="s">
        <v>16</v>
      </c>
      <c r="H1881">
        <v>-0.04</v>
      </c>
      <c r="I1881">
        <v>-2.87</v>
      </c>
      <c r="J1881">
        <v>-4</v>
      </c>
      <c r="L1881">
        <v>-0.32</v>
      </c>
      <c r="M1881">
        <v>299.41</v>
      </c>
      <c r="N1881">
        <v>0.08</v>
      </c>
      <c r="O1881">
        <v>6.31</v>
      </c>
    </row>
    <row r="1882" spans="1:15">
      <c r="A1882" t="str">
        <f>"300425"</f>
        <v>300425</v>
      </c>
      <c r="B1882" t="s">
        <v>1920</v>
      </c>
      <c r="C1882">
        <v>-2.72</v>
      </c>
      <c r="D1882">
        <v>3.94</v>
      </c>
      <c r="E1882" t="s">
        <v>16</v>
      </c>
      <c r="F1882" t="s">
        <v>16</v>
      </c>
      <c r="H1882">
        <v>-0.5</v>
      </c>
      <c r="I1882">
        <v>-6.86</v>
      </c>
      <c r="J1882">
        <v>-2.48</v>
      </c>
      <c r="L1882">
        <v>-0.99</v>
      </c>
      <c r="M1882">
        <v>33.48</v>
      </c>
      <c r="N1882">
        <v>0.02</v>
      </c>
      <c r="O1882">
        <v>20.87</v>
      </c>
    </row>
    <row r="1883" spans="1:15">
      <c r="A1883" t="str">
        <f>"300426"</f>
        <v>300426</v>
      </c>
      <c r="B1883" t="s">
        <v>1921</v>
      </c>
      <c r="C1883">
        <v>-0.54</v>
      </c>
      <c r="D1883">
        <v>5.48</v>
      </c>
      <c r="E1883" t="s">
        <v>16</v>
      </c>
      <c r="F1883" t="s">
        <v>16</v>
      </c>
      <c r="H1883">
        <v>-0.17</v>
      </c>
      <c r="I1883">
        <v>-8.82</v>
      </c>
      <c r="J1883">
        <v>-2.14</v>
      </c>
      <c r="L1883">
        <v>0.54</v>
      </c>
      <c r="M1883">
        <v>50.69</v>
      </c>
      <c r="N1883">
        <v>0.03</v>
      </c>
      <c r="O1883">
        <v>2.97</v>
      </c>
    </row>
    <row r="1884" spans="1:15">
      <c r="A1884" t="str">
        <f>"300427"</f>
        <v>300427</v>
      </c>
      <c r="B1884" t="s">
        <v>1922</v>
      </c>
      <c r="C1884">
        <v>-1.82</v>
      </c>
      <c r="D1884">
        <v>7.01</v>
      </c>
      <c r="E1884" t="s">
        <v>16</v>
      </c>
      <c r="F1884" t="s">
        <v>16</v>
      </c>
      <c r="H1884">
        <v>-0.13</v>
      </c>
      <c r="I1884">
        <v>-4.23</v>
      </c>
      <c r="J1884">
        <v>-2.09</v>
      </c>
      <c r="L1884">
        <v>-0.98</v>
      </c>
      <c r="M1884">
        <v>19.58</v>
      </c>
      <c r="N1884">
        <v>0.01</v>
      </c>
      <c r="O1884">
        <v>0.44</v>
      </c>
    </row>
    <row r="1885" spans="1:15">
      <c r="A1885" t="str">
        <f>"300428"</f>
        <v>300428</v>
      </c>
      <c r="B1885" t="s">
        <v>1923</v>
      </c>
      <c r="C1885">
        <v>-0.5</v>
      </c>
      <c r="D1885">
        <v>19.95</v>
      </c>
      <c r="E1885" t="s">
        <v>16</v>
      </c>
      <c r="F1885" t="s">
        <v>16</v>
      </c>
      <c r="H1885">
        <v>-0.19</v>
      </c>
      <c r="I1885">
        <v>0.71</v>
      </c>
      <c r="J1885">
        <v>-2.25</v>
      </c>
      <c r="L1885">
        <v>-0.45</v>
      </c>
      <c r="M1885">
        <v>18.16</v>
      </c>
      <c r="N1885">
        <v>0</v>
      </c>
      <c r="O1885">
        <v>0.24</v>
      </c>
    </row>
    <row r="1886" spans="1:15">
      <c r="A1886" t="str">
        <f>"300429"</f>
        <v>300429</v>
      </c>
      <c r="B1886" t="s">
        <v>1924</v>
      </c>
      <c r="C1886">
        <v>-2.18</v>
      </c>
      <c r="D1886">
        <v>15.7</v>
      </c>
      <c r="E1886" t="s">
        <v>16</v>
      </c>
      <c r="F1886" t="s">
        <v>16</v>
      </c>
      <c r="H1886">
        <v>0.58</v>
      </c>
      <c r="I1886">
        <v>14.68</v>
      </c>
      <c r="J1886">
        <v>-2.85</v>
      </c>
      <c r="L1886">
        <v>-1.18</v>
      </c>
      <c r="M1886">
        <v>182.55</v>
      </c>
      <c r="N1886">
        <v>0.03</v>
      </c>
      <c r="O1886">
        <v>0.66</v>
      </c>
    </row>
    <row r="1887" spans="1:15">
      <c r="A1887" t="str">
        <f>"300430"</f>
        <v>300430</v>
      </c>
      <c r="B1887" t="s">
        <v>1925</v>
      </c>
      <c r="C1887">
        <v>-2.4</v>
      </c>
      <c r="D1887">
        <v>4.88</v>
      </c>
      <c r="E1887" t="s">
        <v>16</v>
      </c>
      <c r="F1887" t="s">
        <v>16</v>
      </c>
      <c r="H1887">
        <v>0</v>
      </c>
      <c r="I1887">
        <v>-10.62</v>
      </c>
      <c r="J1887">
        <v>-5.79</v>
      </c>
      <c r="L1887">
        <v>-0.8</v>
      </c>
      <c r="M1887">
        <v>75.64</v>
      </c>
      <c r="N1887">
        <v>0.08</v>
      </c>
      <c r="O1887">
        <v>0.85</v>
      </c>
    </row>
    <row r="1888" spans="1:15">
      <c r="A1888" t="str">
        <f>"300432"</f>
        <v>300432</v>
      </c>
      <c r="B1888" t="s">
        <v>1926</v>
      </c>
      <c r="C1888">
        <v>-1.89</v>
      </c>
      <c r="D1888">
        <v>22.86</v>
      </c>
      <c r="E1888" t="s">
        <v>16</v>
      </c>
      <c r="F1888" t="s">
        <v>16</v>
      </c>
      <c r="H1888">
        <v>-0.21</v>
      </c>
      <c r="I1888">
        <v>0.13</v>
      </c>
      <c r="J1888">
        <v>-3.05</v>
      </c>
      <c r="L1888">
        <v>-2.15</v>
      </c>
      <c r="M1888">
        <v>781.81</v>
      </c>
      <c r="N1888">
        <v>0.03</v>
      </c>
      <c r="O1888">
        <v>2.76</v>
      </c>
    </row>
    <row r="1889" spans="1:15">
      <c r="A1889" t="str">
        <f>"300433"</f>
        <v>300433</v>
      </c>
      <c r="B1889" t="s">
        <v>1927</v>
      </c>
      <c r="C1889">
        <v>8.9</v>
      </c>
      <c r="D1889">
        <v>55.77</v>
      </c>
      <c r="E1889" t="s">
        <v>16</v>
      </c>
      <c r="F1889" t="s">
        <v>16</v>
      </c>
      <c r="H1889">
        <v>-0.35</v>
      </c>
      <c r="I1889">
        <v>27.8</v>
      </c>
      <c r="J1889">
        <v>-3.86</v>
      </c>
      <c r="L1889">
        <v>0.06</v>
      </c>
      <c r="M1889">
        <v>5494.88</v>
      </c>
      <c r="N1889">
        <v>0.06</v>
      </c>
      <c r="O1889">
        <v>0.92</v>
      </c>
    </row>
    <row r="1890" spans="1:15">
      <c r="A1890" t="str">
        <f>"300434"</f>
        <v>300434</v>
      </c>
      <c r="B1890" t="s">
        <v>1928</v>
      </c>
      <c r="C1890">
        <v>0.67</v>
      </c>
      <c r="D1890">
        <v>8.99</v>
      </c>
      <c r="E1890" t="s">
        <v>16</v>
      </c>
      <c r="F1890" t="s">
        <v>16</v>
      </c>
      <c r="H1890">
        <v>0.22</v>
      </c>
      <c r="I1890">
        <v>-2.92</v>
      </c>
      <c r="J1890">
        <v>-0.77</v>
      </c>
      <c r="L1890">
        <v>-0.9</v>
      </c>
      <c r="M1890">
        <v>45.93</v>
      </c>
      <c r="N1890">
        <v>0.03</v>
      </c>
      <c r="O1890">
        <v>5.77</v>
      </c>
    </row>
    <row r="1891" spans="1:15">
      <c r="A1891" t="str">
        <f>"300435"</f>
        <v>300435</v>
      </c>
      <c r="B1891" t="s">
        <v>1929</v>
      </c>
      <c r="C1891">
        <v>12.97</v>
      </c>
      <c r="D1891">
        <v>23.95</v>
      </c>
      <c r="E1891" t="s">
        <v>16</v>
      </c>
      <c r="F1891" t="s">
        <v>16</v>
      </c>
      <c r="H1891">
        <v>0.08</v>
      </c>
      <c r="I1891">
        <v>31.59</v>
      </c>
      <c r="J1891">
        <v>-3.31</v>
      </c>
      <c r="L1891">
        <v>-0.57</v>
      </c>
      <c r="M1891">
        <v>169.27</v>
      </c>
      <c r="N1891">
        <v>0.03</v>
      </c>
      <c r="O1891">
        <v>1.26</v>
      </c>
    </row>
    <row r="1892" spans="1:15">
      <c r="A1892" t="str">
        <f>"300436"</f>
        <v>300436</v>
      </c>
      <c r="B1892" t="s">
        <v>1930</v>
      </c>
      <c r="C1892">
        <v>0.28</v>
      </c>
      <c r="D1892">
        <v>88.15</v>
      </c>
      <c r="E1892" t="s">
        <v>16</v>
      </c>
      <c r="F1892" t="s">
        <v>16</v>
      </c>
      <c r="H1892">
        <v>-0.14</v>
      </c>
      <c r="I1892">
        <v>-7.73</v>
      </c>
      <c r="J1892">
        <v>-2.03</v>
      </c>
      <c r="L1892">
        <v>-0.38</v>
      </c>
      <c r="M1892">
        <v>218.93</v>
      </c>
      <c r="N1892">
        <v>0.03</v>
      </c>
      <c r="O1892">
        <v>0.48</v>
      </c>
    </row>
    <row r="1893" spans="1:15">
      <c r="A1893" t="str">
        <f>"300437"</f>
        <v>300437</v>
      </c>
      <c r="B1893" t="s">
        <v>1931</v>
      </c>
      <c r="C1893">
        <v>-1.63</v>
      </c>
      <c r="D1893">
        <v>11.49</v>
      </c>
      <c r="E1893" t="s">
        <v>16</v>
      </c>
      <c r="F1893" t="s">
        <v>16</v>
      </c>
      <c r="H1893">
        <v>-0.16</v>
      </c>
      <c r="I1893">
        <v>-4.17</v>
      </c>
      <c r="J1893">
        <v>-2.21</v>
      </c>
      <c r="L1893">
        <v>-1.11</v>
      </c>
      <c r="M1893">
        <v>31.88</v>
      </c>
      <c r="N1893">
        <v>0.02</v>
      </c>
      <c r="O1893">
        <v>1.68</v>
      </c>
    </row>
    <row r="1894" spans="1:15">
      <c r="A1894" t="str">
        <f>"300438"</f>
        <v>300438</v>
      </c>
      <c r="B1894" t="s">
        <v>1932</v>
      </c>
      <c r="C1894">
        <v>3.06</v>
      </c>
      <c r="D1894">
        <v>81.2</v>
      </c>
      <c r="E1894" t="s">
        <v>16</v>
      </c>
      <c r="F1894" t="s">
        <v>16</v>
      </c>
      <c r="H1894">
        <v>0.09</v>
      </c>
      <c r="I1894">
        <v>5.14</v>
      </c>
      <c r="J1894">
        <v>-4.27</v>
      </c>
      <c r="L1894">
        <v>-1.78</v>
      </c>
      <c r="M1894">
        <v>1491.03</v>
      </c>
      <c r="N1894">
        <v>0.06</v>
      </c>
      <c r="O1894">
        <v>0.81</v>
      </c>
    </row>
    <row r="1895" spans="1:15">
      <c r="A1895" t="str">
        <f>"300439"</f>
        <v>300439</v>
      </c>
      <c r="B1895" t="s">
        <v>1933</v>
      </c>
      <c r="C1895">
        <v>-0.24</v>
      </c>
      <c r="D1895">
        <v>8.37</v>
      </c>
      <c r="E1895" t="s">
        <v>16</v>
      </c>
      <c r="F1895" t="s">
        <v>16</v>
      </c>
      <c r="H1895">
        <v>-0.11</v>
      </c>
      <c r="I1895">
        <v>-4.67</v>
      </c>
      <c r="J1895">
        <v>-1.06</v>
      </c>
      <c r="L1895">
        <v>-0.24</v>
      </c>
      <c r="M1895">
        <v>3.1</v>
      </c>
      <c r="N1895">
        <v>0</v>
      </c>
      <c r="O1895">
        <v>0.86</v>
      </c>
    </row>
    <row r="1896" spans="1:15">
      <c r="A1896" t="str">
        <f>"300440"</f>
        <v>300440</v>
      </c>
      <c r="B1896" t="s">
        <v>1934</v>
      </c>
      <c r="C1896">
        <v>2.85</v>
      </c>
      <c r="D1896">
        <v>19.48</v>
      </c>
      <c r="E1896" t="s">
        <v>16</v>
      </c>
      <c r="F1896" t="s">
        <v>16</v>
      </c>
      <c r="H1896">
        <v>-0.6</v>
      </c>
      <c r="I1896">
        <v>8.46</v>
      </c>
      <c r="J1896">
        <v>-0.92</v>
      </c>
      <c r="L1896">
        <v>1.37</v>
      </c>
      <c r="M1896">
        <v>201.79</v>
      </c>
      <c r="N1896">
        <v>0.04</v>
      </c>
      <c r="O1896">
        <v>3.53</v>
      </c>
    </row>
    <row r="1897" spans="1:15">
      <c r="A1897" t="str">
        <f>"300441"</f>
        <v>300441</v>
      </c>
      <c r="B1897" t="s">
        <v>1935</v>
      </c>
      <c r="C1897">
        <v>-0.33</v>
      </c>
      <c r="D1897">
        <v>6.05</v>
      </c>
      <c r="E1897" t="s">
        <v>16</v>
      </c>
      <c r="F1897" t="s">
        <v>16</v>
      </c>
      <c r="H1897">
        <v>0.17</v>
      </c>
      <c r="I1897">
        <v>-1.47</v>
      </c>
      <c r="J1897">
        <v>-2.1</v>
      </c>
      <c r="L1897">
        <v>0.49</v>
      </c>
      <c r="M1897">
        <v>18.79</v>
      </c>
      <c r="N1897">
        <v>0.01</v>
      </c>
      <c r="O1897">
        <v>3.38</v>
      </c>
    </row>
    <row r="1898" spans="1:15">
      <c r="A1898" t="str">
        <f>"300442"</f>
        <v>300442</v>
      </c>
      <c r="B1898" t="s">
        <v>1936</v>
      </c>
      <c r="C1898">
        <v>4.94</v>
      </c>
      <c r="D1898">
        <v>85.18</v>
      </c>
      <c r="E1898" t="s">
        <v>16</v>
      </c>
      <c r="F1898" t="s">
        <v>16</v>
      </c>
      <c r="H1898">
        <v>0.37</v>
      </c>
      <c r="I1898">
        <v>4.16</v>
      </c>
      <c r="J1898">
        <v>-0.06</v>
      </c>
      <c r="L1898">
        <v>-0.02</v>
      </c>
      <c r="M1898">
        <v>1309.76</v>
      </c>
      <c r="N1898">
        <v>0.02</v>
      </c>
      <c r="O1898">
        <v>1.96</v>
      </c>
    </row>
    <row r="1899" spans="1:15">
      <c r="A1899" t="str">
        <f>"300443"</f>
        <v>300443</v>
      </c>
      <c r="B1899" t="s">
        <v>1937</v>
      </c>
      <c r="C1899">
        <v>-1.18</v>
      </c>
      <c r="D1899">
        <v>22.6</v>
      </c>
      <c r="E1899" t="s">
        <v>16</v>
      </c>
      <c r="F1899" t="s">
        <v>16</v>
      </c>
      <c r="H1899">
        <v>0.18</v>
      </c>
      <c r="I1899">
        <v>-4.03</v>
      </c>
      <c r="J1899">
        <v>-2.04</v>
      </c>
      <c r="L1899">
        <v>-0.61</v>
      </c>
      <c r="M1899">
        <v>14.55</v>
      </c>
      <c r="N1899">
        <v>0</v>
      </c>
      <c r="O1899">
        <v>0.22</v>
      </c>
    </row>
    <row r="1900" spans="1:15">
      <c r="A1900" t="str">
        <f>"300444"</f>
        <v>300444</v>
      </c>
      <c r="B1900" t="s">
        <v>1938</v>
      </c>
      <c r="C1900">
        <v>-1.06</v>
      </c>
      <c r="D1900">
        <v>13.07</v>
      </c>
      <c r="E1900" t="s">
        <v>16</v>
      </c>
      <c r="F1900" t="s">
        <v>16</v>
      </c>
      <c r="H1900">
        <v>-0.07</v>
      </c>
      <c r="I1900">
        <v>-4.39</v>
      </c>
      <c r="J1900">
        <v>-2.1</v>
      </c>
      <c r="L1900">
        <v>-0.83</v>
      </c>
      <c r="M1900">
        <v>66.02</v>
      </c>
      <c r="N1900">
        <v>0.01</v>
      </c>
      <c r="O1900">
        <v>0.43</v>
      </c>
    </row>
    <row r="1901" spans="1:15">
      <c r="A1901" t="str">
        <f>"300445"</f>
        <v>300445</v>
      </c>
      <c r="B1901" t="s">
        <v>1939</v>
      </c>
      <c r="C1901">
        <v>-1.97</v>
      </c>
      <c r="D1901">
        <v>23.37</v>
      </c>
      <c r="E1901" t="s">
        <v>16</v>
      </c>
      <c r="F1901" t="s">
        <v>16</v>
      </c>
      <c r="H1901">
        <v>0.04</v>
      </c>
      <c r="I1901">
        <v>1.43</v>
      </c>
      <c r="J1901">
        <v>-2.46</v>
      </c>
      <c r="L1901">
        <v>-0.88</v>
      </c>
      <c r="M1901">
        <v>101.14</v>
      </c>
      <c r="N1901">
        <v>0.04</v>
      </c>
      <c r="O1901">
        <v>0.73</v>
      </c>
    </row>
    <row r="1902" spans="1:15">
      <c r="A1902" t="str">
        <f>"300446"</f>
        <v>300446</v>
      </c>
      <c r="B1902" t="s">
        <v>1940</v>
      </c>
      <c r="C1902">
        <v>-0.88</v>
      </c>
      <c r="D1902">
        <v>15.71</v>
      </c>
      <c r="E1902" t="s">
        <v>16</v>
      </c>
      <c r="F1902" t="s">
        <v>16</v>
      </c>
      <c r="H1902">
        <v>0</v>
      </c>
      <c r="I1902">
        <v>1.75</v>
      </c>
      <c r="J1902">
        <v>-1.5</v>
      </c>
      <c r="L1902">
        <v>-0.82</v>
      </c>
      <c r="M1902">
        <v>11.79</v>
      </c>
      <c r="N1902">
        <v>0</v>
      </c>
      <c r="O1902">
        <v>0.15</v>
      </c>
    </row>
    <row r="1903" spans="1:15">
      <c r="A1903" t="str">
        <f>"300447"</f>
        <v>300447</v>
      </c>
      <c r="B1903" t="s">
        <v>1941</v>
      </c>
      <c r="C1903">
        <v>-1.21</v>
      </c>
      <c r="D1903">
        <v>16.33</v>
      </c>
      <c r="E1903" t="s">
        <v>16</v>
      </c>
      <c r="F1903" t="s">
        <v>16</v>
      </c>
      <c r="H1903">
        <v>-0.11</v>
      </c>
      <c r="I1903">
        <v>0.8</v>
      </c>
      <c r="J1903">
        <v>-1.51</v>
      </c>
      <c r="L1903">
        <v>-1.15</v>
      </c>
      <c r="M1903">
        <v>29.74</v>
      </c>
      <c r="N1903">
        <v>0.01</v>
      </c>
      <c r="O1903">
        <v>0.87</v>
      </c>
    </row>
    <row r="1904" spans="1:15">
      <c r="A1904" t="str">
        <f>"300448"</f>
        <v>300448</v>
      </c>
      <c r="B1904" t="s">
        <v>1942</v>
      </c>
      <c r="C1904">
        <v>-1.16</v>
      </c>
      <c r="D1904">
        <v>6.83</v>
      </c>
      <c r="E1904" t="s">
        <v>16</v>
      </c>
      <c r="F1904" t="s">
        <v>16</v>
      </c>
      <c r="H1904">
        <v>-0.14</v>
      </c>
      <c r="I1904">
        <v>-8.57</v>
      </c>
      <c r="J1904">
        <v>-2.15</v>
      </c>
      <c r="L1904">
        <v>0</v>
      </c>
      <c r="M1904">
        <v>11.68</v>
      </c>
      <c r="N1904">
        <v>0</v>
      </c>
      <c r="O1904">
        <v>0.58</v>
      </c>
    </row>
    <row r="1905" spans="1:15">
      <c r="A1905" t="str">
        <f>"300449"</f>
        <v>300449</v>
      </c>
      <c r="B1905" t="s">
        <v>1943</v>
      </c>
      <c r="C1905">
        <v>7.24</v>
      </c>
      <c r="D1905">
        <v>9.03</v>
      </c>
      <c r="E1905" t="s">
        <v>16</v>
      </c>
      <c r="F1905" t="s">
        <v>16</v>
      </c>
      <c r="H1905">
        <v>0</v>
      </c>
      <c r="I1905">
        <v>13.87</v>
      </c>
      <c r="J1905">
        <v>-1.42</v>
      </c>
      <c r="L1905">
        <v>-1.07</v>
      </c>
      <c r="M1905">
        <v>230.99</v>
      </c>
      <c r="N1905">
        <v>0.09</v>
      </c>
      <c r="O1905">
        <v>4.85</v>
      </c>
    </row>
    <row r="1906" spans="1:15">
      <c r="A1906" t="str">
        <f>"300450"</f>
        <v>300450</v>
      </c>
      <c r="B1906" t="s">
        <v>1944</v>
      </c>
      <c r="C1906">
        <v>-2.91</v>
      </c>
      <c r="D1906">
        <v>46.73</v>
      </c>
      <c r="E1906" t="s">
        <v>16</v>
      </c>
      <c r="F1906" t="s">
        <v>16</v>
      </c>
      <c r="H1906">
        <v>0.06</v>
      </c>
      <c r="I1906">
        <v>-0.32</v>
      </c>
      <c r="J1906">
        <v>-4.55</v>
      </c>
      <c r="L1906">
        <v>-0.08</v>
      </c>
      <c r="M1906">
        <v>2108.27</v>
      </c>
      <c r="N1906">
        <v>0.04</v>
      </c>
      <c r="O1906">
        <v>0.33</v>
      </c>
    </row>
    <row r="1907" spans="1:15">
      <c r="A1907" t="str">
        <f>"300451"</f>
        <v>300451</v>
      </c>
      <c r="B1907" t="s">
        <v>1945</v>
      </c>
      <c r="C1907">
        <v>-0.29</v>
      </c>
      <c r="D1907">
        <v>3.46</v>
      </c>
      <c r="E1907" t="s">
        <v>16</v>
      </c>
      <c r="F1907" t="s">
        <v>16</v>
      </c>
      <c r="H1907">
        <v>0</v>
      </c>
      <c r="I1907">
        <v>-5.46</v>
      </c>
      <c r="J1907">
        <v>-2.26</v>
      </c>
      <c r="L1907">
        <v>-0.58</v>
      </c>
      <c r="M1907">
        <v>15.32</v>
      </c>
      <c r="N1907">
        <v>0</v>
      </c>
      <c r="O1907">
        <v>0.88</v>
      </c>
    </row>
    <row r="1908" spans="1:15">
      <c r="A1908" t="str">
        <f>"300452"</f>
        <v>300452</v>
      </c>
      <c r="B1908" t="s">
        <v>1946</v>
      </c>
      <c r="C1908">
        <v>0.85</v>
      </c>
      <c r="D1908">
        <v>11.91</v>
      </c>
      <c r="E1908" t="s">
        <v>16</v>
      </c>
      <c r="F1908" t="s">
        <v>16</v>
      </c>
      <c r="H1908">
        <v>0.08</v>
      </c>
      <c r="I1908">
        <v>-0.33</v>
      </c>
      <c r="J1908">
        <v>-1.41</v>
      </c>
      <c r="L1908">
        <v>-0.25</v>
      </c>
      <c r="M1908">
        <v>62.43</v>
      </c>
      <c r="N1908">
        <v>0.03</v>
      </c>
      <c r="O1908">
        <v>22.08</v>
      </c>
    </row>
    <row r="1909" spans="1:15">
      <c r="A1909" t="str">
        <f>"300453"</f>
        <v>300453</v>
      </c>
      <c r="B1909" t="s">
        <v>1947</v>
      </c>
      <c r="C1909">
        <v>-3.59</v>
      </c>
      <c r="D1909">
        <v>9.4</v>
      </c>
      <c r="E1909" t="s">
        <v>16</v>
      </c>
      <c r="F1909" t="s">
        <v>16</v>
      </c>
      <c r="H1909">
        <v>0</v>
      </c>
      <c r="I1909">
        <v>5.74</v>
      </c>
      <c r="J1909">
        <v>-4.08</v>
      </c>
      <c r="L1909">
        <v>-1.13</v>
      </c>
      <c r="M1909">
        <v>78.28</v>
      </c>
      <c r="N1909">
        <v>0.03</v>
      </c>
      <c r="O1909">
        <v>38.67</v>
      </c>
    </row>
    <row r="1910" spans="1:15">
      <c r="A1910" t="str">
        <f>"300454"</f>
        <v>300454</v>
      </c>
      <c r="B1910" t="s">
        <v>1948</v>
      </c>
      <c r="C1910">
        <v>-0.1</v>
      </c>
      <c r="D1910">
        <v>101.21</v>
      </c>
      <c r="E1910" t="s">
        <v>16</v>
      </c>
      <c r="F1910" t="s">
        <v>16</v>
      </c>
      <c r="H1910">
        <v>-0.4</v>
      </c>
      <c r="I1910">
        <v>-9.16</v>
      </c>
      <c r="J1910">
        <v>-2.99</v>
      </c>
      <c r="L1910">
        <v>-1.29</v>
      </c>
      <c r="M1910">
        <v>320</v>
      </c>
      <c r="N1910">
        <v>0.01</v>
      </c>
      <c r="O1910">
        <v>0.98</v>
      </c>
    </row>
    <row r="1911" spans="1:15">
      <c r="A1911" t="str">
        <f>"300455"</f>
        <v>300455</v>
      </c>
      <c r="B1911" t="s">
        <v>1949</v>
      </c>
      <c r="C1911">
        <v>-1.14</v>
      </c>
      <c r="D1911">
        <v>22.54</v>
      </c>
      <c r="E1911" t="s">
        <v>16</v>
      </c>
      <c r="F1911" t="s">
        <v>16</v>
      </c>
      <c r="H1911">
        <v>-0.39</v>
      </c>
      <c r="I1911">
        <v>1.62</v>
      </c>
      <c r="J1911">
        <v>-2.42</v>
      </c>
      <c r="L1911">
        <v>-1.23</v>
      </c>
      <c r="M1911">
        <v>82.42</v>
      </c>
      <c r="N1911">
        <v>0.01</v>
      </c>
      <c r="O1911">
        <v>1.44</v>
      </c>
    </row>
    <row r="1912" spans="1:15">
      <c r="A1912" t="str">
        <f>"300456"</f>
        <v>300456</v>
      </c>
      <c r="B1912" t="s">
        <v>1950</v>
      </c>
      <c r="C1912">
        <v>0.33</v>
      </c>
      <c r="D1912">
        <v>42.82</v>
      </c>
      <c r="E1912" t="s">
        <v>16</v>
      </c>
      <c r="F1912" t="s">
        <v>16</v>
      </c>
      <c r="H1912">
        <v>-0.39</v>
      </c>
      <c r="I1912">
        <v>-4.67</v>
      </c>
      <c r="J1912">
        <v>-1.02</v>
      </c>
      <c r="L1912">
        <v>-0.82</v>
      </c>
      <c r="M1912">
        <v>673.05</v>
      </c>
      <c r="N1912">
        <v>0.03</v>
      </c>
      <c r="O1912">
        <v>1.44</v>
      </c>
    </row>
    <row r="1913" spans="1:15">
      <c r="A1913" t="str">
        <f>"300457"</f>
        <v>300457</v>
      </c>
      <c r="B1913" t="s">
        <v>1951</v>
      </c>
      <c r="C1913">
        <v>-6.19</v>
      </c>
      <c r="D1913">
        <v>23.48</v>
      </c>
      <c r="E1913" t="s">
        <v>16</v>
      </c>
      <c r="F1913" t="s">
        <v>16</v>
      </c>
      <c r="H1913">
        <v>0</v>
      </c>
      <c r="I1913">
        <v>-4.86</v>
      </c>
      <c r="J1913">
        <v>-6.34</v>
      </c>
      <c r="L1913">
        <v>-0.08</v>
      </c>
      <c r="M1913">
        <v>777.06</v>
      </c>
      <c r="N1913">
        <v>0.08</v>
      </c>
      <c r="O1913">
        <v>5.65</v>
      </c>
    </row>
    <row r="1914" spans="1:15">
      <c r="A1914" t="str">
        <f>"300458"</f>
        <v>300458</v>
      </c>
      <c r="B1914" t="s">
        <v>1952</v>
      </c>
      <c r="C1914">
        <v>1.37</v>
      </c>
      <c r="D1914">
        <v>35.64</v>
      </c>
      <c r="E1914" t="s">
        <v>16</v>
      </c>
      <c r="F1914" t="s">
        <v>16</v>
      </c>
      <c r="H1914">
        <v>-0.58</v>
      </c>
      <c r="I1914">
        <v>8</v>
      </c>
      <c r="J1914">
        <v>-2.36</v>
      </c>
      <c r="L1914">
        <v>0.34</v>
      </c>
      <c r="M1914">
        <v>564.94</v>
      </c>
      <c r="N1914">
        <v>0.02</v>
      </c>
      <c r="O1914">
        <v>1.6</v>
      </c>
    </row>
    <row r="1915" spans="1:15">
      <c r="A1915" t="str">
        <f>"300459"</f>
        <v>300459</v>
      </c>
      <c r="B1915" t="s">
        <v>1953</v>
      </c>
      <c r="C1915">
        <v>1.15</v>
      </c>
      <c r="D1915">
        <v>3.52</v>
      </c>
      <c r="E1915" t="s">
        <v>16</v>
      </c>
      <c r="F1915" t="s">
        <v>16</v>
      </c>
      <c r="H1915">
        <v>-0.27</v>
      </c>
      <c r="I1915">
        <v>-5.63</v>
      </c>
      <c r="J1915">
        <v>-0.56</v>
      </c>
      <c r="L1915">
        <v>-0.86</v>
      </c>
      <c r="M1915">
        <v>43.19</v>
      </c>
      <c r="N1915">
        <v>0</v>
      </c>
      <c r="O1915">
        <v>0.59</v>
      </c>
    </row>
    <row r="1916" spans="1:15">
      <c r="A1916" t="str">
        <f>"300460"</f>
        <v>300460</v>
      </c>
      <c r="B1916" t="s">
        <v>1954</v>
      </c>
      <c r="C1916">
        <v>2.77</v>
      </c>
      <c r="D1916">
        <v>9.65</v>
      </c>
      <c r="E1916" t="s">
        <v>16</v>
      </c>
      <c r="F1916" t="s">
        <v>16</v>
      </c>
      <c r="H1916">
        <v>0.42</v>
      </c>
      <c r="I1916">
        <v>1.9</v>
      </c>
      <c r="J1916">
        <v>-0.52</v>
      </c>
      <c r="L1916">
        <v>0.21</v>
      </c>
      <c r="M1916">
        <v>11.01</v>
      </c>
      <c r="N1916">
        <v>0.01</v>
      </c>
      <c r="O1916">
        <v>0.31</v>
      </c>
    </row>
    <row r="1917" spans="1:15">
      <c r="A1917" t="str">
        <f>"300461"</f>
        <v>300461</v>
      </c>
      <c r="B1917" t="s">
        <v>1955</v>
      </c>
      <c r="C1917">
        <v>-1.63</v>
      </c>
      <c r="D1917">
        <v>41.6</v>
      </c>
      <c r="E1917" t="s">
        <v>16</v>
      </c>
      <c r="F1917" t="s">
        <v>16</v>
      </c>
      <c r="H1917">
        <v>-0.21</v>
      </c>
      <c r="I1917">
        <v>-12.24</v>
      </c>
      <c r="J1917">
        <v>-3.99</v>
      </c>
      <c r="L1917">
        <v>0.14</v>
      </c>
      <c r="M1917">
        <v>16.94</v>
      </c>
      <c r="N1917">
        <v>0</v>
      </c>
      <c r="O1917">
        <v>0.15</v>
      </c>
    </row>
    <row r="1918" spans="1:15">
      <c r="A1918" t="str">
        <f>"300462"</f>
        <v>300462</v>
      </c>
      <c r="B1918" t="s">
        <v>1956</v>
      </c>
      <c r="C1918">
        <v>-0.36</v>
      </c>
      <c r="D1918">
        <v>11.14</v>
      </c>
      <c r="E1918" t="s">
        <v>16</v>
      </c>
      <c r="F1918" t="s">
        <v>16</v>
      </c>
      <c r="H1918">
        <v>0.36</v>
      </c>
      <c r="I1918">
        <v>-8.54</v>
      </c>
      <c r="J1918">
        <v>-0.62</v>
      </c>
      <c r="L1918">
        <v>-1.52</v>
      </c>
      <c r="M1918">
        <v>5.95</v>
      </c>
      <c r="N1918">
        <v>0</v>
      </c>
      <c r="O1918" t="s">
        <v>16</v>
      </c>
    </row>
    <row r="1919" spans="1:15">
      <c r="A1919" t="str">
        <f>"300463"</f>
        <v>300463</v>
      </c>
      <c r="B1919" t="s">
        <v>1957</v>
      </c>
      <c r="C1919">
        <v>0.12</v>
      </c>
      <c r="D1919">
        <v>8.39</v>
      </c>
      <c r="E1919" t="s">
        <v>16</v>
      </c>
      <c r="F1919" t="s">
        <v>16</v>
      </c>
      <c r="H1919">
        <v>0</v>
      </c>
      <c r="I1919">
        <v>-6.88</v>
      </c>
      <c r="J1919">
        <v>-1.64</v>
      </c>
      <c r="L1919">
        <v>0</v>
      </c>
      <c r="M1919">
        <v>4.19</v>
      </c>
      <c r="N1919">
        <v>0</v>
      </c>
      <c r="O1919">
        <v>0.45</v>
      </c>
    </row>
    <row r="1920" spans="1:15">
      <c r="A1920" t="str">
        <f>"300464"</f>
        <v>300464</v>
      </c>
      <c r="B1920" t="s">
        <v>1958</v>
      </c>
      <c r="C1920">
        <v>-1.64</v>
      </c>
      <c r="D1920">
        <v>8.4</v>
      </c>
      <c r="E1920" t="s">
        <v>16</v>
      </c>
      <c r="F1920" t="s">
        <v>16</v>
      </c>
      <c r="H1920">
        <v>0.24</v>
      </c>
      <c r="I1920">
        <v>-6.56</v>
      </c>
      <c r="J1920">
        <v>-2.44</v>
      </c>
      <c r="L1920">
        <v>-0.94</v>
      </c>
      <c r="M1920">
        <v>25.8</v>
      </c>
      <c r="N1920">
        <v>0.01</v>
      </c>
      <c r="O1920">
        <v>0.09</v>
      </c>
    </row>
    <row r="1921" spans="1:15">
      <c r="A1921" t="str">
        <f>"300465"</f>
        <v>300465</v>
      </c>
      <c r="B1921" t="s">
        <v>1959</v>
      </c>
      <c r="C1921">
        <v>-3.14</v>
      </c>
      <c r="D1921">
        <v>15.42</v>
      </c>
      <c r="E1921" t="s">
        <v>16</v>
      </c>
      <c r="F1921" t="s">
        <v>16</v>
      </c>
      <c r="H1921">
        <v>-0.05</v>
      </c>
      <c r="I1921">
        <v>14.39</v>
      </c>
      <c r="J1921">
        <v>-6.94</v>
      </c>
      <c r="L1921">
        <v>0.57</v>
      </c>
      <c r="M1921">
        <v>195.96</v>
      </c>
      <c r="N1921">
        <v>0.04</v>
      </c>
      <c r="O1921">
        <v>1.15</v>
      </c>
    </row>
    <row r="1922" spans="1:15">
      <c r="A1922" t="str">
        <f>"300466"</f>
        <v>300466</v>
      </c>
      <c r="B1922" t="s">
        <v>1960</v>
      </c>
      <c r="C1922">
        <v>0.8</v>
      </c>
      <c r="D1922">
        <v>7.57</v>
      </c>
      <c r="E1922" t="s">
        <v>16</v>
      </c>
      <c r="F1922" t="s">
        <v>16</v>
      </c>
      <c r="H1922">
        <v>-0.12</v>
      </c>
      <c r="I1922">
        <v>-4.78</v>
      </c>
      <c r="J1922">
        <v>-0.79</v>
      </c>
      <c r="L1922">
        <v>-0.13</v>
      </c>
      <c r="M1922">
        <v>17.18</v>
      </c>
      <c r="N1922">
        <v>0.01</v>
      </c>
      <c r="O1922">
        <v>0.57</v>
      </c>
    </row>
    <row r="1923" spans="1:15">
      <c r="A1923" t="str">
        <f>"300467"</f>
        <v>300467</v>
      </c>
      <c r="B1923" t="s">
        <v>1961</v>
      </c>
      <c r="C1923">
        <v>5.93</v>
      </c>
      <c r="D1923">
        <v>35.75</v>
      </c>
      <c r="E1923" t="s">
        <v>16</v>
      </c>
      <c r="F1923" t="s">
        <v>16</v>
      </c>
      <c r="H1923">
        <v>0.03</v>
      </c>
      <c r="I1923">
        <v>8.43</v>
      </c>
      <c r="J1923">
        <v>-2.16</v>
      </c>
      <c r="L1923">
        <v>-0.62</v>
      </c>
      <c r="M1923">
        <v>30.19</v>
      </c>
      <c r="N1923">
        <v>0.01</v>
      </c>
      <c r="O1923">
        <v>0.73</v>
      </c>
    </row>
    <row r="1924" spans="1:15">
      <c r="A1924" t="str">
        <f>"300468"</f>
        <v>300468</v>
      </c>
      <c r="B1924" t="s">
        <v>1962</v>
      </c>
      <c r="C1924">
        <v>-2.88</v>
      </c>
      <c r="D1924">
        <v>23.23</v>
      </c>
      <c r="E1924" t="s">
        <v>16</v>
      </c>
      <c r="F1924" t="s">
        <v>16</v>
      </c>
      <c r="H1924">
        <v>-0.25</v>
      </c>
      <c r="I1924">
        <v>-1.69</v>
      </c>
      <c r="J1924">
        <v>-3.01</v>
      </c>
      <c r="L1924">
        <v>-2.05</v>
      </c>
      <c r="M1924">
        <v>1286.31</v>
      </c>
      <c r="N1924">
        <v>0.13</v>
      </c>
      <c r="O1924">
        <v>4.98</v>
      </c>
    </row>
    <row r="1925" spans="1:15">
      <c r="A1925" t="str">
        <f>"300469"</f>
        <v>300469</v>
      </c>
      <c r="B1925" t="s">
        <v>1963</v>
      </c>
      <c r="C1925">
        <v>-0.06</v>
      </c>
      <c r="D1925">
        <v>51.7</v>
      </c>
      <c r="E1925" t="s">
        <v>16</v>
      </c>
      <c r="F1925" t="s">
        <v>16</v>
      </c>
      <c r="H1925">
        <v>0.43</v>
      </c>
      <c r="I1925">
        <v>-1.39</v>
      </c>
      <c r="J1925">
        <v>-4.91</v>
      </c>
      <c r="L1925">
        <v>0.52</v>
      </c>
      <c r="M1925">
        <v>21.32</v>
      </c>
      <c r="N1925">
        <v>0</v>
      </c>
      <c r="O1925">
        <v>0.11</v>
      </c>
    </row>
    <row r="1926" spans="1:15">
      <c r="A1926" t="str">
        <f>"300470"</f>
        <v>300470</v>
      </c>
      <c r="B1926" t="s">
        <v>1964</v>
      </c>
      <c r="C1926">
        <v>-1.31</v>
      </c>
      <c r="D1926">
        <v>30.2</v>
      </c>
      <c r="E1926" t="s">
        <v>16</v>
      </c>
      <c r="F1926" t="s">
        <v>16</v>
      </c>
      <c r="H1926">
        <v>-0.06</v>
      </c>
      <c r="I1926">
        <v>-0.66</v>
      </c>
      <c r="J1926">
        <v>-1.56</v>
      </c>
      <c r="L1926">
        <v>-0.39</v>
      </c>
      <c r="M1926">
        <v>7.92</v>
      </c>
      <c r="N1926">
        <v>0</v>
      </c>
      <c r="O1926">
        <v>0.45</v>
      </c>
    </row>
    <row r="1927" spans="1:15">
      <c r="A1927" t="str">
        <f>"300471"</f>
        <v>300471</v>
      </c>
      <c r="B1927" t="s">
        <v>1965</v>
      </c>
      <c r="C1927">
        <v>-0.88</v>
      </c>
      <c r="D1927">
        <v>9.02</v>
      </c>
      <c r="E1927" t="s">
        <v>16</v>
      </c>
      <c r="F1927" t="s">
        <v>16</v>
      </c>
      <c r="H1927">
        <v>0</v>
      </c>
      <c r="I1927">
        <v>-6.63</v>
      </c>
      <c r="J1927">
        <v>-1.64</v>
      </c>
      <c r="L1927">
        <v>0</v>
      </c>
      <c r="M1927">
        <v>59.88</v>
      </c>
      <c r="N1927">
        <v>0.02</v>
      </c>
      <c r="O1927">
        <v>2.37</v>
      </c>
    </row>
    <row r="1928" spans="1:15">
      <c r="A1928" t="str">
        <f>"300472"</f>
        <v>300472</v>
      </c>
      <c r="B1928" t="s">
        <v>1966</v>
      </c>
      <c r="C1928">
        <v>-2.88</v>
      </c>
      <c r="D1928">
        <v>7.75</v>
      </c>
      <c r="E1928" t="s">
        <v>16</v>
      </c>
      <c r="F1928" t="s">
        <v>16</v>
      </c>
      <c r="H1928">
        <v>0</v>
      </c>
      <c r="I1928">
        <v>-6.29</v>
      </c>
      <c r="J1928">
        <v>-3.13</v>
      </c>
      <c r="L1928">
        <v>0.13</v>
      </c>
      <c r="M1928">
        <v>15.66</v>
      </c>
      <c r="N1928">
        <v>0.01</v>
      </c>
      <c r="O1928" t="s">
        <v>16</v>
      </c>
    </row>
    <row r="1929" spans="1:15">
      <c r="A1929" t="str">
        <f>"300473"</f>
        <v>300473</v>
      </c>
      <c r="B1929" t="s">
        <v>1967</v>
      </c>
      <c r="C1929">
        <v>-2.84</v>
      </c>
      <c r="D1929">
        <v>30.16</v>
      </c>
      <c r="E1929" t="s">
        <v>16</v>
      </c>
      <c r="F1929" t="s">
        <v>16</v>
      </c>
      <c r="H1929">
        <v>0.17</v>
      </c>
      <c r="I1929">
        <v>-12.76</v>
      </c>
      <c r="J1929">
        <v>-2.96</v>
      </c>
      <c r="L1929">
        <v>-0.13</v>
      </c>
      <c r="M1929">
        <v>12.4</v>
      </c>
      <c r="N1929">
        <v>0</v>
      </c>
      <c r="O1929">
        <v>0.21</v>
      </c>
    </row>
    <row r="1930" spans="1:15">
      <c r="A1930" t="str">
        <f>"300474"</f>
        <v>300474</v>
      </c>
      <c r="B1930" t="s">
        <v>1968</v>
      </c>
      <c r="C1930">
        <v>2.85</v>
      </c>
      <c r="D1930">
        <v>55.52</v>
      </c>
      <c r="E1930" t="s">
        <v>16</v>
      </c>
      <c r="F1930" t="s">
        <v>16</v>
      </c>
      <c r="H1930">
        <v>-0.04</v>
      </c>
      <c r="I1930">
        <v>-4.49</v>
      </c>
      <c r="J1930">
        <v>-1.33</v>
      </c>
      <c r="L1930">
        <v>-0.87</v>
      </c>
      <c r="M1930">
        <v>216.72</v>
      </c>
      <c r="N1930">
        <v>0.01</v>
      </c>
      <c r="O1930">
        <v>0.79</v>
      </c>
    </row>
    <row r="1931" spans="1:15">
      <c r="A1931" t="str">
        <f>"300475"</f>
        <v>300475</v>
      </c>
      <c r="B1931" t="s">
        <v>1969</v>
      </c>
      <c r="C1931">
        <v>3.91</v>
      </c>
      <c r="D1931">
        <v>254.87</v>
      </c>
      <c r="E1931" t="s">
        <v>16</v>
      </c>
      <c r="F1931" t="s">
        <v>16</v>
      </c>
      <c r="H1931">
        <v>-0.31</v>
      </c>
      <c r="I1931">
        <v>37.8</v>
      </c>
      <c r="J1931">
        <v>-1.51</v>
      </c>
      <c r="K1931" t="s">
        <v>54</v>
      </c>
      <c r="L1931">
        <v>1.92</v>
      </c>
      <c r="M1931">
        <v>21295</v>
      </c>
      <c r="N1931">
        <v>0.26</v>
      </c>
      <c r="O1931">
        <v>5.53</v>
      </c>
    </row>
    <row r="1932" spans="1:15">
      <c r="A1932" t="str">
        <f>"300476"</f>
        <v>300476</v>
      </c>
      <c r="B1932" t="s">
        <v>1970</v>
      </c>
      <c r="C1932">
        <v>2.02</v>
      </c>
      <c r="D1932">
        <v>369</v>
      </c>
      <c r="E1932" t="s">
        <v>16</v>
      </c>
      <c r="F1932" t="s">
        <v>16</v>
      </c>
      <c r="H1932">
        <v>0.26</v>
      </c>
      <c r="I1932">
        <v>0.62</v>
      </c>
      <c r="J1932">
        <v>-0.96</v>
      </c>
      <c r="L1932">
        <v>1.74</v>
      </c>
      <c r="M1932">
        <v>18926.24</v>
      </c>
      <c r="N1932">
        <v>0.09</v>
      </c>
      <c r="O1932">
        <v>1.44</v>
      </c>
    </row>
    <row r="1933" spans="1:15">
      <c r="A1933" t="str">
        <f>"300477"</f>
        <v>300477</v>
      </c>
      <c r="B1933" t="s">
        <v>1971</v>
      </c>
      <c r="C1933">
        <v>-3.35</v>
      </c>
      <c r="D1933">
        <v>2.31</v>
      </c>
      <c r="E1933" t="s">
        <v>16</v>
      </c>
      <c r="F1933" t="s">
        <v>16</v>
      </c>
      <c r="H1933">
        <v>-0.42</v>
      </c>
      <c r="I1933">
        <v>-2.94</v>
      </c>
      <c r="J1933">
        <v>-2.94</v>
      </c>
      <c r="L1933">
        <v>-1.26</v>
      </c>
      <c r="M1933">
        <v>18.01</v>
      </c>
      <c r="N1933">
        <v>0.01</v>
      </c>
      <c r="O1933">
        <v>1.73</v>
      </c>
    </row>
    <row r="1934" spans="1:15">
      <c r="A1934" t="str">
        <f>"300478"</f>
        <v>300478</v>
      </c>
      <c r="B1934" t="s">
        <v>1972</v>
      </c>
      <c r="C1934">
        <v>2.72</v>
      </c>
      <c r="D1934">
        <v>39.96</v>
      </c>
      <c r="E1934" t="s">
        <v>16</v>
      </c>
      <c r="F1934" t="s">
        <v>16</v>
      </c>
      <c r="H1934">
        <v>0.03</v>
      </c>
      <c r="I1934">
        <v>-5.62</v>
      </c>
      <c r="J1934">
        <v>-1.77</v>
      </c>
      <c r="L1934">
        <v>0.26</v>
      </c>
      <c r="M1934">
        <v>8.97</v>
      </c>
      <c r="N1934">
        <v>0</v>
      </c>
      <c r="O1934">
        <v>0.77</v>
      </c>
    </row>
    <row r="1935" spans="1:15">
      <c r="A1935" t="str">
        <f>"300479"</f>
        <v>300479</v>
      </c>
      <c r="B1935" t="s">
        <v>1973</v>
      </c>
      <c r="C1935">
        <v>0.7</v>
      </c>
      <c r="D1935">
        <v>14.44</v>
      </c>
      <c r="E1935" t="s">
        <v>16</v>
      </c>
      <c r="F1935" t="s">
        <v>16</v>
      </c>
      <c r="H1935">
        <v>0.28</v>
      </c>
      <c r="I1935">
        <v>-0.21</v>
      </c>
      <c r="J1935">
        <v>-1.3</v>
      </c>
      <c r="L1935">
        <v>-0.28</v>
      </c>
      <c r="M1935">
        <v>12.87</v>
      </c>
      <c r="N1935">
        <v>0.01</v>
      </c>
      <c r="O1935">
        <v>0.29</v>
      </c>
    </row>
    <row r="1936" spans="1:15">
      <c r="A1936" t="str">
        <f>"300480"</f>
        <v>300480</v>
      </c>
      <c r="B1936" t="s">
        <v>1974</v>
      </c>
      <c r="C1936">
        <v>-1.28</v>
      </c>
      <c r="D1936">
        <v>37.1</v>
      </c>
      <c r="E1936" t="s">
        <v>16</v>
      </c>
      <c r="F1936" t="s">
        <v>16</v>
      </c>
      <c r="H1936">
        <v>0.05</v>
      </c>
      <c r="I1936">
        <v>5.25</v>
      </c>
      <c r="J1936">
        <v>-2.75</v>
      </c>
      <c r="L1936">
        <v>-1.12</v>
      </c>
      <c r="M1936">
        <v>405.79</v>
      </c>
      <c r="N1936">
        <v>0.05</v>
      </c>
      <c r="O1936">
        <v>0.66</v>
      </c>
    </row>
    <row r="1937" spans="1:15">
      <c r="A1937" t="str">
        <f>"300481"</f>
        <v>300481</v>
      </c>
      <c r="B1937" t="s">
        <v>1975</v>
      </c>
      <c r="C1937">
        <v>-3.72</v>
      </c>
      <c r="D1937">
        <v>18.64</v>
      </c>
      <c r="E1937" t="s">
        <v>16</v>
      </c>
      <c r="F1937" t="s">
        <v>16</v>
      </c>
      <c r="H1937">
        <v>-0.31</v>
      </c>
      <c r="I1937">
        <v>34.97</v>
      </c>
      <c r="J1937">
        <v>-5.72</v>
      </c>
      <c r="L1937">
        <v>-0.46</v>
      </c>
      <c r="M1937">
        <v>317.96</v>
      </c>
      <c r="N1937">
        <v>0.09</v>
      </c>
      <c r="O1937">
        <v>0.69</v>
      </c>
    </row>
    <row r="1938" spans="1:15">
      <c r="A1938" t="str">
        <f>"300482"</f>
        <v>300482</v>
      </c>
      <c r="B1938" t="s">
        <v>1976</v>
      </c>
      <c r="C1938">
        <v>-4.3</v>
      </c>
      <c r="D1938">
        <v>19.35</v>
      </c>
      <c r="E1938" t="s">
        <v>16</v>
      </c>
      <c r="F1938" t="s">
        <v>16</v>
      </c>
      <c r="H1938">
        <v>-0.4</v>
      </c>
      <c r="I1938">
        <v>20.41</v>
      </c>
      <c r="J1938">
        <v>-2.76</v>
      </c>
      <c r="L1938">
        <v>-2.08</v>
      </c>
      <c r="M1938">
        <v>803.09</v>
      </c>
      <c r="N1938">
        <v>0.15</v>
      </c>
      <c r="O1938">
        <v>0.93</v>
      </c>
    </row>
    <row r="1939" spans="1:15">
      <c r="A1939" t="str">
        <f>"300483"</f>
        <v>300483</v>
      </c>
      <c r="B1939" t="s">
        <v>1977</v>
      </c>
      <c r="C1939">
        <v>0.46</v>
      </c>
      <c r="D1939">
        <v>19.47</v>
      </c>
      <c r="E1939" t="s">
        <v>16</v>
      </c>
      <c r="F1939" t="s">
        <v>16</v>
      </c>
      <c r="H1939">
        <v>0</v>
      </c>
      <c r="I1939">
        <v>2.53</v>
      </c>
      <c r="J1939">
        <v>-2.36</v>
      </c>
      <c r="L1939">
        <v>-0.36</v>
      </c>
      <c r="M1939">
        <v>28.19</v>
      </c>
      <c r="N1939">
        <v>0</v>
      </c>
      <c r="O1939">
        <v>0.28</v>
      </c>
    </row>
    <row r="1940" spans="1:15">
      <c r="A1940" t="str">
        <f>"300484"</f>
        <v>300484</v>
      </c>
      <c r="B1940" t="s">
        <v>1978</v>
      </c>
      <c r="C1940">
        <v>0.82</v>
      </c>
      <c r="D1940">
        <v>14.81</v>
      </c>
      <c r="E1940" t="s">
        <v>16</v>
      </c>
      <c r="F1940" t="s">
        <v>16</v>
      </c>
      <c r="H1940">
        <v>0.14</v>
      </c>
      <c r="I1940">
        <v>3.42</v>
      </c>
      <c r="J1940">
        <v>-0.13</v>
      </c>
      <c r="L1940">
        <v>-0.54</v>
      </c>
      <c r="M1940">
        <v>0.88</v>
      </c>
      <c r="N1940">
        <v>0</v>
      </c>
      <c r="O1940">
        <v>0.03</v>
      </c>
    </row>
    <row r="1941" spans="1:15">
      <c r="A1941" t="str">
        <f>"300485"</f>
        <v>300485</v>
      </c>
      <c r="B1941" t="s">
        <v>1979</v>
      </c>
      <c r="C1941">
        <v>0</v>
      </c>
      <c r="D1941">
        <v>8.15</v>
      </c>
      <c r="E1941" t="s">
        <v>16</v>
      </c>
      <c r="F1941" t="s">
        <v>16</v>
      </c>
      <c r="H1941">
        <v>-0.11</v>
      </c>
      <c r="I1941">
        <v>-7.81</v>
      </c>
      <c r="J1941">
        <v>-1.93</v>
      </c>
      <c r="L1941">
        <v>-0.37</v>
      </c>
      <c r="M1941">
        <v>3.49</v>
      </c>
      <c r="N1941">
        <v>0</v>
      </c>
      <c r="O1941">
        <v>0.72</v>
      </c>
    </row>
    <row r="1942" spans="1:15">
      <c r="A1942" t="str">
        <f>"300486"</f>
        <v>300486</v>
      </c>
      <c r="B1942" t="s">
        <v>1980</v>
      </c>
      <c r="C1942">
        <v>0.3</v>
      </c>
      <c r="D1942">
        <v>23.18</v>
      </c>
      <c r="E1942" t="s">
        <v>16</v>
      </c>
      <c r="F1942" t="s">
        <v>16</v>
      </c>
      <c r="H1942">
        <v>-0.21</v>
      </c>
      <c r="I1942">
        <v>-16.59</v>
      </c>
      <c r="J1942">
        <v>-2.56</v>
      </c>
      <c r="L1942">
        <v>0.82</v>
      </c>
      <c r="M1942">
        <v>121.63</v>
      </c>
      <c r="N1942">
        <v>0.02</v>
      </c>
      <c r="O1942">
        <v>0.8</v>
      </c>
    </row>
    <row r="1943" spans="1:15">
      <c r="A1943" t="str">
        <f>"300487"</f>
        <v>300487</v>
      </c>
      <c r="B1943" t="s">
        <v>1981</v>
      </c>
      <c r="C1943">
        <v>-0.16</v>
      </c>
      <c r="D1943">
        <v>55.56</v>
      </c>
      <c r="E1943" t="s">
        <v>16</v>
      </c>
      <c r="F1943" t="s">
        <v>16</v>
      </c>
      <c r="H1943">
        <v>0.16</v>
      </c>
      <c r="I1943">
        <v>1.44</v>
      </c>
      <c r="J1943">
        <v>-2.01</v>
      </c>
      <c r="L1943">
        <v>-0.45</v>
      </c>
      <c r="M1943">
        <v>132.96</v>
      </c>
      <c r="N1943">
        <v>0.01</v>
      </c>
      <c r="O1943">
        <v>2.38</v>
      </c>
    </row>
    <row r="1944" spans="1:15">
      <c r="A1944" t="str">
        <f>"300488"</f>
        <v>300488</v>
      </c>
      <c r="B1944" t="s">
        <v>1982</v>
      </c>
      <c r="C1944">
        <v>-13.15</v>
      </c>
      <c r="D1944">
        <v>41.68</v>
      </c>
      <c r="E1944" t="s">
        <v>16</v>
      </c>
      <c r="F1944" t="s">
        <v>16</v>
      </c>
      <c r="H1944">
        <v>0.7</v>
      </c>
      <c r="I1944">
        <v>30.9</v>
      </c>
      <c r="J1944">
        <v>-7.38</v>
      </c>
      <c r="L1944">
        <v>-7.21</v>
      </c>
      <c r="M1944">
        <v>1052.72</v>
      </c>
      <c r="N1944">
        <v>0.33</v>
      </c>
      <c r="O1944">
        <v>3.88</v>
      </c>
    </row>
    <row r="1945" spans="1:15">
      <c r="A1945" t="str">
        <f>"300489"</f>
        <v>300489</v>
      </c>
      <c r="B1945" t="s">
        <v>1983</v>
      </c>
      <c r="C1945">
        <v>5.37</v>
      </c>
      <c r="D1945">
        <v>225.5</v>
      </c>
      <c r="E1945" t="s">
        <v>16</v>
      </c>
      <c r="F1945" t="s">
        <v>16</v>
      </c>
      <c r="H1945">
        <v>-0.02</v>
      </c>
      <c r="I1945">
        <v>74.09</v>
      </c>
      <c r="J1945">
        <v>-2.59</v>
      </c>
      <c r="K1945" t="s">
        <v>57</v>
      </c>
      <c r="L1945">
        <v>-1.79</v>
      </c>
      <c r="M1945">
        <v>1748.53</v>
      </c>
      <c r="N1945">
        <v>0.11</v>
      </c>
      <c r="O1945">
        <v>1.49</v>
      </c>
    </row>
    <row r="1946" spans="1:15">
      <c r="A1946" t="str">
        <f>"300490"</f>
        <v>300490</v>
      </c>
      <c r="B1946" t="s">
        <v>1984</v>
      </c>
      <c r="C1946">
        <v>0.88</v>
      </c>
      <c r="D1946">
        <v>14.92</v>
      </c>
      <c r="E1946" t="s">
        <v>16</v>
      </c>
      <c r="F1946" t="s">
        <v>16</v>
      </c>
      <c r="H1946">
        <v>-0.26</v>
      </c>
      <c r="I1946">
        <v>-0.93</v>
      </c>
      <c r="J1946">
        <v>-1</v>
      </c>
      <c r="L1946">
        <v>-0.54</v>
      </c>
      <c r="M1946">
        <v>203.88</v>
      </c>
      <c r="N1946">
        <v>0.05</v>
      </c>
      <c r="O1946">
        <v>0.81</v>
      </c>
    </row>
    <row r="1947" spans="1:15">
      <c r="A1947" t="str">
        <f>"300491"</f>
        <v>300491</v>
      </c>
      <c r="B1947" t="s">
        <v>1985</v>
      </c>
      <c r="C1947">
        <v>10.14</v>
      </c>
      <c r="D1947">
        <v>38.88</v>
      </c>
      <c r="E1947" t="s">
        <v>16</v>
      </c>
      <c r="F1947" t="s">
        <v>16</v>
      </c>
      <c r="H1947">
        <v>0.15</v>
      </c>
      <c r="I1947">
        <v>22.07</v>
      </c>
      <c r="J1947">
        <v>-2.43</v>
      </c>
      <c r="L1947">
        <v>-0.85</v>
      </c>
      <c r="M1947">
        <v>21.7</v>
      </c>
      <c r="N1947">
        <v>0.01</v>
      </c>
      <c r="O1947">
        <v>0.1</v>
      </c>
    </row>
    <row r="1948" spans="1:15">
      <c r="A1948" t="str">
        <f>"300492"</f>
        <v>300492</v>
      </c>
      <c r="B1948" t="s">
        <v>1986</v>
      </c>
      <c r="C1948">
        <v>-2.74</v>
      </c>
      <c r="D1948">
        <v>36.18</v>
      </c>
      <c r="E1948" t="s">
        <v>16</v>
      </c>
      <c r="F1948" t="s">
        <v>16</v>
      </c>
      <c r="H1948">
        <v>0.11</v>
      </c>
      <c r="I1948">
        <v>-8.87</v>
      </c>
      <c r="J1948">
        <v>-4.03</v>
      </c>
      <c r="L1948">
        <v>0.05</v>
      </c>
      <c r="M1948">
        <v>29.78</v>
      </c>
      <c r="N1948">
        <v>0.01</v>
      </c>
      <c r="O1948">
        <v>1.07</v>
      </c>
    </row>
    <row r="1949" spans="1:15">
      <c r="A1949" t="str">
        <f>"300493"</f>
        <v>300493</v>
      </c>
      <c r="B1949" t="s">
        <v>1987</v>
      </c>
      <c r="C1949">
        <v>1.81</v>
      </c>
      <c r="D1949">
        <v>14.6</v>
      </c>
      <c r="E1949" t="s">
        <v>16</v>
      </c>
      <c r="F1949" t="s">
        <v>16</v>
      </c>
      <c r="H1949">
        <v>-0.06</v>
      </c>
      <c r="I1949">
        <v>-2.21</v>
      </c>
      <c r="J1949">
        <v>-1.22</v>
      </c>
      <c r="L1949">
        <v>-0.21</v>
      </c>
      <c r="M1949">
        <v>34.77</v>
      </c>
      <c r="N1949">
        <v>0.01</v>
      </c>
      <c r="O1949">
        <v>0.44</v>
      </c>
    </row>
    <row r="1950" spans="1:15">
      <c r="A1950" t="str">
        <f>"300494"</f>
        <v>300494</v>
      </c>
      <c r="B1950" t="s">
        <v>1988</v>
      </c>
      <c r="C1950">
        <v>1.01</v>
      </c>
      <c r="D1950">
        <v>8.99</v>
      </c>
      <c r="E1950" t="s">
        <v>16</v>
      </c>
      <c r="F1950" t="s">
        <v>16</v>
      </c>
      <c r="H1950">
        <v>-0.1</v>
      </c>
      <c r="I1950">
        <v>0.78</v>
      </c>
      <c r="J1950">
        <v>-2.49</v>
      </c>
      <c r="L1950">
        <v>0.45</v>
      </c>
      <c r="M1950">
        <v>7.06</v>
      </c>
      <c r="N1950">
        <v>0</v>
      </c>
      <c r="O1950">
        <v>0.4</v>
      </c>
    </row>
    <row r="1951" spans="1:15">
      <c r="A1951" t="str">
        <f>"300496"</f>
        <v>300496</v>
      </c>
      <c r="B1951" t="s">
        <v>1989</v>
      </c>
      <c r="C1951">
        <v>6.55</v>
      </c>
      <c r="D1951">
        <v>65.86</v>
      </c>
      <c r="E1951" t="s">
        <v>16</v>
      </c>
      <c r="F1951" t="s">
        <v>16</v>
      </c>
      <c r="H1951">
        <v>-0.05</v>
      </c>
      <c r="I1951">
        <v>7.6</v>
      </c>
      <c r="J1951">
        <v>-0.87</v>
      </c>
      <c r="L1951">
        <v>-0.53</v>
      </c>
      <c r="M1951">
        <v>201.04</v>
      </c>
      <c r="N1951">
        <v>0.01</v>
      </c>
      <c r="O1951">
        <v>0.76</v>
      </c>
    </row>
    <row r="1952" spans="1:15">
      <c r="A1952" t="str">
        <f>"300497"</f>
        <v>300497</v>
      </c>
      <c r="B1952" t="s">
        <v>1990</v>
      </c>
      <c r="C1952">
        <v>6.92</v>
      </c>
      <c r="D1952">
        <v>19.48</v>
      </c>
      <c r="E1952" t="s">
        <v>16</v>
      </c>
      <c r="F1952" t="s">
        <v>16</v>
      </c>
      <c r="H1952">
        <v>0.1</v>
      </c>
      <c r="I1952">
        <v>23.37</v>
      </c>
      <c r="J1952">
        <v>-2.5</v>
      </c>
      <c r="L1952">
        <v>0</v>
      </c>
      <c r="M1952">
        <v>1608.28</v>
      </c>
      <c r="N1952">
        <v>0.21</v>
      </c>
      <c r="O1952">
        <v>3.47</v>
      </c>
    </row>
    <row r="1953" spans="1:15">
      <c r="A1953" t="str">
        <f>"300498"</f>
        <v>300498</v>
      </c>
      <c r="B1953" t="s">
        <v>1991</v>
      </c>
      <c r="C1953">
        <v>-2.6</v>
      </c>
      <c r="D1953">
        <v>12.36</v>
      </c>
      <c r="E1953" t="s">
        <v>16</v>
      </c>
      <c r="F1953" t="s">
        <v>16</v>
      </c>
      <c r="H1953">
        <v>-0.15</v>
      </c>
      <c r="I1953">
        <v>-3.59</v>
      </c>
      <c r="J1953">
        <v>-3.06</v>
      </c>
      <c r="L1953">
        <v>0.47</v>
      </c>
      <c r="M1953">
        <v>141.4</v>
      </c>
      <c r="N1953">
        <v>0</v>
      </c>
      <c r="O1953">
        <v>1.27</v>
      </c>
    </row>
    <row r="1954" spans="1:15">
      <c r="A1954" t="str">
        <f>"300499"</f>
        <v>300499</v>
      </c>
      <c r="B1954" t="s">
        <v>1992</v>
      </c>
      <c r="C1954">
        <v>0.73</v>
      </c>
      <c r="D1954">
        <v>38.86</v>
      </c>
      <c r="E1954" t="s">
        <v>16</v>
      </c>
      <c r="F1954" t="s">
        <v>16</v>
      </c>
      <c r="H1954">
        <v>0</v>
      </c>
      <c r="I1954">
        <v>1.59</v>
      </c>
      <c r="J1954">
        <v>-1.82</v>
      </c>
      <c r="L1954">
        <v>0.26</v>
      </c>
      <c r="M1954">
        <v>333.81</v>
      </c>
      <c r="N1954">
        <v>0.03</v>
      </c>
      <c r="O1954">
        <v>1.36</v>
      </c>
    </row>
    <row r="1955" spans="1:15">
      <c r="A1955" t="str">
        <f>"300500"</f>
        <v>300500</v>
      </c>
      <c r="B1955" t="s">
        <v>1993</v>
      </c>
      <c r="C1955">
        <v>-0.62</v>
      </c>
      <c r="D1955">
        <v>9.63</v>
      </c>
      <c r="E1955" t="s">
        <v>16</v>
      </c>
      <c r="F1955" t="s">
        <v>16</v>
      </c>
      <c r="H1955">
        <v>0.21</v>
      </c>
      <c r="I1955">
        <v>-8.37</v>
      </c>
      <c r="J1955">
        <v>-1.53</v>
      </c>
      <c r="L1955">
        <v>-0.52</v>
      </c>
      <c r="M1955">
        <v>28.53</v>
      </c>
      <c r="N1955">
        <v>0.03</v>
      </c>
      <c r="O1955">
        <v>1.19</v>
      </c>
    </row>
    <row r="1956" spans="1:15">
      <c r="A1956" t="str">
        <f>"300501"</f>
        <v>300501</v>
      </c>
      <c r="B1956" t="s">
        <v>1994</v>
      </c>
      <c r="C1956">
        <v>2.47</v>
      </c>
      <c r="D1956">
        <v>13.27</v>
      </c>
      <c r="E1956" t="s">
        <v>16</v>
      </c>
      <c r="F1956" t="s">
        <v>16</v>
      </c>
      <c r="H1956">
        <v>0.15</v>
      </c>
      <c r="I1956">
        <v>5.32</v>
      </c>
      <c r="J1956">
        <v>-0.23</v>
      </c>
      <c r="L1956">
        <v>-1.08</v>
      </c>
      <c r="M1956">
        <v>31</v>
      </c>
      <c r="N1956">
        <v>0.02</v>
      </c>
      <c r="O1956">
        <v>6.05</v>
      </c>
    </row>
    <row r="1957" spans="1:15">
      <c r="A1957" t="str">
        <f>"300502"</f>
        <v>300502</v>
      </c>
      <c r="B1957" t="s">
        <v>1995</v>
      </c>
      <c r="C1957">
        <v>4.23</v>
      </c>
      <c r="D1957">
        <v>581.48</v>
      </c>
      <c r="E1957" t="s">
        <v>16</v>
      </c>
      <c r="F1957" t="s">
        <v>16</v>
      </c>
      <c r="H1957">
        <v>-0.15</v>
      </c>
      <c r="I1957">
        <v>5.05</v>
      </c>
      <c r="J1957">
        <v>-1.11</v>
      </c>
      <c r="L1957">
        <v>-0.94</v>
      </c>
      <c r="M1957">
        <v>14489.64</v>
      </c>
      <c r="N1957">
        <v>0.02</v>
      </c>
      <c r="O1957">
        <v>0.71</v>
      </c>
    </row>
    <row r="1958" spans="1:15">
      <c r="A1958" t="str">
        <f>"300503"</f>
        <v>300503</v>
      </c>
      <c r="B1958" t="s">
        <v>1996</v>
      </c>
      <c r="C1958">
        <v>9</v>
      </c>
      <c r="D1958">
        <v>88.28</v>
      </c>
      <c r="E1958" t="s">
        <v>16</v>
      </c>
      <c r="F1958" t="s">
        <v>16</v>
      </c>
      <c r="H1958">
        <v>-0.15</v>
      </c>
      <c r="I1958">
        <v>17.57</v>
      </c>
      <c r="J1958">
        <v>-0.59</v>
      </c>
      <c r="L1958">
        <v>-1.09</v>
      </c>
      <c r="M1958">
        <v>662.42</v>
      </c>
      <c r="N1958">
        <v>0.05</v>
      </c>
      <c r="O1958">
        <v>1.04</v>
      </c>
    </row>
    <row r="1959" spans="1:15">
      <c r="A1959" t="str">
        <f>"300504"</f>
        <v>300504</v>
      </c>
      <c r="B1959" t="s">
        <v>1997</v>
      </c>
      <c r="C1959">
        <v>-1.29</v>
      </c>
      <c r="D1959">
        <v>18.34</v>
      </c>
      <c r="E1959" t="s">
        <v>16</v>
      </c>
      <c r="F1959" t="s">
        <v>16</v>
      </c>
      <c r="H1959">
        <v>0.27</v>
      </c>
      <c r="I1959">
        <v>-7.51</v>
      </c>
      <c r="J1959">
        <v>-2.76</v>
      </c>
      <c r="L1959">
        <v>-0.7</v>
      </c>
      <c r="M1959">
        <v>28.6</v>
      </c>
      <c r="N1959">
        <v>0.01</v>
      </c>
      <c r="O1959">
        <v>0.36</v>
      </c>
    </row>
    <row r="1960" spans="1:15">
      <c r="A1960" t="str">
        <f>"300505"</f>
        <v>300505</v>
      </c>
      <c r="B1960" t="s">
        <v>1998</v>
      </c>
      <c r="C1960">
        <v>-3.44</v>
      </c>
      <c r="D1960">
        <v>21.34</v>
      </c>
      <c r="E1960" t="s">
        <v>16</v>
      </c>
      <c r="F1960" t="s">
        <v>16</v>
      </c>
      <c r="H1960">
        <v>-0.13</v>
      </c>
      <c r="I1960">
        <v>9.49</v>
      </c>
      <c r="J1960">
        <v>-4.26</v>
      </c>
      <c r="L1960">
        <v>-1</v>
      </c>
      <c r="M1960">
        <v>201.73</v>
      </c>
      <c r="N1960">
        <v>0.05</v>
      </c>
      <c r="O1960">
        <v>0.66</v>
      </c>
    </row>
    <row r="1961" spans="1:15">
      <c r="A1961" t="str">
        <f>"300506"</f>
        <v>300506</v>
      </c>
      <c r="B1961" t="s">
        <v>1999</v>
      </c>
      <c r="C1961">
        <v>0.62</v>
      </c>
      <c r="D1961">
        <v>4.89</v>
      </c>
      <c r="E1961" t="s">
        <v>16</v>
      </c>
      <c r="F1961" t="s">
        <v>16</v>
      </c>
      <c r="H1961">
        <v>-0.19</v>
      </c>
      <c r="I1961">
        <v>6.3</v>
      </c>
      <c r="J1961">
        <v>-2.78</v>
      </c>
      <c r="L1961">
        <v>2.26</v>
      </c>
      <c r="M1961">
        <v>157.9</v>
      </c>
      <c r="N1961">
        <v>0.05</v>
      </c>
      <c r="O1961">
        <v>0.28</v>
      </c>
    </row>
    <row r="1962" spans="1:15">
      <c r="A1962" t="str">
        <f>"300507"</f>
        <v>300507</v>
      </c>
      <c r="B1962" t="s">
        <v>2000</v>
      </c>
      <c r="C1962">
        <v>-1.31</v>
      </c>
      <c r="D1962">
        <v>7.55</v>
      </c>
      <c r="E1962" t="s">
        <v>16</v>
      </c>
      <c r="F1962" t="s">
        <v>16</v>
      </c>
      <c r="H1962">
        <v>0.27</v>
      </c>
      <c r="I1962">
        <v>2.72</v>
      </c>
      <c r="J1962">
        <v>-2.2</v>
      </c>
      <c r="L1962">
        <v>-0.78</v>
      </c>
      <c r="M1962">
        <v>76.89</v>
      </c>
      <c r="N1962">
        <v>0.02</v>
      </c>
      <c r="O1962">
        <v>3.48</v>
      </c>
    </row>
    <row r="1963" spans="1:15">
      <c r="A1963" t="str">
        <f>"300508"</f>
        <v>300508</v>
      </c>
      <c r="B1963" t="s">
        <v>2001</v>
      </c>
      <c r="C1963">
        <v>3.75</v>
      </c>
      <c r="D1963">
        <v>58.69</v>
      </c>
      <c r="E1963" t="s">
        <v>16</v>
      </c>
      <c r="F1963" t="s">
        <v>16</v>
      </c>
      <c r="H1963">
        <v>0.12</v>
      </c>
      <c r="I1963">
        <v>34.24</v>
      </c>
      <c r="J1963">
        <v>-2.43</v>
      </c>
      <c r="L1963">
        <v>-1.2</v>
      </c>
      <c r="M1963">
        <v>116.25</v>
      </c>
      <c r="N1963">
        <v>0.04</v>
      </c>
      <c r="O1963">
        <v>0.41</v>
      </c>
    </row>
    <row r="1964" spans="1:15">
      <c r="A1964" t="str">
        <f>"300509"</f>
        <v>300509</v>
      </c>
      <c r="B1964" t="s">
        <v>2002</v>
      </c>
      <c r="C1964">
        <v>-1.22</v>
      </c>
      <c r="D1964">
        <v>8.92</v>
      </c>
      <c r="E1964" t="s">
        <v>16</v>
      </c>
      <c r="F1964" t="s">
        <v>16</v>
      </c>
      <c r="H1964">
        <v>-0.33</v>
      </c>
      <c r="I1964">
        <v>-7.76</v>
      </c>
      <c r="J1964">
        <v>-1.98</v>
      </c>
      <c r="L1964">
        <v>-1</v>
      </c>
      <c r="M1964">
        <v>18.33</v>
      </c>
      <c r="N1964">
        <v>0.02</v>
      </c>
      <c r="O1964">
        <v>1.68</v>
      </c>
    </row>
    <row r="1965" spans="1:15">
      <c r="A1965" t="str">
        <f>"300510"</f>
        <v>300510</v>
      </c>
      <c r="B1965" t="s">
        <v>2003</v>
      </c>
      <c r="C1965">
        <v>-1.18</v>
      </c>
      <c r="D1965">
        <v>3.34</v>
      </c>
      <c r="E1965" t="s">
        <v>16</v>
      </c>
      <c r="F1965" t="s">
        <v>16</v>
      </c>
      <c r="H1965">
        <v>-0.29</v>
      </c>
      <c r="I1965">
        <v>-6.96</v>
      </c>
      <c r="J1965">
        <v>-1.47</v>
      </c>
      <c r="L1965">
        <v>-1.18</v>
      </c>
      <c r="M1965">
        <v>18.57</v>
      </c>
      <c r="N1965">
        <v>0.01</v>
      </c>
      <c r="O1965">
        <v>1.76</v>
      </c>
    </row>
    <row r="1966" spans="1:15">
      <c r="A1966" t="str">
        <f>"300511"</f>
        <v>300511</v>
      </c>
      <c r="B1966" t="s">
        <v>2004</v>
      </c>
      <c r="C1966">
        <v>-1.47</v>
      </c>
      <c r="D1966">
        <v>5.35</v>
      </c>
      <c r="E1966" t="s">
        <v>16</v>
      </c>
      <c r="F1966" t="s">
        <v>16</v>
      </c>
      <c r="H1966">
        <v>0</v>
      </c>
      <c r="I1966">
        <v>-11.28</v>
      </c>
      <c r="J1966">
        <v>-2.19</v>
      </c>
      <c r="L1966">
        <v>0</v>
      </c>
      <c r="M1966">
        <v>19.28</v>
      </c>
      <c r="N1966">
        <v>0.01</v>
      </c>
      <c r="O1966">
        <v>0.69</v>
      </c>
    </row>
    <row r="1967" spans="1:15">
      <c r="A1967" t="str">
        <f>"300512"</f>
        <v>300512</v>
      </c>
      <c r="B1967" t="s">
        <v>2005</v>
      </c>
      <c r="C1967">
        <v>-0.82</v>
      </c>
      <c r="D1967">
        <v>7.29</v>
      </c>
      <c r="E1967" t="s">
        <v>16</v>
      </c>
      <c r="F1967" t="s">
        <v>16</v>
      </c>
      <c r="H1967">
        <v>0.28</v>
      </c>
      <c r="I1967">
        <v>-4.58</v>
      </c>
      <c r="J1967">
        <v>-1.22</v>
      </c>
      <c r="L1967">
        <v>-0.54</v>
      </c>
      <c r="M1967">
        <v>19.74</v>
      </c>
      <c r="N1967">
        <v>0.02</v>
      </c>
      <c r="O1967">
        <v>0.95</v>
      </c>
    </row>
    <row r="1968" spans="1:15">
      <c r="A1968" t="str">
        <f>"300513"</f>
        <v>300513</v>
      </c>
      <c r="B1968" t="s">
        <v>2006</v>
      </c>
      <c r="C1968">
        <v>0.14</v>
      </c>
      <c r="D1968">
        <v>7.32</v>
      </c>
      <c r="E1968" t="s">
        <v>16</v>
      </c>
      <c r="F1968" t="s">
        <v>16</v>
      </c>
      <c r="H1968">
        <v>-0.26</v>
      </c>
      <c r="I1968">
        <v>-5.06</v>
      </c>
      <c r="J1968">
        <v>-1.35</v>
      </c>
      <c r="L1968">
        <v>-0.96</v>
      </c>
      <c r="M1968">
        <v>17.23</v>
      </c>
      <c r="N1968">
        <v>0.01</v>
      </c>
      <c r="O1968">
        <v>3.61</v>
      </c>
    </row>
    <row r="1969" spans="1:15">
      <c r="A1969" t="str">
        <f>"300514"</f>
        <v>300514</v>
      </c>
      <c r="B1969" t="s">
        <v>2007</v>
      </c>
      <c r="C1969">
        <v>-1.11</v>
      </c>
      <c r="D1969">
        <v>9.83</v>
      </c>
      <c r="E1969" t="s">
        <v>16</v>
      </c>
      <c r="F1969" t="s">
        <v>16</v>
      </c>
      <c r="H1969">
        <v>0.2</v>
      </c>
      <c r="I1969">
        <v>-6.65</v>
      </c>
      <c r="J1969">
        <v>-1.99</v>
      </c>
      <c r="L1969">
        <v>-0.91</v>
      </c>
      <c r="M1969">
        <v>21.67</v>
      </c>
      <c r="N1969">
        <v>0.02</v>
      </c>
      <c r="O1969">
        <v>1.04</v>
      </c>
    </row>
    <row r="1970" spans="1:15">
      <c r="A1970" t="str">
        <f>"300515"</f>
        <v>300515</v>
      </c>
      <c r="B1970" t="s">
        <v>2008</v>
      </c>
      <c r="C1970">
        <v>-0.41</v>
      </c>
      <c r="D1970">
        <v>14.49</v>
      </c>
      <c r="E1970" t="s">
        <v>16</v>
      </c>
      <c r="F1970" t="s">
        <v>16</v>
      </c>
      <c r="H1970">
        <v>0.14</v>
      </c>
      <c r="I1970">
        <v>-5.05</v>
      </c>
      <c r="J1970">
        <v>-0.82</v>
      </c>
      <c r="L1970">
        <v>-0.14</v>
      </c>
      <c r="M1970">
        <v>0.58</v>
      </c>
      <c r="N1970">
        <v>0</v>
      </c>
      <c r="O1970">
        <v>0.17</v>
      </c>
    </row>
    <row r="1971" spans="1:15">
      <c r="A1971" t="str">
        <f>"300516"</f>
        <v>300516</v>
      </c>
      <c r="B1971" t="s">
        <v>2009</v>
      </c>
      <c r="C1971">
        <v>-0.74</v>
      </c>
      <c r="D1971">
        <v>36.26</v>
      </c>
      <c r="E1971" t="s">
        <v>16</v>
      </c>
      <c r="F1971" t="s">
        <v>16</v>
      </c>
      <c r="H1971">
        <v>0.5</v>
      </c>
      <c r="I1971">
        <v>-14.12</v>
      </c>
      <c r="J1971">
        <v>-2.53</v>
      </c>
      <c r="L1971">
        <v>-1.37</v>
      </c>
      <c r="M1971">
        <v>167.54</v>
      </c>
      <c r="N1971">
        <v>0.06</v>
      </c>
      <c r="O1971">
        <v>2.08</v>
      </c>
    </row>
    <row r="1972" spans="1:15">
      <c r="A1972" t="str">
        <f>"300517"</f>
        <v>300517</v>
      </c>
      <c r="B1972" t="s">
        <v>2010</v>
      </c>
      <c r="C1972">
        <v>0.62</v>
      </c>
      <c r="D1972">
        <v>9.74</v>
      </c>
      <c r="E1972" t="s">
        <v>16</v>
      </c>
      <c r="F1972" t="s">
        <v>16</v>
      </c>
      <c r="H1972">
        <v>0.1</v>
      </c>
      <c r="I1972">
        <v>-12.33</v>
      </c>
      <c r="J1972">
        <v>-3.28</v>
      </c>
      <c r="L1972">
        <v>-0.1</v>
      </c>
      <c r="M1972">
        <v>17.41</v>
      </c>
      <c r="N1972">
        <v>0.02</v>
      </c>
      <c r="O1972">
        <v>0.91</v>
      </c>
    </row>
    <row r="1973" spans="1:15">
      <c r="A1973" t="str">
        <f>"300518"</f>
        <v>300518</v>
      </c>
      <c r="B1973" t="s">
        <v>2011</v>
      </c>
      <c r="C1973">
        <v>-0.99</v>
      </c>
      <c r="D1973">
        <v>30.14</v>
      </c>
      <c r="E1973" t="s">
        <v>16</v>
      </c>
      <c r="F1973" t="s">
        <v>16</v>
      </c>
      <c r="H1973">
        <v>0.23</v>
      </c>
      <c r="I1973">
        <v>4.33</v>
      </c>
      <c r="J1973">
        <v>-2.49</v>
      </c>
      <c r="L1973">
        <v>-0.1</v>
      </c>
      <c r="M1973">
        <v>166.34</v>
      </c>
      <c r="N1973">
        <v>0.04</v>
      </c>
      <c r="O1973">
        <v>1.94</v>
      </c>
    </row>
    <row r="1974" spans="1:15">
      <c r="A1974" t="str">
        <f>"300519"</f>
        <v>300519</v>
      </c>
      <c r="B1974" t="s">
        <v>2012</v>
      </c>
      <c r="C1974">
        <v>-1.27</v>
      </c>
      <c r="D1974">
        <v>12.42</v>
      </c>
      <c r="E1974" t="s">
        <v>16</v>
      </c>
      <c r="F1974" t="s">
        <v>16</v>
      </c>
      <c r="H1974">
        <v>0</v>
      </c>
      <c r="I1974">
        <v>-6.26</v>
      </c>
      <c r="J1974">
        <v>-1.66</v>
      </c>
      <c r="L1974">
        <v>-1.19</v>
      </c>
      <c r="M1974">
        <v>9.45</v>
      </c>
      <c r="N1974">
        <v>0.01</v>
      </c>
      <c r="O1974">
        <v>0.69</v>
      </c>
    </row>
    <row r="1975" spans="1:15">
      <c r="A1975" t="str">
        <f>"300520"</f>
        <v>300520</v>
      </c>
      <c r="B1975" t="s">
        <v>2013</v>
      </c>
      <c r="C1975">
        <v>3.16</v>
      </c>
      <c r="D1975">
        <v>29.75</v>
      </c>
      <c r="E1975" t="s">
        <v>16</v>
      </c>
      <c r="F1975" t="s">
        <v>16</v>
      </c>
      <c r="H1975">
        <v>-0.12</v>
      </c>
      <c r="I1975">
        <v>-11.09</v>
      </c>
      <c r="J1975">
        <v>-1.65</v>
      </c>
      <c r="L1975">
        <v>0.31</v>
      </c>
      <c r="M1975">
        <v>199.04</v>
      </c>
      <c r="N1975">
        <v>0.03</v>
      </c>
      <c r="O1975">
        <v>0.55</v>
      </c>
    </row>
    <row r="1976" spans="1:15">
      <c r="A1976" t="str">
        <f>"300521"</f>
        <v>300521</v>
      </c>
      <c r="B1976" t="s">
        <v>2014</v>
      </c>
      <c r="C1976">
        <v>-5.43</v>
      </c>
      <c r="D1976">
        <v>28.89</v>
      </c>
      <c r="E1976" t="s">
        <v>16</v>
      </c>
      <c r="F1976" t="s">
        <v>16</v>
      </c>
      <c r="H1976">
        <v>-0.33</v>
      </c>
      <c r="I1976">
        <v>22.73</v>
      </c>
      <c r="J1976">
        <v>-6.81</v>
      </c>
      <c r="L1976">
        <v>0.16</v>
      </c>
      <c r="M1976">
        <v>149.63</v>
      </c>
      <c r="N1976">
        <v>0.04</v>
      </c>
      <c r="O1976">
        <v>0.79</v>
      </c>
    </row>
    <row r="1977" spans="1:15">
      <c r="A1977" t="str">
        <f>"300522"</f>
        <v>300522</v>
      </c>
      <c r="B1977" t="s">
        <v>2015</v>
      </c>
      <c r="C1977">
        <v>19.99</v>
      </c>
      <c r="D1977">
        <v>19.21</v>
      </c>
      <c r="E1977">
        <v>3185.79</v>
      </c>
      <c r="F1977">
        <v>1</v>
      </c>
      <c r="H1977">
        <v>0</v>
      </c>
      <c r="I1977">
        <v>66.18</v>
      </c>
      <c r="J1977">
        <v>0</v>
      </c>
      <c r="K1977" t="s">
        <v>140</v>
      </c>
      <c r="L1977">
        <v>5.56</v>
      </c>
      <c r="M1977">
        <v>3173.82</v>
      </c>
      <c r="N1977">
        <v>1.18</v>
      </c>
      <c r="O1977">
        <v>6.71</v>
      </c>
    </row>
    <row r="1978" spans="1:15">
      <c r="A1978" t="str">
        <f>"300523"</f>
        <v>300523</v>
      </c>
      <c r="B1978" t="s">
        <v>2016</v>
      </c>
      <c r="C1978">
        <v>-1.59</v>
      </c>
      <c r="D1978">
        <v>19.86</v>
      </c>
      <c r="E1978" t="s">
        <v>16</v>
      </c>
      <c r="F1978" t="s">
        <v>16</v>
      </c>
      <c r="H1978">
        <v>-0.14</v>
      </c>
      <c r="I1978">
        <v>-5.92</v>
      </c>
      <c r="J1978">
        <v>-3.03</v>
      </c>
      <c r="L1978">
        <v>0</v>
      </c>
      <c r="M1978">
        <v>0</v>
      </c>
      <c r="N1978">
        <v>0</v>
      </c>
      <c r="O1978">
        <v>0</v>
      </c>
    </row>
    <row r="1979" spans="1:15">
      <c r="A1979" t="str">
        <f>"300525"</f>
        <v>300525</v>
      </c>
      <c r="B1979" t="s">
        <v>2017</v>
      </c>
      <c r="C1979">
        <v>-4.01</v>
      </c>
      <c r="D1979">
        <v>8.62</v>
      </c>
      <c r="E1979" t="s">
        <v>16</v>
      </c>
      <c r="F1979" t="s">
        <v>16</v>
      </c>
      <c r="H1979">
        <v>-0.11</v>
      </c>
      <c r="I1979">
        <v>0.47</v>
      </c>
      <c r="J1979">
        <v>-3.04</v>
      </c>
      <c r="L1979">
        <v>-1.22</v>
      </c>
      <c r="M1979">
        <v>63.95</v>
      </c>
      <c r="N1979">
        <v>0.01</v>
      </c>
      <c r="O1979">
        <v>1.26</v>
      </c>
    </row>
    <row r="1980" spans="1:15">
      <c r="A1980" t="str">
        <f>"300527"</f>
        <v>300527</v>
      </c>
      <c r="B1980" t="s">
        <v>2018</v>
      </c>
      <c r="C1980">
        <v>-1.77</v>
      </c>
      <c r="D1980">
        <v>7.2</v>
      </c>
      <c r="E1980" t="s">
        <v>16</v>
      </c>
      <c r="F1980" t="s">
        <v>16</v>
      </c>
      <c r="H1980">
        <v>0.14</v>
      </c>
      <c r="I1980">
        <v>-6.49</v>
      </c>
      <c r="J1980">
        <v>-2.04</v>
      </c>
      <c r="L1980">
        <v>0</v>
      </c>
      <c r="M1980">
        <v>4.91</v>
      </c>
      <c r="N1980">
        <v>0</v>
      </c>
      <c r="O1980">
        <v>0.93</v>
      </c>
    </row>
    <row r="1981" spans="1:15">
      <c r="A1981" t="str">
        <f>"300528"</f>
        <v>300528</v>
      </c>
      <c r="B1981" t="s">
        <v>2019</v>
      </c>
      <c r="C1981">
        <v>0.35</v>
      </c>
      <c r="D1981">
        <v>14.38</v>
      </c>
      <c r="E1981" t="s">
        <v>16</v>
      </c>
      <c r="F1981" t="s">
        <v>16</v>
      </c>
      <c r="H1981">
        <v>0.07</v>
      </c>
      <c r="I1981">
        <v>-10.46</v>
      </c>
      <c r="J1981">
        <v>-0.42</v>
      </c>
      <c r="L1981">
        <v>-0.7</v>
      </c>
      <c r="M1981">
        <v>7.26</v>
      </c>
      <c r="N1981">
        <v>0</v>
      </c>
      <c r="O1981">
        <v>0.33</v>
      </c>
    </row>
    <row r="1982" spans="1:15">
      <c r="A1982" t="str">
        <f>"300529"</f>
        <v>300529</v>
      </c>
      <c r="B1982" t="s">
        <v>2020</v>
      </c>
      <c r="C1982">
        <v>-0.63</v>
      </c>
      <c r="D1982">
        <v>15.7</v>
      </c>
      <c r="E1982" t="s">
        <v>16</v>
      </c>
      <c r="F1982" t="s">
        <v>16</v>
      </c>
      <c r="H1982">
        <v>0.13</v>
      </c>
      <c r="I1982">
        <v>-8.99</v>
      </c>
      <c r="J1982">
        <v>-1.51</v>
      </c>
      <c r="L1982">
        <v>-0.13</v>
      </c>
      <c r="M1982">
        <v>21.3</v>
      </c>
      <c r="N1982">
        <v>0</v>
      </c>
      <c r="O1982">
        <v>0.52</v>
      </c>
    </row>
    <row r="1983" spans="1:15">
      <c r="A1983" t="str">
        <f>"300530"</f>
        <v>300530</v>
      </c>
      <c r="B1983" t="s">
        <v>2021</v>
      </c>
      <c r="C1983">
        <v>-2.89</v>
      </c>
      <c r="D1983">
        <v>18.16</v>
      </c>
      <c r="E1983" t="s">
        <v>16</v>
      </c>
      <c r="F1983" t="s">
        <v>16</v>
      </c>
      <c r="H1983">
        <v>-0.21</v>
      </c>
      <c r="I1983">
        <v>-6.68</v>
      </c>
      <c r="J1983">
        <v>-2.94</v>
      </c>
      <c r="L1983">
        <v>-0.91</v>
      </c>
      <c r="M1983">
        <v>21.49</v>
      </c>
      <c r="N1983">
        <v>0.02</v>
      </c>
      <c r="O1983">
        <v>0.69</v>
      </c>
    </row>
    <row r="1984" spans="1:15">
      <c r="A1984" t="str">
        <f>"300531"</f>
        <v>300531</v>
      </c>
      <c r="B1984" t="s">
        <v>2022</v>
      </c>
      <c r="C1984">
        <v>-1.4</v>
      </c>
      <c r="D1984">
        <v>15.5</v>
      </c>
      <c r="E1984" t="s">
        <v>16</v>
      </c>
      <c r="F1984" t="s">
        <v>16</v>
      </c>
      <c r="H1984">
        <v>-0.05</v>
      </c>
      <c r="I1984">
        <v>-1.21</v>
      </c>
      <c r="J1984">
        <v>-1.59</v>
      </c>
      <c r="L1984">
        <v>-1.02</v>
      </c>
      <c r="M1984">
        <v>47.77</v>
      </c>
      <c r="N1984">
        <v>0.01</v>
      </c>
      <c r="O1984">
        <v>0.4</v>
      </c>
    </row>
    <row r="1985" spans="1:15">
      <c r="A1985" t="str">
        <f>"300532"</f>
        <v>300532</v>
      </c>
      <c r="B1985" t="s">
        <v>2023</v>
      </c>
      <c r="C1985">
        <v>-0.59</v>
      </c>
      <c r="D1985">
        <v>6.69</v>
      </c>
      <c r="E1985" t="s">
        <v>16</v>
      </c>
      <c r="F1985" t="s">
        <v>16</v>
      </c>
      <c r="H1985">
        <v>-0.14</v>
      </c>
      <c r="I1985">
        <v>-1.18</v>
      </c>
      <c r="J1985">
        <v>-0.89</v>
      </c>
      <c r="L1985">
        <v>-0.3</v>
      </c>
      <c r="M1985">
        <v>2.75</v>
      </c>
      <c r="N1985">
        <v>0</v>
      </c>
      <c r="O1985">
        <v>0.23</v>
      </c>
    </row>
    <row r="1986" spans="1:15">
      <c r="A1986" t="str">
        <f>"300533"</f>
        <v>300533</v>
      </c>
      <c r="B1986" t="s">
        <v>2024</v>
      </c>
      <c r="C1986">
        <v>0.14</v>
      </c>
      <c r="D1986">
        <v>14.36</v>
      </c>
      <c r="E1986" t="s">
        <v>16</v>
      </c>
      <c r="F1986" t="s">
        <v>16</v>
      </c>
      <c r="H1986">
        <v>0</v>
      </c>
      <c r="I1986">
        <v>-7.35</v>
      </c>
      <c r="J1986">
        <v>-1.44</v>
      </c>
      <c r="L1986">
        <v>0</v>
      </c>
      <c r="M1986">
        <v>38.89</v>
      </c>
      <c r="N1986">
        <v>0.01</v>
      </c>
      <c r="O1986">
        <v>1.74</v>
      </c>
    </row>
    <row r="1987" spans="1:15">
      <c r="A1987" t="str">
        <f>"300534"</f>
        <v>300534</v>
      </c>
      <c r="B1987" t="s">
        <v>2025</v>
      </c>
      <c r="C1987">
        <v>-0.81</v>
      </c>
      <c r="D1987">
        <v>7.33</v>
      </c>
      <c r="E1987" t="s">
        <v>16</v>
      </c>
      <c r="F1987" t="s">
        <v>16</v>
      </c>
      <c r="H1987">
        <v>-0.13</v>
      </c>
      <c r="I1987">
        <v>-3.93</v>
      </c>
      <c r="J1987">
        <v>-1.48</v>
      </c>
      <c r="L1987">
        <v>0</v>
      </c>
      <c r="M1987">
        <v>11.31</v>
      </c>
      <c r="N1987">
        <v>0.01</v>
      </c>
      <c r="O1987">
        <v>2.73</v>
      </c>
    </row>
    <row r="1988" spans="1:15">
      <c r="A1988" t="str">
        <f>"300535"</f>
        <v>300535</v>
      </c>
      <c r="B1988" t="s">
        <v>2026</v>
      </c>
      <c r="C1988">
        <v>-0.61</v>
      </c>
      <c r="D1988">
        <v>14.55</v>
      </c>
      <c r="E1988" t="s">
        <v>16</v>
      </c>
      <c r="F1988" t="s">
        <v>16</v>
      </c>
      <c r="H1988">
        <v>0.21</v>
      </c>
      <c r="I1988">
        <v>-5.15</v>
      </c>
      <c r="J1988">
        <v>-2.09</v>
      </c>
      <c r="L1988">
        <v>-0.96</v>
      </c>
      <c r="M1988">
        <v>26.25</v>
      </c>
      <c r="N1988">
        <v>0.03</v>
      </c>
      <c r="O1988">
        <v>2.11</v>
      </c>
    </row>
    <row r="1989" spans="1:15">
      <c r="A1989" t="str">
        <f>"300536"</f>
        <v>300536</v>
      </c>
      <c r="B1989" t="s">
        <v>2027</v>
      </c>
      <c r="C1989">
        <v>-0.63</v>
      </c>
      <c r="D1989">
        <v>9.52</v>
      </c>
      <c r="E1989" t="s">
        <v>16</v>
      </c>
      <c r="F1989" t="s">
        <v>16</v>
      </c>
      <c r="H1989">
        <v>-0.09</v>
      </c>
      <c r="I1989">
        <v>-3.25</v>
      </c>
      <c r="J1989">
        <v>-3.35</v>
      </c>
      <c r="L1989">
        <v>1.04</v>
      </c>
      <c r="M1989">
        <v>39.59</v>
      </c>
      <c r="N1989">
        <v>0.01</v>
      </c>
      <c r="O1989">
        <v>2.35</v>
      </c>
    </row>
    <row r="1990" spans="1:15">
      <c r="A1990" t="str">
        <f>"300537"</f>
        <v>300537</v>
      </c>
      <c r="B1990" t="s">
        <v>2028</v>
      </c>
      <c r="C1990">
        <v>-2.2</v>
      </c>
      <c r="D1990">
        <v>28.92</v>
      </c>
      <c r="E1990" t="s">
        <v>16</v>
      </c>
      <c r="F1990" t="s">
        <v>16</v>
      </c>
      <c r="H1990">
        <v>-0.27</v>
      </c>
      <c r="I1990">
        <v>14.13</v>
      </c>
      <c r="J1990">
        <v>-1.8</v>
      </c>
      <c r="L1990">
        <v>-1.76</v>
      </c>
      <c r="M1990">
        <v>465.09</v>
      </c>
      <c r="N1990">
        <v>0.12</v>
      </c>
      <c r="O1990">
        <v>1.61</v>
      </c>
    </row>
    <row r="1991" spans="1:15">
      <c r="A1991" t="str">
        <f>"300538"</f>
        <v>300538</v>
      </c>
      <c r="B1991" t="s">
        <v>2029</v>
      </c>
      <c r="C1991">
        <v>-2.12</v>
      </c>
      <c r="D1991">
        <v>18.01</v>
      </c>
      <c r="E1991" t="s">
        <v>16</v>
      </c>
      <c r="F1991" t="s">
        <v>16</v>
      </c>
      <c r="H1991">
        <v>0</v>
      </c>
      <c r="I1991">
        <v>3.27</v>
      </c>
      <c r="J1991">
        <v>-3.07</v>
      </c>
      <c r="L1991">
        <v>-1.52</v>
      </c>
      <c r="M1991">
        <v>270.53</v>
      </c>
      <c r="N1991">
        <v>0.16</v>
      </c>
      <c r="O1991">
        <v>1.31</v>
      </c>
    </row>
    <row r="1992" spans="1:15">
      <c r="A1992" t="str">
        <f>"300539"</f>
        <v>300539</v>
      </c>
      <c r="B1992" t="s">
        <v>2030</v>
      </c>
      <c r="C1992">
        <v>-1.51</v>
      </c>
      <c r="D1992">
        <v>22.18</v>
      </c>
      <c r="E1992" t="s">
        <v>16</v>
      </c>
      <c r="F1992" t="s">
        <v>16</v>
      </c>
      <c r="H1992">
        <v>0</v>
      </c>
      <c r="I1992">
        <v>-5.34</v>
      </c>
      <c r="J1992">
        <v>-2.55</v>
      </c>
      <c r="L1992">
        <v>-0.67</v>
      </c>
      <c r="M1992">
        <v>2.91</v>
      </c>
      <c r="N1992">
        <v>0</v>
      </c>
      <c r="O1992">
        <v>0.25</v>
      </c>
    </row>
    <row r="1993" spans="1:15">
      <c r="A1993" t="str">
        <f>"300540"</f>
        <v>300540</v>
      </c>
      <c r="B1993" t="s">
        <v>2031</v>
      </c>
      <c r="C1993">
        <v>-0.63</v>
      </c>
      <c r="D1993">
        <v>25.33</v>
      </c>
      <c r="E1993" t="s">
        <v>16</v>
      </c>
      <c r="F1993" t="s">
        <v>16</v>
      </c>
      <c r="H1993">
        <v>-0.03</v>
      </c>
      <c r="I1993">
        <v>-6.12</v>
      </c>
      <c r="J1993">
        <v>-2.54</v>
      </c>
      <c r="L1993">
        <v>-1.22</v>
      </c>
      <c r="M1993">
        <v>174.25</v>
      </c>
      <c r="N1993">
        <v>0.05</v>
      </c>
      <c r="O1993">
        <v>0.53</v>
      </c>
    </row>
    <row r="1994" spans="1:15">
      <c r="A1994" t="str">
        <f>"300541"</f>
        <v>300541</v>
      </c>
      <c r="B1994" t="s">
        <v>2032</v>
      </c>
      <c r="C1994">
        <v>-0.68</v>
      </c>
      <c r="D1994">
        <v>10.27</v>
      </c>
      <c r="E1994" t="s">
        <v>16</v>
      </c>
      <c r="F1994" t="s">
        <v>16</v>
      </c>
      <c r="H1994">
        <v>-0.09</v>
      </c>
      <c r="I1994">
        <v>-2.75</v>
      </c>
      <c r="J1994">
        <v>-1.44</v>
      </c>
      <c r="L1994">
        <v>-0.87</v>
      </c>
      <c r="M1994">
        <v>58.16</v>
      </c>
      <c r="N1994">
        <v>0.01</v>
      </c>
      <c r="O1994">
        <v>2.06</v>
      </c>
    </row>
    <row r="1995" spans="1:15">
      <c r="A1995" t="str">
        <f>"300542"</f>
        <v>300542</v>
      </c>
      <c r="B1995" t="s">
        <v>2033</v>
      </c>
      <c r="C1995">
        <v>-1.06</v>
      </c>
      <c r="D1995">
        <v>12.14</v>
      </c>
      <c r="E1995" t="s">
        <v>16</v>
      </c>
      <c r="F1995" t="s">
        <v>16</v>
      </c>
      <c r="H1995">
        <v>0</v>
      </c>
      <c r="I1995">
        <v>-3.57</v>
      </c>
      <c r="J1995">
        <v>-2.1</v>
      </c>
      <c r="L1995">
        <v>-0.57</v>
      </c>
      <c r="M1995">
        <v>2.68</v>
      </c>
      <c r="N1995">
        <v>0</v>
      </c>
      <c r="O1995">
        <v>0.2</v>
      </c>
    </row>
    <row r="1996" spans="1:15">
      <c r="A1996" t="str">
        <f>"300543"</f>
        <v>300543</v>
      </c>
      <c r="B1996" t="s">
        <v>2034</v>
      </c>
      <c r="C1996">
        <v>-0.63</v>
      </c>
      <c r="D1996">
        <v>7.9</v>
      </c>
      <c r="E1996" t="s">
        <v>16</v>
      </c>
      <c r="F1996" t="s">
        <v>16</v>
      </c>
      <c r="H1996">
        <v>0</v>
      </c>
      <c r="I1996">
        <v>-7.71</v>
      </c>
      <c r="J1996">
        <v>-1.62</v>
      </c>
      <c r="L1996">
        <v>-0.63</v>
      </c>
      <c r="M1996">
        <v>9.01</v>
      </c>
      <c r="N1996">
        <v>0.01</v>
      </c>
      <c r="O1996">
        <v>1.97</v>
      </c>
    </row>
    <row r="1997" spans="1:15">
      <c r="A1997" t="str">
        <f>"300545"</f>
        <v>300545</v>
      </c>
      <c r="B1997" t="s">
        <v>2035</v>
      </c>
      <c r="C1997">
        <v>-1.65</v>
      </c>
      <c r="D1997">
        <v>37.56</v>
      </c>
      <c r="E1997" t="s">
        <v>16</v>
      </c>
      <c r="F1997" t="s">
        <v>16</v>
      </c>
      <c r="H1997">
        <v>-0.1</v>
      </c>
      <c r="I1997">
        <v>9.89</v>
      </c>
      <c r="J1997">
        <v>-1.68</v>
      </c>
      <c r="L1997">
        <v>-1.02</v>
      </c>
      <c r="M1997">
        <v>244.94</v>
      </c>
      <c r="N1997">
        <v>0.07</v>
      </c>
      <c r="O1997">
        <v>1.73</v>
      </c>
    </row>
    <row r="1998" spans="1:15">
      <c r="A1998" t="str">
        <f>"300546"</f>
        <v>300546</v>
      </c>
      <c r="B1998" t="s">
        <v>2036</v>
      </c>
      <c r="C1998">
        <v>-1.99</v>
      </c>
      <c r="D1998">
        <v>16.27</v>
      </c>
      <c r="E1998" t="s">
        <v>16</v>
      </c>
      <c r="F1998" t="s">
        <v>16</v>
      </c>
      <c r="H1998">
        <v>0</v>
      </c>
      <c r="I1998">
        <v>-2.87</v>
      </c>
      <c r="J1998">
        <v>-2.22</v>
      </c>
      <c r="L1998">
        <v>-0.84</v>
      </c>
      <c r="M1998">
        <v>22.88</v>
      </c>
      <c r="N1998">
        <v>0.01</v>
      </c>
      <c r="O1998">
        <v>7.32</v>
      </c>
    </row>
    <row r="1999" spans="1:15">
      <c r="A1999" t="str">
        <f>"300547"</f>
        <v>300547</v>
      </c>
      <c r="B1999" t="s">
        <v>2037</v>
      </c>
      <c r="C1999">
        <v>-2.09</v>
      </c>
      <c r="D1999">
        <v>34.75</v>
      </c>
      <c r="E1999" t="s">
        <v>16</v>
      </c>
      <c r="F1999" t="s">
        <v>16</v>
      </c>
      <c r="H1999">
        <v>0.06</v>
      </c>
      <c r="I1999">
        <v>-1.19</v>
      </c>
      <c r="J1999">
        <v>-3.39</v>
      </c>
      <c r="L1999">
        <v>-0.9</v>
      </c>
      <c r="M1999">
        <v>32</v>
      </c>
      <c r="N1999">
        <v>0.01</v>
      </c>
      <c r="O1999">
        <v>0.11</v>
      </c>
    </row>
    <row r="2000" spans="1:15">
      <c r="A2000" t="str">
        <f>"300548"</f>
        <v>300548</v>
      </c>
      <c r="B2000" t="s">
        <v>2038</v>
      </c>
      <c r="C2000">
        <v>4.49</v>
      </c>
      <c r="D2000">
        <v>281.99</v>
      </c>
      <c r="E2000" t="s">
        <v>16</v>
      </c>
      <c r="F2000" t="s">
        <v>16</v>
      </c>
      <c r="H2000">
        <v>-0.04</v>
      </c>
      <c r="I2000">
        <v>22.6</v>
      </c>
      <c r="J2000">
        <v>-1.81</v>
      </c>
      <c r="K2000" t="s">
        <v>57</v>
      </c>
      <c r="L2000">
        <v>-1.33</v>
      </c>
      <c r="M2000">
        <v>2987.89</v>
      </c>
      <c r="N2000">
        <v>0.05</v>
      </c>
      <c r="O2000">
        <v>0.66</v>
      </c>
    </row>
    <row r="2001" spans="1:15">
      <c r="A2001" t="str">
        <f>"300549"</f>
        <v>300549</v>
      </c>
      <c r="B2001" t="s">
        <v>2039</v>
      </c>
      <c r="C2001">
        <v>0.42</v>
      </c>
      <c r="D2001">
        <v>14.34</v>
      </c>
      <c r="E2001" t="s">
        <v>16</v>
      </c>
      <c r="F2001" t="s">
        <v>16</v>
      </c>
      <c r="H2001">
        <v>-0.2</v>
      </c>
      <c r="I2001">
        <v>-4.4</v>
      </c>
      <c r="J2001">
        <v>-0.55</v>
      </c>
      <c r="L2001">
        <v>-0.84</v>
      </c>
      <c r="M2001">
        <v>10.48</v>
      </c>
      <c r="N2001">
        <v>0.01</v>
      </c>
      <c r="O2001">
        <v>1.4</v>
      </c>
    </row>
    <row r="2002" spans="1:15">
      <c r="A2002" t="str">
        <f>"300550"</f>
        <v>300550</v>
      </c>
      <c r="B2002" t="s">
        <v>2040</v>
      </c>
      <c r="C2002">
        <v>1.36</v>
      </c>
      <c r="D2002">
        <v>14.95</v>
      </c>
      <c r="E2002" t="s">
        <v>16</v>
      </c>
      <c r="F2002" t="s">
        <v>16</v>
      </c>
      <c r="H2002">
        <v>0.4</v>
      </c>
      <c r="I2002">
        <v>10.99</v>
      </c>
      <c r="J2002">
        <v>-0.47</v>
      </c>
      <c r="L2002">
        <v>-1.08</v>
      </c>
      <c r="M2002">
        <v>18.82</v>
      </c>
      <c r="N2002">
        <v>0.01</v>
      </c>
      <c r="O2002">
        <v>0.7</v>
      </c>
    </row>
    <row r="2003" spans="1:15">
      <c r="A2003" t="str">
        <f>"300551"</f>
        <v>300551</v>
      </c>
      <c r="B2003" t="s">
        <v>2041</v>
      </c>
      <c r="C2003">
        <v>-1.69</v>
      </c>
      <c r="D2003">
        <v>11.06</v>
      </c>
      <c r="E2003" t="s">
        <v>16</v>
      </c>
      <c r="F2003" t="s">
        <v>16</v>
      </c>
      <c r="H2003">
        <v>-0.08</v>
      </c>
      <c r="I2003">
        <v>-1.95</v>
      </c>
      <c r="J2003">
        <v>-3.32</v>
      </c>
      <c r="L2003">
        <v>-0.36</v>
      </c>
      <c r="M2003">
        <v>12.44</v>
      </c>
      <c r="N2003">
        <v>0</v>
      </c>
      <c r="O2003">
        <v>0.46</v>
      </c>
    </row>
    <row r="2004" spans="1:15">
      <c r="A2004" t="str">
        <f>"300552"</f>
        <v>300552</v>
      </c>
      <c r="B2004" t="s">
        <v>2042</v>
      </c>
      <c r="C2004">
        <v>-1.04</v>
      </c>
      <c r="D2004">
        <v>26.55</v>
      </c>
      <c r="E2004" t="s">
        <v>16</v>
      </c>
      <c r="F2004" t="s">
        <v>16</v>
      </c>
      <c r="H2004">
        <v>-0.25</v>
      </c>
      <c r="I2004">
        <v>-0.26</v>
      </c>
      <c r="J2004">
        <v>-1.48</v>
      </c>
      <c r="L2004">
        <v>-0.37</v>
      </c>
      <c r="M2004">
        <v>9.89</v>
      </c>
      <c r="N2004">
        <v>0</v>
      </c>
      <c r="O2004">
        <v>0.18</v>
      </c>
    </row>
    <row r="2005" spans="1:15">
      <c r="A2005" t="str">
        <f>"300553"</f>
        <v>300553</v>
      </c>
      <c r="B2005" t="s">
        <v>2043</v>
      </c>
      <c r="C2005">
        <v>10.68</v>
      </c>
      <c r="D2005">
        <v>77.6</v>
      </c>
      <c r="E2005" t="s">
        <v>16</v>
      </c>
      <c r="F2005" t="s">
        <v>16</v>
      </c>
      <c r="H2005">
        <v>-0.32</v>
      </c>
      <c r="I2005">
        <v>10.81</v>
      </c>
      <c r="J2005">
        <v>-2.5</v>
      </c>
      <c r="L2005">
        <v>1.8</v>
      </c>
      <c r="M2005">
        <v>256.93</v>
      </c>
      <c r="N2005">
        <v>0.05</v>
      </c>
      <c r="O2005">
        <v>2.93</v>
      </c>
    </row>
    <row r="2006" spans="1:15">
      <c r="A2006" t="str">
        <f>"300554"</f>
        <v>300554</v>
      </c>
      <c r="B2006" t="s">
        <v>2044</v>
      </c>
      <c r="C2006">
        <v>4.2</v>
      </c>
      <c r="D2006">
        <v>31.76</v>
      </c>
      <c r="E2006" t="s">
        <v>16</v>
      </c>
      <c r="F2006" t="s">
        <v>16</v>
      </c>
      <c r="H2006">
        <v>-0.05</v>
      </c>
      <c r="I2006">
        <v>8.73</v>
      </c>
      <c r="J2006">
        <v>-1.18</v>
      </c>
      <c r="L2006">
        <v>-1.54</v>
      </c>
      <c r="M2006">
        <v>154.55</v>
      </c>
      <c r="N2006">
        <v>0.07</v>
      </c>
      <c r="O2006">
        <v>1.89</v>
      </c>
    </row>
    <row r="2007" spans="1:15">
      <c r="A2007" t="str">
        <f>"300555"</f>
        <v>300555</v>
      </c>
      <c r="B2007" t="s">
        <v>2045</v>
      </c>
      <c r="C2007">
        <v>-0.79</v>
      </c>
      <c r="D2007">
        <v>13.76</v>
      </c>
      <c r="E2007" t="s">
        <v>16</v>
      </c>
      <c r="F2007" t="s">
        <v>16</v>
      </c>
      <c r="H2007">
        <v>0.15</v>
      </c>
      <c r="I2007">
        <v>8.18</v>
      </c>
      <c r="J2007">
        <v>-3.91</v>
      </c>
      <c r="L2007">
        <v>0</v>
      </c>
      <c r="M2007">
        <v>24.97</v>
      </c>
      <c r="N2007">
        <v>0.01</v>
      </c>
      <c r="O2007" t="s">
        <v>16</v>
      </c>
    </row>
    <row r="2008" spans="1:15">
      <c r="A2008" t="str">
        <f>"300556"</f>
        <v>300556</v>
      </c>
      <c r="B2008" t="s">
        <v>2046</v>
      </c>
      <c r="C2008">
        <v>-1.08</v>
      </c>
      <c r="D2008">
        <v>19.27</v>
      </c>
      <c r="E2008" t="s">
        <v>16</v>
      </c>
      <c r="F2008" t="s">
        <v>16</v>
      </c>
      <c r="H2008">
        <v>-0.04</v>
      </c>
      <c r="I2008">
        <v>7.12</v>
      </c>
      <c r="J2008">
        <v>-3.51</v>
      </c>
      <c r="L2008">
        <v>-1.54</v>
      </c>
      <c r="M2008">
        <v>64.06</v>
      </c>
      <c r="N2008">
        <v>0.03</v>
      </c>
      <c r="O2008">
        <v>0.96</v>
      </c>
    </row>
    <row r="2009" spans="1:15">
      <c r="A2009" t="str">
        <f>"300557"</f>
        <v>300557</v>
      </c>
      <c r="B2009" t="s">
        <v>2047</v>
      </c>
      <c r="C2009">
        <v>5.86</v>
      </c>
      <c r="D2009">
        <v>32.87</v>
      </c>
      <c r="E2009" t="s">
        <v>16</v>
      </c>
      <c r="F2009" t="s">
        <v>16</v>
      </c>
      <c r="H2009">
        <v>-0.23</v>
      </c>
      <c r="I2009">
        <v>13.82</v>
      </c>
      <c r="J2009">
        <v>-1.44</v>
      </c>
      <c r="L2009">
        <v>-0.55</v>
      </c>
      <c r="M2009">
        <v>143.96</v>
      </c>
      <c r="N2009">
        <v>0.06</v>
      </c>
      <c r="O2009">
        <v>1.27</v>
      </c>
    </row>
    <row r="2010" spans="1:15">
      <c r="A2010" t="str">
        <f>"300558"</f>
        <v>300558</v>
      </c>
      <c r="B2010" t="s">
        <v>2048</v>
      </c>
      <c r="C2010">
        <v>8.33</v>
      </c>
      <c r="D2010">
        <v>54.98</v>
      </c>
      <c r="E2010" t="s">
        <v>16</v>
      </c>
      <c r="F2010" t="s">
        <v>16</v>
      </c>
      <c r="H2010">
        <v>-0.01</v>
      </c>
      <c r="I2010">
        <v>14.71</v>
      </c>
      <c r="J2010">
        <v>-3.76</v>
      </c>
      <c r="L2010">
        <v>-1.5</v>
      </c>
      <c r="M2010">
        <v>514.9</v>
      </c>
      <c r="N2010">
        <v>0.04</v>
      </c>
      <c r="O2010">
        <v>0.55</v>
      </c>
    </row>
    <row r="2011" spans="1:15">
      <c r="A2011" t="str">
        <f>"300559"</f>
        <v>300559</v>
      </c>
      <c r="B2011" t="s">
        <v>2049</v>
      </c>
      <c r="C2011">
        <v>2.1</v>
      </c>
      <c r="D2011">
        <v>11.19</v>
      </c>
      <c r="E2011" t="s">
        <v>16</v>
      </c>
      <c r="F2011" t="s">
        <v>16</v>
      </c>
      <c r="H2011">
        <v>0</v>
      </c>
      <c r="I2011">
        <v>-3.12</v>
      </c>
      <c r="J2011">
        <v>-0.36</v>
      </c>
      <c r="L2011">
        <v>0</v>
      </c>
      <c r="M2011">
        <v>5.59</v>
      </c>
      <c r="N2011">
        <v>0</v>
      </c>
      <c r="O2011">
        <v>0.63</v>
      </c>
    </row>
    <row r="2012" spans="1:15">
      <c r="A2012" t="str">
        <f>"300560"</f>
        <v>300560</v>
      </c>
      <c r="B2012" t="s">
        <v>2050</v>
      </c>
      <c r="C2012">
        <v>10.49</v>
      </c>
      <c r="D2012">
        <v>18.75</v>
      </c>
      <c r="E2012" t="s">
        <v>16</v>
      </c>
      <c r="F2012" t="s">
        <v>16</v>
      </c>
      <c r="H2012">
        <v>0.11</v>
      </c>
      <c r="I2012">
        <v>4.22</v>
      </c>
      <c r="J2012">
        <v>-0.64</v>
      </c>
      <c r="L2012">
        <v>0.06</v>
      </c>
      <c r="M2012">
        <v>85.75</v>
      </c>
      <c r="N2012">
        <v>0.03</v>
      </c>
      <c r="O2012">
        <v>1.73</v>
      </c>
    </row>
    <row r="2013" spans="1:15">
      <c r="A2013" t="str">
        <f>"300561"</f>
        <v>300561</v>
      </c>
      <c r="B2013" t="s">
        <v>2051</v>
      </c>
      <c r="C2013">
        <v>-3.78</v>
      </c>
      <c r="D2013">
        <v>12.73</v>
      </c>
      <c r="E2013" t="s">
        <v>16</v>
      </c>
      <c r="F2013" t="s">
        <v>16</v>
      </c>
      <c r="H2013">
        <v>-0.07</v>
      </c>
      <c r="I2013">
        <v>-22.66</v>
      </c>
      <c r="J2013">
        <v>-3.78</v>
      </c>
      <c r="L2013">
        <v>-0.6</v>
      </c>
      <c r="M2013">
        <v>42.21</v>
      </c>
      <c r="N2013">
        <v>0.02</v>
      </c>
      <c r="O2013">
        <v>0.32</v>
      </c>
    </row>
    <row r="2014" spans="1:15">
      <c r="A2014" t="str">
        <f>"300562"</f>
        <v>300562</v>
      </c>
      <c r="B2014" t="s">
        <v>2052</v>
      </c>
      <c r="C2014">
        <v>-0.4</v>
      </c>
      <c r="D2014">
        <v>12.45</v>
      </c>
      <c r="E2014" t="s">
        <v>16</v>
      </c>
      <c r="F2014" t="s">
        <v>16</v>
      </c>
      <c r="H2014">
        <v>-0.31</v>
      </c>
      <c r="I2014">
        <v>5.15</v>
      </c>
      <c r="J2014">
        <v>-1.43</v>
      </c>
      <c r="L2014">
        <v>-0.56</v>
      </c>
      <c r="M2014">
        <v>42.14</v>
      </c>
      <c r="N2014">
        <v>0.02</v>
      </c>
      <c r="O2014">
        <v>0.2</v>
      </c>
    </row>
    <row r="2015" spans="1:15">
      <c r="A2015" t="str">
        <f>"300563"</f>
        <v>300563</v>
      </c>
      <c r="B2015" t="s">
        <v>2053</v>
      </c>
      <c r="C2015">
        <v>0.27</v>
      </c>
      <c r="D2015">
        <v>29.22</v>
      </c>
      <c r="E2015" t="s">
        <v>16</v>
      </c>
      <c r="F2015" t="s">
        <v>16</v>
      </c>
      <c r="H2015">
        <v>0</v>
      </c>
      <c r="I2015">
        <v>-3.72</v>
      </c>
      <c r="J2015">
        <v>-1.25</v>
      </c>
      <c r="L2015">
        <v>0.31</v>
      </c>
      <c r="M2015">
        <v>2.05</v>
      </c>
      <c r="N2015">
        <v>0</v>
      </c>
      <c r="O2015">
        <v>0.06</v>
      </c>
    </row>
    <row r="2016" spans="1:15">
      <c r="A2016" t="str">
        <f>"300564"</f>
        <v>300564</v>
      </c>
      <c r="B2016" t="s">
        <v>2054</v>
      </c>
      <c r="C2016">
        <v>-3.09</v>
      </c>
      <c r="D2016">
        <v>12.22</v>
      </c>
      <c r="E2016" t="s">
        <v>16</v>
      </c>
      <c r="F2016" t="s">
        <v>16</v>
      </c>
      <c r="H2016">
        <v>-0.07</v>
      </c>
      <c r="I2016">
        <v>-9.14</v>
      </c>
      <c r="J2016">
        <v>-3.48</v>
      </c>
      <c r="L2016">
        <v>-0.95</v>
      </c>
      <c r="M2016">
        <v>13.24</v>
      </c>
      <c r="N2016">
        <v>0.02</v>
      </c>
      <c r="O2016">
        <v>0.5</v>
      </c>
    </row>
    <row r="2017" spans="1:15">
      <c r="A2017" t="str">
        <f>"300565"</f>
        <v>300565</v>
      </c>
      <c r="B2017" t="s">
        <v>2055</v>
      </c>
      <c r="C2017">
        <v>-3.23</v>
      </c>
      <c r="D2017">
        <v>12</v>
      </c>
      <c r="E2017" t="s">
        <v>16</v>
      </c>
      <c r="F2017" t="s">
        <v>16</v>
      </c>
      <c r="H2017">
        <v>-0.07</v>
      </c>
      <c r="I2017">
        <v>-7.69</v>
      </c>
      <c r="J2017">
        <v>-3.77</v>
      </c>
      <c r="L2017">
        <v>0</v>
      </c>
      <c r="M2017">
        <v>41.42</v>
      </c>
      <c r="N2017">
        <v>0.02</v>
      </c>
      <c r="O2017">
        <v>0.52</v>
      </c>
    </row>
    <row r="2018" spans="1:15">
      <c r="A2018" t="str">
        <f>"300566"</f>
        <v>300566</v>
      </c>
      <c r="B2018" t="s">
        <v>2056</v>
      </c>
      <c r="C2018">
        <v>-1.97</v>
      </c>
      <c r="D2018">
        <v>34.41</v>
      </c>
      <c r="E2018" t="s">
        <v>16</v>
      </c>
      <c r="F2018" t="s">
        <v>16</v>
      </c>
      <c r="H2018">
        <v>-0.05</v>
      </c>
      <c r="I2018">
        <v>28.59</v>
      </c>
      <c r="J2018">
        <v>-1.01</v>
      </c>
      <c r="L2018">
        <v>-2.48</v>
      </c>
      <c r="M2018">
        <v>961.52</v>
      </c>
      <c r="N2018">
        <v>0.14</v>
      </c>
      <c r="O2018">
        <v>0.46</v>
      </c>
    </row>
    <row r="2019" spans="1:15">
      <c r="A2019" t="str">
        <f>"300567"</f>
        <v>300567</v>
      </c>
      <c r="B2019" t="s">
        <v>2057</v>
      </c>
      <c r="C2019">
        <v>-0.88</v>
      </c>
      <c r="D2019">
        <v>213.86</v>
      </c>
      <c r="E2019" t="s">
        <v>16</v>
      </c>
      <c r="F2019" t="s">
        <v>16</v>
      </c>
      <c r="H2019">
        <v>-0.01</v>
      </c>
      <c r="I2019">
        <v>4.94</v>
      </c>
      <c r="J2019">
        <v>-2.06</v>
      </c>
      <c r="L2019">
        <v>-1.93</v>
      </c>
      <c r="M2019">
        <v>1635.59</v>
      </c>
      <c r="N2019">
        <v>0.04</v>
      </c>
      <c r="O2019">
        <v>2.57</v>
      </c>
    </row>
    <row r="2020" spans="1:15">
      <c r="A2020" t="str">
        <f>"300568"</f>
        <v>300568</v>
      </c>
      <c r="B2020" t="s">
        <v>2058</v>
      </c>
      <c r="C2020">
        <v>-0.59</v>
      </c>
      <c r="D2020">
        <v>20.18</v>
      </c>
      <c r="E2020" t="s">
        <v>16</v>
      </c>
      <c r="F2020" t="s">
        <v>16</v>
      </c>
      <c r="H2020">
        <v>0.05</v>
      </c>
      <c r="I2020">
        <v>29.53</v>
      </c>
      <c r="J2020">
        <v>-1.75</v>
      </c>
      <c r="L2020">
        <v>-1.13</v>
      </c>
      <c r="M2020">
        <v>1100.04</v>
      </c>
      <c r="N2020">
        <v>0.05</v>
      </c>
      <c r="O2020">
        <v>1.06</v>
      </c>
    </row>
    <row r="2021" spans="1:15">
      <c r="A2021" t="str">
        <f>"300569"</f>
        <v>300569</v>
      </c>
      <c r="B2021" t="s">
        <v>2059</v>
      </c>
      <c r="C2021">
        <v>-2.43</v>
      </c>
      <c r="D2021">
        <v>4.81</v>
      </c>
      <c r="E2021" t="s">
        <v>16</v>
      </c>
      <c r="F2021" t="s">
        <v>16</v>
      </c>
      <c r="H2021">
        <v>0</v>
      </c>
      <c r="I2021">
        <v>-6.96</v>
      </c>
      <c r="J2021">
        <v>-1.84</v>
      </c>
      <c r="L2021">
        <v>-0.61</v>
      </c>
      <c r="M2021">
        <v>5.68</v>
      </c>
      <c r="N2021">
        <v>0</v>
      </c>
      <c r="O2021">
        <v>0.58</v>
      </c>
    </row>
    <row r="2022" spans="1:15">
      <c r="A2022" t="str">
        <f>"300570"</f>
        <v>300570</v>
      </c>
      <c r="B2022" t="s">
        <v>2060</v>
      </c>
      <c r="C2022">
        <v>0.98</v>
      </c>
      <c r="D2022">
        <v>268.6</v>
      </c>
      <c r="E2022" t="s">
        <v>16</v>
      </c>
      <c r="F2022" t="s">
        <v>16</v>
      </c>
      <c r="H2022">
        <v>0.09</v>
      </c>
      <c r="I2022">
        <v>56.46</v>
      </c>
      <c r="J2022">
        <v>-0.16</v>
      </c>
      <c r="K2022" t="s">
        <v>57</v>
      </c>
      <c r="L2022">
        <v>-0.37</v>
      </c>
      <c r="M2022">
        <v>5151.73</v>
      </c>
      <c r="N2022">
        <v>0.13</v>
      </c>
      <c r="O2022">
        <v>0.24</v>
      </c>
    </row>
    <row r="2023" spans="1:15">
      <c r="A2023" t="str">
        <f>"300571"</f>
        <v>300571</v>
      </c>
      <c r="B2023" t="s">
        <v>2061</v>
      </c>
      <c r="C2023">
        <v>5.42</v>
      </c>
      <c r="D2023">
        <v>46.1</v>
      </c>
      <c r="E2023" t="s">
        <v>16</v>
      </c>
      <c r="F2023" t="s">
        <v>16</v>
      </c>
      <c r="H2023">
        <v>0.48</v>
      </c>
      <c r="I2023">
        <v>0.48</v>
      </c>
      <c r="J2023">
        <v>-2.87</v>
      </c>
      <c r="L2023">
        <v>2.68</v>
      </c>
      <c r="M2023">
        <v>1409.41</v>
      </c>
      <c r="N2023">
        <v>0.35</v>
      </c>
      <c r="O2023">
        <v>4.05</v>
      </c>
    </row>
    <row r="2024" spans="1:15">
      <c r="A2024" t="str">
        <f>"300572"</f>
        <v>300572</v>
      </c>
      <c r="B2024" t="s">
        <v>2062</v>
      </c>
      <c r="C2024">
        <v>-0.63</v>
      </c>
      <c r="D2024">
        <v>26.82</v>
      </c>
      <c r="E2024" t="s">
        <v>16</v>
      </c>
      <c r="F2024" t="s">
        <v>16</v>
      </c>
      <c r="H2024">
        <v>0.04</v>
      </c>
      <c r="I2024">
        <v>-2.86</v>
      </c>
      <c r="J2024">
        <v>-1.54</v>
      </c>
      <c r="L2024">
        <v>-0.7</v>
      </c>
      <c r="M2024">
        <v>15.28</v>
      </c>
      <c r="N2024">
        <v>0</v>
      </c>
      <c r="O2024">
        <v>3</v>
      </c>
    </row>
    <row r="2025" spans="1:15">
      <c r="A2025" t="str">
        <f>"300573"</f>
        <v>300573</v>
      </c>
      <c r="B2025" t="s">
        <v>2063</v>
      </c>
      <c r="C2025">
        <v>-1.01</v>
      </c>
      <c r="D2025">
        <v>36.44</v>
      </c>
      <c r="E2025" t="s">
        <v>16</v>
      </c>
      <c r="F2025" t="s">
        <v>16</v>
      </c>
      <c r="H2025">
        <v>-0.07</v>
      </c>
      <c r="I2025">
        <v>-0.68</v>
      </c>
      <c r="J2025">
        <v>-2.04</v>
      </c>
      <c r="L2025">
        <v>-0.79</v>
      </c>
      <c r="M2025">
        <v>27.76</v>
      </c>
      <c r="N2025">
        <v>0</v>
      </c>
      <c r="O2025">
        <v>0.44</v>
      </c>
    </row>
    <row r="2026" spans="1:15">
      <c r="A2026" t="str">
        <f>"300575"</f>
        <v>300575</v>
      </c>
      <c r="B2026" t="s">
        <v>2064</v>
      </c>
      <c r="C2026">
        <v>-2.05</v>
      </c>
      <c r="D2026">
        <v>5.25</v>
      </c>
      <c r="E2026" t="s">
        <v>16</v>
      </c>
      <c r="F2026" t="s">
        <v>16</v>
      </c>
      <c r="H2026">
        <v>-0.18</v>
      </c>
      <c r="I2026">
        <v>-8.54</v>
      </c>
      <c r="J2026">
        <v>-2.78</v>
      </c>
      <c r="L2026">
        <v>-0.56</v>
      </c>
      <c r="M2026">
        <v>23.08</v>
      </c>
      <c r="N2026">
        <v>0.01</v>
      </c>
      <c r="O2026">
        <v>0.59</v>
      </c>
    </row>
    <row r="2027" spans="1:15">
      <c r="A2027" t="str">
        <f>"300576"</f>
        <v>300576</v>
      </c>
      <c r="B2027" t="s">
        <v>2065</v>
      </c>
      <c r="C2027">
        <v>-2.83</v>
      </c>
      <c r="D2027">
        <v>49.77</v>
      </c>
      <c r="E2027" t="s">
        <v>16</v>
      </c>
      <c r="F2027" t="s">
        <v>16</v>
      </c>
      <c r="H2027">
        <v>0</v>
      </c>
      <c r="I2027">
        <v>32.47</v>
      </c>
      <c r="J2027">
        <v>-2.83</v>
      </c>
      <c r="L2027">
        <v>-1.13</v>
      </c>
      <c r="M2027">
        <v>675.94</v>
      </c>
      <c r="N2027">
        <v>0.06</v>
      </c>
      <c r="O2027">
        <v>0.55</v>
      </c>
    </row>
    <row r="2028" spans="1:15">
      <c r="A2028" t="str">
        <f>"300577"</f>
        <v>300577</v>
      </c>
      <c r="B2028" t="s">
        <v>2066</v>
      </c>
      <c r="C2028">
        <v>-1.62</v>
      </c>
      <c r="D2028">
        <v>15.2</v>
      </c>
      <c r="E2028" t="s">
        <v>16</v>
      </c>
      <c r="F2028" t="s">
        <v>16</v>
      </c>
      <c r="H2028">
        <v>-0.06</v>
      </c>
      <c r="I2028">
        <v>-6.29</v>
      </c>
      <c r="J2028">
        <v>-1.3</v>
      </c>
      <c r="L2028">
        <v>-0.39</v>
      </c>
      <c r="M2028">
        <v>1.39</v>
      </c>
      <c r="N2028">
        <v>0</v>
      </c>
      <c r="O2028">
        <v>0.23</v>
      </c>
    </row>
    <row r="2029" spans="1:15">
      <c r="A2029" t="str">
        <f>"300578"</f>
        <v>300578</v>
      </c>
      <c r="B2029" t="s">
        <v>2067</v>
      </c>
      <c r="C2029">
        <v>7.01</v>
      </c>
      <c r="D2029">
        <v>20.9</v>
      </c>
      <c r="E2029" t="s">
        <v>16</v>
      </c>
      <c r="F2029" t="s">
        <v>16</v>
      </c>
      <c r="H2029">
        <v>0.19</v>
      </c>
      <c r="I2029">
        <v>13.16</v>
      </c>
      <c r="J2029">
        <v>-2.7</v>
      </c>
      <c r="L2029">
        <v>0</v>
      </c>
      <c r="M2029">
        <v>51.95</v>
      </c>
      <c r="N2029">
        <v>0.02</v>
      </c>
      <c r="O2029">
        <v>0.39</v>
      </c>
    </row>
    <row r="2030" spans="1:15">
      <c r="A2030" t="str">
        <f>"300579"</f>
        <v>300579</v>
      </c>
      <c r="B2030" t="s">
        <v>2068</v>
      </c>
      <c r="C2030">
        <v>2.82</v>
      </c>
      <c r="D2030">
        <v>22.63</v>
      </c>
      <c r="E2030" t="s">
        <v>16</v>
      </c>
      <c r="F2030" t="s">
        <v>16</v>
      </c>
      <c r="H2030">
        <v>-0.39</v>
      </c>
      <c r="I2030">
        <v>1.03</v>
      </c>
      <c r="J2030">
        <v>-2.54</v>
      </c>
      <c r="L2030">
        <v>0.64</v>
      </c>
      <c r="M2030">
        <v>43.86</v>
      </c>
      <c r="N2030">
        <v>0.02</v>
      </c>
      <c r="O2030">
        <v>4.6</v>
      </c>
    </row>
    <row r="2031" spans="1:15">
      <c r="A2031" t="str">
        <f>"300580"</f>
        <v>300580</v>
      </c>
      <c r="B2031" t="s">
        <v>2069</v>
      </c>
      <c r="C2031">
        <v>-0.78</v>
      </c>
      <c r="D2031">
        <v>22.76</v>
      </c>
      <c r="E2031" t="s">
        <v>16</v>
      </c>
      <c r="F2031" t="s">
        <v>16</v>
      </c>
      <c r="H2031">
        <v>-0.08</v>
      </c>
      <c r="I2031">
        <v>0.75</v>
      </c>
      <c r="J2031">
        <v>-1.98</v>
      </c>
      <c r="L2031">
        <v>-0.39</v>
      </c>
      <c r="M2031">
        <v>9.6</v>
      </c>
      <c r="N2031">
        <v>0</v>
      </c>
      <c r="O2031">
        <v>0.1</v>
      </c>
    </row>
    <row r="2032" spans="1:15">
      <c r="A2032" t="str">
        <f>"300581"</f>
        <v>300581</v>
      </c>
      <c r="B2032" t="s">
        <v>2070</v>
      </c>
      <c r="C2032">
        <v>-3.24</v>
      </c>
      <c r="D2032">
        <v>11.94</v>
      </c>
      <c r="E2032" t="s">
        <v>16</v>
      </c>
      <c r="F2032" t="s">
        <v>16</v>
      </c>
      <c r="H2032">
        <v>0</v>
      </c>
      <c r="I2032">
        <v>12.85</v>
      </c>
      <c r="J2032">
        <v>-2.93</v>
      </c>
      <c r="L2032">
        <v>-1.3</v>
      </c>
      <c r="M2032">
        <v>179.41</v>
      </c>
      <c r="N2032">
        <v>0.05</v>
      </c>
      <c r="O2032">
        <v>0.59</v>
      </c>
    </row>
    <row r="2033" spans="1:15">
      <c r="A2033" t="str">
        <f>"300582"</f>
        <v>300582</v>
      </c>
      <c r="B2033" t="s">
        <v>2071</v>
      </c>
      <c r="C2033">
        <v>-4.08</v>
      </c>
      <c r="D2033">
        <v>14.34</v>
      </c>
      <c r="E2033" t="s">
        <v>16</v>
      </c>
      <c r="F2033" t="s">
        <v>16</v>
      </c>
      <c r="H2033">
        <v>-0.06</v>
      </c>
      <c r="I2033">
        <v>-0.07</v>
      </c>
      <c r="J2033">
        <v>-4.02</v>
      </c>
      <c r="L2033">
        <v>-0.4</v>
      </c>
      <c r="M2033">
        <v>6.25</v>
      </c>
      <c r="N2033">
        <v>0</v>
      </c>
      <c r="O2033">
        <v>0.11</v>
      </c>
    </row>
    <row r="2034" spans="1:15">
      <c r="A2034" t="str">
        <f>"300583"</f>
        <v>300583</v>
      </c>
      <c r="B2034" t="s">
        <v>2072</v>
      </c>
      <c r="C2034">
        <v>-0.43</v>
      </c>
      <c r="D2034">
        <v>11.46</v>
      </c>
      <c r="E2034" t="s">
        <v>16</v>
      </c>
      <c r="F2034" t="s">
        <v>16</v>
      </c>
      <c r="H2034">
        <v>-0.08</v>
      </c>
      <c r="I2034">
        <v>-6.75</v>
      </c>
      <c r="J2034">
        <v>-1.72</v>
      </c>
      <c r="L2034">
        <v>-1.04</v>
      </c>
      <c r="M2034">
        <v>27.34</v>
      </c>
      <c r="N2034">
        <v>0.02</v>
      </c>
      <c r="O2034">
        <v>2</v>
      </c>
    </row>
    <row r="2035" spans="1:15">
      <c r="A2035" t="str">
        <f>"300584"</f>
        <v>300584</v>
      </c>
      <c r="B2035" t="s">
        <v>2073</v>
      </c>
      <c r="C2035">
        <v>7.27</v>
      </c>
      <c r="D2035">
        <v>41</v>
      </c>
      <c r="E2035" t="s">
        <v>16</v>
      </c>
      <c r="F2035" t="s">
        <v>16</v>
      </c>
      <c r="H2035">
        <v>0.15</v>
      </c>
      <c r="I2035">
        <v>27.29</v>
      </c>
      <c r="J2035">
        <v>-4.58</v>
      </c>
      <c r="K2035" t="s">
        <v>54</v>
      </c>
      <c r="L2035">
        <v>0.73</v>
      </c>
      <c r="M2035">
        <v>1447.6</v>
      </c>
      <c r="N2035">
        <v>0.65</v>
      </c>
      <c r="O2035">
        <v>63.73</v>
      </c>
    </row>
    <row r="2036" spans="1:15">
      <c r="A2036" t="str">
        <f>"300585"</f>
        <v>300585</v>
      </c>
      <c r="B2036" t="s">
        <v>2074</v>
      </c>
      <c r="C2036">
        <v>0.11</v>
      </c>
      <c r="D2036">
        <v>17.92</v>
      </c>
      <c r="E2036" t="s">
        <v>16</v>
      </c>
      <c r="F2036" t="s">
        <v>16</v>
      </c>
      <c r="H2036">
        <v>-0.05</v>
      </c>
      <c r="I2036">
        <v>-1.75</v>
      </c>
      <c r="J2036">
        <v>-2.4</v>
      </c>
      <c r="L2036">
        <v>-0.06</v>
      </c>
      <c r="M2036">
        <v>6.62</v>
      </c>
      <c r="N2036">
        <v>0</v>
      </c>
      <c r="O2036">
        <v>0.38</v>
      </c>
    </row>
    <row r="2037" spans="1:15">
      <c r="A2037" t="str">
        <f>"300586"</f>
        <v>300586</v>
      </c>
      <c r="B2037" t="s">
        <v>2075</v>
      </c>
      <c r="C2037">
        <v>3.26</v>
      </c>
      <c r="D2037">
        <v>15.2</v>
      </c>
      <c r="E2037" t="s">
        <v>16</v>
      </c>
      <c r="F2037" t="s">
        <v>16</v>
      </c>
      <c r="H2037">
        <v>0</v>
      </c>
      <c r="I2037">
        <v>29.36</v>
      </c>
      <c r="J2037">
        <v>-1.23</v>
      </c>
      <c r="L2037">
        <v>-0.14</v>
      </c>
      <c r="M2037">
        <v>1107.79</v>
      </c>
      <c r="N2037">
        <v>0.19</v>
      </c>
      <c r="O2037">
        <v>1.28</v>
      </c>
    </row>
    <row r="2038" spans="1:15">
      <c r="A2038" t="str">
        <f>"300587"</f>
        <v>300587</v>
      </c>
      <c r="B2038" t="s">
        <v>2076</v>
      </c>
      <c r="C2038">
        <v>-3</v>
      </c>
      <c r="D2038">
        <v>4.52</v>
      </c>
      <c r="E2038" t="s">
        <v>16</v>
      </c>
      <c r="F2038" t="s">
        <v>16</v>
      </c>
      <c r="H2038">
        <v>0.22</v>
      </c>
      <c r="I2038">
        <v>-5.44</v>
      </c>
      <c r="J2038">
        <v>-3</v>
      </c>
      <c r="L2038">
        <v>-1.29</v>
      </c>
      <c r="M2038">
        <v>55.71</v>
      </c>
      <c r="N2038">
        <v>0.01</v>
      </c>
      <c r="O2038">
        <v>1.41</v>
      </c>
    </row>
    <row r="2039" spans="1:15">
      <c r="A2039" t="str">
        <f>"300588"</f>
        <v>300588</v>
      </c>
      <c r="B2039" t="s">
        <v>2077</v>
      </c>
      <c r="C2039">
        <v>9.32</v>
      </c>
      <c r="D2039">
        <v>24.29</v>
      </c>
      <c r="E2039" t="s">
        <v>16</v>
      </c>
      <c r="F2039" t="s">
        <v>16</v>
      </c>
      <c r="H2039">
        <v>0.45</v>
      </c>
      <c r="I2039">
        <v>30.8</v>
      </c>
      <c r="J2039">
        <v>-5.01</v>
      </c>
      <c r="K2039" t="s">
        <v>57</v>
      </c>
      <c r="L2039">
        <v>1.62</v>
      </c>
      <c r="M2039">
        <v>233.25</v>
      </c>
      <c r="N2039">
        <v>0.08</v>
      </c>
      <c r="O2039">
        <v>0.67</v>
      </c>
    </row>
    <row r="2040" spans="1:15">
      <c r="A2040" t="str">
        <f>"300589"</f>
        <v>300589</v>
      </c>
      <c r="B2040" t="s">
        <v>2078</v>
      </c>
      <c r="C2040">
        <v>-3.41</v>
      </c>
      <c r="D2040">
        <v>12.76</v>
      </c>
      <c r="E2040" t="s">
        <v>16</v>
      </c>
      <c r="F2040" t="s">
        <v>16</v>
      </c>
      <c r="H2040">
        <v>0</v>
      </c>
      <c r="I2040">
        <v>-5.06</v>
      </c>
      <c r="J2040">
        <v>-2.07</v>
      </c>
      <c r="L2040">
        <v>-1.59</v>
      </c>
      <c r="M2040">
        <v>158.47</v>
      </c>
      <c r="N2040">
        <v>0.06</v>
      </c>
      <c r="O2040">
        <v>4.22</v>
      </c>
    </row>
    <row r="2041" spans="1:15">
      <c r="A2041" t="str">
        <f>"300590"</f>
        <v>300590</v>
      </c>
      <c r="B2041" t="s">
        <v>2079</v>
      </c>
      <c r="C2041">
        <v>-1.01</v>
      </c>
      <c r="D2041">
        <v>15.61</v>
      </c>
      <c r="E2041" t="s">
        <v>16</v>
      </c>
      <c r="F2041" t="s">
        <v>16</v>
      </c>
      <c r="H2041">
        <v>0.06</v>
      </c>
      <c r="I2041">
        <v>8.78</v>
      </c>
      <c r="J2041">
        <v>-1.51</v>
      </c>
      <c r="L2041">
        <v>-1.14</v>
      </c>
      <c r="M2041">
        <v>94.16</v>
      </c>
      <c r="N2041">
        <v>0.02</v>
      </c>
      <c r="O2041">
        <v>0.82</v>
      </c>
    </row>
    <row r="2042" spans="1:15">
      <c r="A2042" t="str">
        <f>"300591"</f>
        <v>300591</v>
      </c>
      <c r="B2042" t="s">
        <v>2080</v>
      </c>
      <c r="C2042">
        <v>2.64</v>
      </c>
      <c r="D2042">
        <v>7.4</v>
      </c>
      <c r="E2042" t="s">
        <v>16</v>
      </c>
      <c r="F2042" t="s">
        <v>16</v>
      </c>
      <c r="H2042">
        <v>0.14</v>
      </c>
      <c r="I2042">
        <v>-0.67</v>
      </c>
      <c r="J2042">
        <v>-1.2</v>
      </c>
      <c r="L2042">
        <v>-0.69</v>
      </c>
      <c r="M2042">
        <v>13.68</v>
      </c>
      <c r="N2042">
        <v>0.01</v>
      </c>
      <c r="O2042">
        <v>4.78</v>
      </c>
    </row>
    <row r="2043" spans="1:15">
      <c r="A2043" t="str">
        <f>"300592"</f>
        <v>300592</v>
      </c>
      <c r="B2043" t="s">
        <v>2081</v>
      </c>
      <c r="C2043">
        <v>-3.49</v>
      </c>
      <c r="D2043">
        <v>12.16</v>
      </c>
      <c r="E2043" t="s">
        <v>16</v>
      </c>
      <c r="F2043" t="s">
        <v>16</v>
      </c>
      <c r="H2043">
        <v>0.41</v>
      </c>
      <c r="I2043">
        <v>7.42</v>
      </c>
      <c r="J2043">
        <v>-3.03</v>
      </c>
      <c r="L2043">
        <v>-0.71</v>
      </c>
      <c r="M2043">
        <v>47.54</v>
      </c>
      <c r="N2043">
        <v>0.02</v>
      </c>
      <c r="O2043">
        <v>0.73</v>
      </c>
    </row>
    <row r="2044" spans="1:15">
      <c r="A2044" t="str">
        <f>"300593"</f>
        <v>300593</v>
      </c>
      <c r="B2044" t="s">
        <v>2082</v>
      </c>
      <c r="C2044">
        <v>-1.62</v>
      </c>
      <c r="D2044">
        <v>37.05</v>
      </c>
      <c r="E2044" t="s">
        <v>16</v>
      </c>
      <c r="F2044" t="s">
        <v>16</v>
      </c>
      <c r="H2044">
        <v>0.08</v>
      </c>
      <c r="I2044">
        <v>3.12</v>
      </c>
      <c r="J2044">
        <v>-2.19</v>
      </c>
      <c r="L2044">
        <v>0.11</v>
      </c>
      <c r="M2044">
        <v>563.24</v>
      </c>
      <c r="N2044">
        <v>0.04</v>
      </c>
      <c r="O2044">
        <v>0.55</v>
      </c>
    </row>
    <row r="2045" spans="1:15">
      <c r="A2045" t="str">
        <f>"300594"</f>
        <v>300594</v>
      </c>
      <c r="B2045" t="s">
        <v>2083</v>
      </c>
      <c r="C2045">
        <v>-4.54</v>
      </c>
      <c r="D2045">
        <v>14.93</v>
      </c>
      <c r="E2045" t="s">
        <v>16</v>
      </c>
      <c r="F2045" t="s">
        <v>16</v>
      </c>
      <c r="H2045">
        <v>0</v>
      </c>
      <c r="I2045">
        <v>-9.46</v>
      </c>
      <c r="J2045">
        <v>-4.72</v>
      </c>
      <c r="L2045">
        <v>-1.21</v>
      </c>
      <c r="M2045">
        <v>15.6</v>
      </c>
      <c r="N2045">
        <v>0.02</v>
      </c>
      <c r="O2045">
        <v>0.4</v>
      </c>
    </row>
    <row r="2046" spans="1:15">
      <c r="A2046" t="str">
        <f>"300595"</f>
        <v>300595</v>
      </c>
      <c r="B2046" t="s">
        <v>2084</v>
      </c>
      <c r="C2046">
        <v>-1.52</v>
      </c>
      <c r="D2046">
        <v>11.02</v>
      </c>
      <c r="E2046" t="s">
        <v>16</v>
      </c>
      <c r="F2046" t="s">
        <v>16</v>
      </c>
      <c r="H2046">
        <v>-0.17</v>
      </c>
      <c r="I2046">
        <v>-3.76</v>
      </c>
      <c r="J2046">
        <v>-2.3</v>
      </c>
      <c r="L2046">
        <v>0</v>
      </c>
      <c r="M2046">
        <v>8.73</v>
      </c>
      <c r="N2046">
        <v>0</v>
      </c>
      <c r="O2046">
        <v>0.83</v>
      </c>
    </row>
    <row r="2047" spans="1:15">
      <c r="A2047" t="str">
        <f>"300596"</f>
        <v>300596</v>
      </c>
      <c r="B2047" t="s">
        <v>2085</v>
      </c>
      <c r="C2047">
        <v>6.56</v>
      </c>
      <c r="D2047">
        <v>48.55</v>
      </c>
      <c r="E2047" t="s">
        <v>16</v>
      </c>
      <c r="F2047" t="s">
        <v>16</v>
      </c>
      <c r="H2047">
        <v>-0.73</v>
      </c>
      <c r="I2047">
        <v>15.73</v>
      </c>
      <c r="J2047">
        <v>-2.31</v>
      </c>
      <c r="L2047">
        <v>-1.1</v>
      </c>
      <c r="M2047">
        <v>453.3</v>
      </c>
      <c r="N2047">
        <v>0.07</v>
      </c>
      <c r="O2047">
        <v>1.5</v>
      </c>
    </row>
    <row r="2048" spans="1:15">
      <c r="A2048" t="str">
        <f>"300597"</f>
        <v>300597</v>
      </c>
      <c r="B2048" t="s">
        <v>2086</v>
      </c>
      <c r="C2048">
        <v>-1.27</v>
      </c>
      <c r="D2048">
        <v>7.8</v>
      </c>
      <c r="E2048" t="s">
        <v>16</v>
      </c>
      <c r="F2048" t="s">
        <v>16</v>
      </c>
      <c r="H2048">
        <v>0.39</v>
      </c>
      <c r="I2048">
        <v>-5.11</v>
      </c>
      <c r="J2048">
        <v>-1.76</v>
      </c>
      <c r="L2048">
        <v>-0.63</v>
      </c>
      <c r="M2048">
        <v>12.17</v>
      </c>
      <c r="N2048">
        <v>0.01</v>
      </c>
      <c r="O2048">
        <v>1.4</v>
      </c>
    </row>
    <row r="2049" spans="1:15">
      <c r="A2049" t="str">
        <f>"300598"</f>
        <v>300598</v>
      </c>
      <c r="B2049" t="s">
        <v>2087</v>
      </c>
      <c r="C2049">
        <v>-0.49</v>
      </c>
      <c r="D2049">
        <v>30.66</v>
      </c>
      <c r="E2049" t="s">
        <v>16</v>
      </c>
      <c r="F2049" t="s">
        <v>16</v>
      </c>
      <c r="H2049">
        <v>-0.32</v>
      </c>
      <c r="I2049">
        <v>-5.11</v>
      </c>
      <c r="J2049">
        <v>-2.08</v>
      </c>
      <c r="L2049">
        <v>-0.19</v>
      </c>
      <c r="M2049">
        <v>50.12</v>
      </c>
      <c r="N2049">
        <v>0.01</v>
      </c>
      <c r="O2049">
        <v>1.6</v>
      </c>
    </row>
    <row r="2050" spans="1:15">
      <c r="A2050" t="str">
        <f>"300599"</f>
        <v>300599</v>
      </c>
      <c r="B2050" t="s">
        <v>2088</v>
      </c>
      <c r="C2050">
        <v>-0.79</v>
      </c>
      <c r="D2050">
        <v>12.48</v>
      </c>
      <c r="E2050" t="s">
        <v>16</v>
      </c>
      <c r="F2050" t="s">
        <v>16</v>
      </c>
      <c r="H2050">
        <v>1.05</v>
      </c>
      <c r="I2050">
        <v>-5.6</v>
      </c>
      <c r="J2050">
        <v>-0.16</v>
      </c>
      <c r="L2050">
        <v>-1.43</v>
      </c>
      <c r="M2050">
        <v>131.56</v>
      </c>
      <c r="N2050">
        <v>0.07</v>
      </c>
      <c r="O2050">
        <v>1.98</v>
      </c>
    </row>
    <row r="2051" spans="1:15">
      <c r="A2051" t="str">
        <f>"300600"</f>
        <v>300600</v>
      </c>
      <c r="B2051" t="s">
        <v>2089</v>
      </c>
      <c r="C2051">
        <v>-3.25</v>
      </c>
      <c r="D2051">
        <v>10.13</v>
      </c>
      <c r="E2051" t="s">
        <v>16</v>
      </c>
      <c r="F2051" t="s">
        <v>16</v>
      </c>
      <c r="H2051">
        <v>0</v>
      </c>
      <c r="I2051">
        <v>-6.12</v>
      </c>
      <c r="J2051">
        <v>-3.8</v>
      </c>
      <c r="L2051">
        <v>-0.57</v>
      </c>
      <c r="M2051">
        <v>7.81</v>
      </c>
      <c r="N2051">
        <v>0</v>
      </c>
      <c r="O2051">
        <v>37.51</v>
      </c>
    </row>
    <row r="2052" spans="1:15">
      <c r="A2052" t="str">
        <f>"300601"</f>
        <v>300601</v>
      </c>
      <c r="B2052" t="s">
        <v>2090</v>
      </c>
      <c r="C2052">
        <v>-0.17</v>
      </c>
      <c r="D2052">
        <v>11.52</v>
      </c>
      <c r="E2052" t="s">
        <v>16</v>
      </c>
      <c r="F2052" t="s">
        <v>16</v>
      </c>
      <c r="H2052">
        <v>0</v>
      </c>
      <c r="I2052">
        <v>-2.29</v>
      </c>
      <c r="J2052">
        <v>-2.12</v>
      </c>
      <c r="L2052">
        <v>-0.61</v>
      </c>
      <c r="M2052">
        <v>15.83</v>
      </c>
      <c r="N2052">
        <v>0</v>
      </c>
      <c r="O2052">
        <v>0.6</v>
      </c>
    </row>
    <row r="2053" spans="1:15">
      <c r="A2053" t="str">
        <f>"300602"</f>
        <v>300602</v>
      </c>
      <c r="B2053" t="s">
        <v>2091</v>
      </c>
      <c r="C2053">
        <v>0.75</v>
      </c>
      <c r="D2053">
        <v>49.52</v>
      </c>
      <c r="E2053" t="s">
        <v>16</v>
      </c>
      <c r="F2053" t="s">
        <v>16</v>
      </c>
      <c r="H2053">
        <v>0.04</v>
      </c>
      <c r="I2053">
        <v>17.18</v>
      </c>
      <c r="J2053">
        <v>-1.9</v>
      </c>
      <c r="L2053">
        <v>-0.18</v>
      </c>
      <c r="M2053">
        <v>445.46</v>
      </c>
      <c r="N2053">
        <v>0.03</v>
      </c>
      <c r="O2053">
        <v>0.33</v>
      </c>
    </row>
    <row r="2054" spans="1:15">
      <c r="A2054" t="str">
        <f>"300603"</f>
        <v>300603</v>
      </c>
      <c r="B2054" t="s">
        <v>2092</v>
      </c>
      <c r="C2054">
        <v>3.46</v>
      </c>
      <c r="D2054">
        <v>8.66</v>
      </c>
      <c r="E2054" t="s">
        <v>16</v>
      </c>
      <c r="F2054" t="s">
        <v>16</v>
      </c>
      <c r="H2054">
        <v>-0.34</v>
      </c>
      <c r="I2054">
        <v>-3.99</v>
      </c>
      <c r="J2054">
        <v>-3.46</v>
      </c>
      <c r="L2054">
        <v>0.36</v>
      </c>
      <c r="M2054">
        <v>15.79</v>
      </c>
      <c r="N2054">
        <v>0.01</v>
      </c>
      <c r="O2054">
        <v>0.76</v>
      </c>
    </row>
    <row r="2055" spans="1:15">
      <c r="A2055" t="str">
        <f>"300604"</f>
        <v>300604</v>
      </c>
      <c r="B2055" t="s">
        <v>2093</v>
      </c>
      <c r="C2055">
        <v>0.03</v>
      </c>
      <c r="D2055">
        <v>264.1</v>
      </c>
      <c r="E2055" t="s">
        <v>16</v>
      </c>
      <c r="F2055" t="s">
        <v>16</v>
      </c>
      <c r="H2055">
        <v>-0.19</v>
      </c>
      <c r="I2055">
        <v>18.24</v>
      </c>
      <c r="J2055">
        <v>-2.62</v>
      </c>
      <c r="L2055">
        <v>-0.38</v>
      </c>
      <c r="M2055">
        <v>2756.24</v>
      </c>
      <c r="N2055">
        <v>0.02</v>
      </c>
      <c r="O2055">
        <v>1.1</v>
      </c>
    </row>
    <row r="2056" spans="1:15">
      <c r="A2056" t="str">
        <f>"300605"</f>
        <v>300605</v>
      </c>
      <c r="B2056" t="s">
        <v>2094</v>
      </c>
      <c r="C2056">
        <v>-0.69</v>
      </c>
      <c r="D2056">
        <v>10.07</v>
      </c>
      <c r="E2056" t="s">
        <v>16</v>
      </c>
      <c r="F2056" t="s">
        <v>16</v>
      </c>
      <c r="H2056">
        <v>-0.19</v>
      </c>
      <c r="I2056">
        <v>-4.64</v>
      </c>
      <c r="J2056">
        <v>-2.89</v>
      </c>
      <c r="L2056">
        <v>-1.78</v>
      </c>
      <c r="M2056">
        <v>70.62</v>
      </c>
      <c r="N2056">
        <v>0.06</v>
      </c>
      <c r="O2056">
        <v>3.83</v>
      </c>
    </row>
    <row r="2057" spans="1:15">
      <c r="A2057" t="str">
        <f>"300606"</f>
        <v>300606</v>
      </c>
      <c r="B2057" t="s">
        <v>2095</v>
      </c>
      <c r="C2057">
        <v>10.26</v>
      </c>
      <c r="D2057">
        <v>51.59</v>
      </c>
      <c r="E2057" t="s">
        <v>16</v>
      </c>
      <c r="F2057" t="s">
        <v>16</v>
      </c>
      <c r="H2057">
        <v>0.35</v>
      </c>
      <c r="I2057">
        <v>51.02</v>
      </c>
      <c r="J2057">
        <v>-0.56</v>
      </c>
      <c r="L2057">
        <v>-1.47</v>
      </c>
      <c r="M2057">
        <v>127.7</v>
      </c>
      <c r="N2057">
        <v>0.03</v>
      </c>
      <c r="O2057">
        <v>0.97</v>
      </c>
    </row>
    <row r="2058" spans="1:15">
      <c r="A2058" t="str">
        <f>"300607"</f>
        <v>300607</v>
      </c>
      <c r="B2058" t="s">
        <v>2096</v>
      </c>
      <c r="C2058">
        <v>3.33</v>
      </c>
      <c r="D2058">
        <v>38.81</v>
      </c>
      <c r="E2058" t="s">
        <v>16</v>
      </c>
      <c r="F2058" t="s">
        <v>16</v>
      </c>
      <c r="H2058">
        <v>-0.17</v>
      </c>
      <c r="I2058">
        <v>24.67</v>
      </c>
      <c r="J2058">
        <v>-1.7</v>
      </c>
      <c r="L2058">
        <v>-0.29</v>
      </c>
      <c r="M2058">
        <v>594.33</v>
      </c>
      <c r="N2058">
        <v>0.05</v>
      </c>
      <c r="O2058">
        <v>0.82</v>
      </c>
    </row>
    <row r="2059" spans="1:15">
      <c r="A2059" t="str">
        <f>"300608"</f>
        <v>300608</v>
      </c>
      <c r="B2059" t="s">
        <v>2097</v>
      </c>
      <c r="C2059">
        <v>0.84</v>
      </c>
      <c r="D2059">
        <v>12.02</v>
      </c>
      <c r="E2059" t="s">
        <v>16</v>
      </c>
      <c r="F2059" t="s">
        <v>16</v>
      </c>
      <c r="H2059">
        <v>0</v>
      </c>
      <c r="I2059">
        <v>3.26</v>
      </c>
      <c r="J2059">
        <v>-1.15</v>
      </c>
      <c r="L2059">
        <v>-0.67</v>
      </c>
      <c r="M2059">
        <v>40.26</v>
      </c>
      <c r="N2059">
        <v>0.02</v>
      </c>
      <c r="O2059">
        <v>1.21</v>
      </c>
    </row>
    <row r="2060" spans="1:15">
      <c r="A2060" t="str">
        <f>"300609"</f>
        <v>300609</v>
      </c>
      <c r="B2060" t="s">
        <v>2098</v>
      </c>
      <c r="C2060">
        <v>6.64</v>
      </c>
      <c r="D2060">
        <v>33.74</v>
      </c>
      <c r="E2060" t="s">
        <v>16</v>
      </c>
      <c r="F2060" t="s">
        <v>16</v>
      </c>
      <c r="H2060">
        <v>0.09</v>
      </c>
      <c r="I2060">
        <v>-7.61</v>
      </c>
      <c r="J2060">
        <v>-2.34</v>
      </c>
      <c r="L2060">
        <v>-0.03</v>
      </c>
      <c r="M2060">
        <v>0.95</v>
      </c>
      <c r="N2060">
        <v>0</v>
      </c>
      <c r="O2060" t="s">
        <v>16</v>
      </c>
    </row>
    <row r="2061" spans="1:15">
      <c r="A2061" t="str">
        <f>"300610"</f>
        <v>300610</v>
      </c>
      <c r="B2061" t="s">
        <v>2099</v>
      </c>
      <c r="C2061">
        <v>-1.32</v>
      </c>
      <c r="D2061">
        <v>10.44</v>
      </c>
      <c r="E2061" t="s">
        <v>16</v>
      </c>
      <c r="F2061" t="s">
        <v>16</v>
      </c>
      <c r="H2061">
        <v>-0.09</v>
      </c>
      <c r="I2061">
        <v>-1.51</v>
      </c>
      <c r="J2061">
        <v>-1.51</v>
      </c>
      <c r="L2061">
        <v>-1.04</v>
      </c>
      <c r="M2061">
        <v>12.25</v>
      </c>
      <c r="N2061">
        <v>0.01</v>
      </c>
      <c r="O2061">
        <v>0.14</v>
      </c>
    </row>
    <row r="2062" spans="1:15">
      <c r="A2062" t="str">
        <f>"300611"</f>
        <v>300611</v>
      </c>
      <c r="B2062" t="s">
        <v>2100</v>
      </c>
      <c r="C2062">
        <v>0.93</v>
      </c>
      <c r="D2062">
        <v>26.12</v>
      </c>
      <c r="E2062" t="s">
        <v>16</v>
      </c>
      <c r="F2062" t="s">
        <v>16</v>
      </c>
      <c r="H2062">
        <v>-0.49</v>
      </c>
      <c r="I2062">
        <v>0.42</v>
      </c>
      <c r="J2062">
        <v>-1.4</v>
      </c>
      <c r="L2062">
        <v>0.04</v>
      </c>
      <c r="M2062">
        <v>3.62</v>
      </c>
      <c r="N2062">
        <v>0</v>
      </c>
      <c r="O2062">
        <v>0.47</v>
      </c>
    </row>
    <row r="2063" spans="1:15">
      <c r="A2063" t="str">
        <f>"300612"</f>
        <v>300612</v>
      </c>
      <c r="B2063" t="s">
        <v>2101</v>
      </c>
      <c r="C2063">
        <v>0.51</v>
      </c>
      <c r="D2063">
        <v>11.91</v>
      </c>
      <c r="E2063" t="s">
        <v>16</v>
      </c>
      <c r="F2063" t="s">
        <v>16</v>
      </c>
      <c r="H2063">
        <v>0.34</v>
      </c>
      <c r="I2063">
        <v>-4.11</v>
      </c>
      <c r="J2063">
        <v>-1.65</v>
      </c>
      <c r="L2063">
        <v>-0.84</v>
      </c>
      <c r="M2063">
        <v>25.26</v>
      </c>
      <c r="N2063">
        <v>0.01</v>
      </c>
      <c r="O2063">
        <v>2.62</v>
      </c>
    </row>
    <row r="2064" spans="1:15">
      <c r="A2064" t="str">
        <f>"300613"</f>
        <v>300613</v>
      </c>
      <c r="B2064" t="s">
        <v>2102</v>
      </c>
      <c r="C2064">
        <v>0.28</v>
      </c>
      <c r="D2064">
        <v>68.61</v>
      </c>
      <c r="E2064" t="s">
        <v>16</v>
      </c>
      <c r="F2064" t="s">
        <v>16</v>
      </c>
      <c r="H2064">
        <v>-0.03</v>
      </c>
      <c r="I2064">
        <v>15.54</v>
      </c>
      <c r="J2064">
        <v>-1.25</v>
      </c>
      <c r="L2064">
        <v>-0.31</v>
      </c>
      <c r="M2064">
        <v>478.15</v>
      </c>
      <c r="N2064">
        <v>0.06</v>
      </c>
      <c r="O2064">
        <v>0.93</v>
      </c>
    </row>
    <row r="2065" spans="1:15">
      <c r="A2065" t="str">
        <f>"300614"</f>
        <v>300614</v>
      </c>
      <c r="B2065" t="s">
        <v>2103</v>
      </c>
      <c r="C2065">
        <v>-1</v>
      </c>
      <c r="D2065">
        <v>10.89</v>
      </c>
      <c r="E2065" t="s">
        <v>16</v>
      </c>
      <c r="F2065" t="s">
        <v>16</v>
      </c>
      <c r="H2065">
        <v>-0.36</v>
      </c>
      <c r="I2065">
        <v>-2.94</v>
      </c>
      <c r="J2065">
        <v>-2.42</v>
      </c>
      <c r="L2065">
        <v>0.09</v>
      </c>
      <c r="M2065">
        <v>55.71</v>
      </c>
      <c r="N2065">
        <v>0.06</v>
      </c>
      <c r="O2065">
        <v>3.47</v>
      </c>
    </row>
    <row r="2066" spans="1:15">
      <c r="A2066" t="str">
        <f>"300615"</f>
        <v>300615</v>
      </c>
      <c r="B2066" t="s">
        <v>2104</v>
      </c>
      <c r="C2066">
        <v>0.19</v>
      </c>
      <c r="D2066">
        <v>10.81</v>
      </c>
      <c r="E2066" t="s">
        <v>16</v>
      </c>
      <c r="F2066" t="s">
        <v>16</v>
      </c>
      <c r="H2066">
        <v>0.37</v>
      </c>
      <c r="I2066">
        <v>-5.34</v>
      </c>
      <c r="J2066">
        <v>-0.46</v>
      </c>
      <c r="L2066">
        <v>-1.02</v>
      </c>
      <c r="M2066">
        <v>15.49</v>
      </c>
      <c r="N2066">
        <v>0.01</v>
      </c>
      <c r="O2066">
        <v>1.38</v>
      </c>
    </row>
    <row r="2067" spans="1:15">
      <c r="A2067" t="str">
        <f>"300616"</f>
        <v>300616</v>
      </c>
      <c r="B2067" t="s">
        <v>2105</v>
      </c>
      <c r="C2067">
        <v>5.02</v>
      </c>
      <c r="D2067">
        <v>13.4</v>
      </c>
      <c r="E2067" t="s">
        <v>16</v>
      </c>
      <c r="F2067" t="s">
        <v>16</v>
      </c>
      <c r="H2067">
        <v>-0.66</v>
      </c>
      <c r="I2067">
        <v>-0.96</v>
      </c>
      <c r="J2067">
        <v>-3.11</v>
      </c>
      <c r="L2067">
        <v>-0.78</v>
      </c>
      <c r="M2067">
        <v>6.84</v>
      </c>
      <c r="N2067">
        <v>0</v>
      </c>
      <c r="O2067">
        <v>0.21</v>
      </c>
    </row>
    <row r="2068" spans="1:15">
      <c r="A2068" t="str">
        <f>"300617"</f>
        <v>300617</v>
      </c>
      <c r="B2068" t="s">
        <v>2106</v>
      </c>
      <c r="C2068">
        <v>-0.72</v>
      </c>
      <c r="D2068">
        <v>58.28</v>
      </c>
      <c r="E2068" t="s">
        <v>16</v>
      </c>
      <c r="F2068" t="s">
        <v>16</v>
      </c>
      <c r="H2068">
        <v>0.07</v>
      </c>
      <c r="I2068">
        <v>-4.14</v>
      </c>
      <c r="J2068">
        <v>-3.91</v>
      </c>
      <c r="L2068">
        <v>2.04</v>
      </c>
      <c r="M2068">
        <v>301.3</v>
      </c>
      <c r="N2068">
        <v>0.06</v>
      </c>
      <c r="O2068">
        <v>1.59</v>
      </c>
    </row>
    <row r="2069" spans="1:15">
      <c r="A2069" t="str">
        <f>"300618"</f>
        <v>300618</v>
      </c>
      <c r="B2069" t="s">
        <v>2107</v>
      </c>
      <c r="C2069">
        <v>0.1</v>
      </c>
      <c r="D2069">
        <v>38.23</v>
      </c>
      <c r="E2069" t="s">
        <v>16</v>
      </c>
      <c r="F2069" t="s">
        <v>16</v>
      </c>
      <c r="H2069">
        <v>0.13</v>
      </c>
      <c r="I2069">
        <v>3.18</v>
      </c>
      <c r="J2069">
        <v>-1.77</v>
      </c>
      <c r="L2069">
        <v>-0.92</v>
      </c>
      <c r="M2069">
        <v>18.16</v>
      </c>
      <c r="N2069">
        <v>0</v>
      </c>
      <c r="O2069">
        <v>0.21</v>
      </c>
    </row>
    <row r="2070" spans="1:15">
      <c r="A2070" t="str">
        <f>"300619"</f>
        <v>300619</v>
      </c>
      <c r="B2070" t="s">
        <v>2108</v>
      </c>
      <c r="C2070">
        <v>-0.55</v>
      </c>
      <c r="D2070">
        <v>39.44</v>
      </c>
      <c r="E2070" t="s">
        <v>16</v>
      </c>
      <c r="F2070" t="s">
        <v>16</v>
      </c>
      <c r="H2070">
        <v>-0.09</v>
      </c>
      <c r="I2070">
        <v>-2.62</v>
      </c>
      <c r="J2070">
        <v>-1.84</v>
      </c>
      <c r="L2070">
        <v>-0.83</v>
      </c>
      <c r="M2070">
        <v>119.17</v>
      </c>
      <c r="N2070">
        <v>0.03</v>
      </c>
      <c r="O2070">
        <v>1.06</v>
      </c>
    </row>
    <row r="2071" spans="1:15">
      <c r="A2071" t="str">
        <f>"300620"</f>
        <v>300620</v>
      </c>
      <c r="B2071" t="s">
        <v>2109</v>
      </c>
      <c r="C2071">
        <v>-1.11</v>
      </c>
      <c r="D2071">
        <v>390.8</v>
      </c>
      <c r="E2071" t="s">
        <v>16</v>
      </c>
      <c r="F2071" t="s">
        <v>16</v>
      </c>
      <c r="H2071">
        <v>0.15</v>
      </c>
      <c r="I2071">
        <v>22.41</v>
      </c>
      <c r="J2071">
        <v>-1.36</v>
      </c>
      <c r="L2071">
        <v>-1.19</v>
      </c>
      <c r="M2071">
        <v>4521.01</v>
      </c>
      <c r="N2071">
        <v>0.09</v>
      </c>
      <c r="O2071">
        <v>0.52</v>
      </c>
    </row>
    <row r="2072" spans="1:15">
      <c r="A2072" t="str">
        <f>"300621"</f>
        <v>300621</v>
      </c>
      <c r="B2072" t="s">
        <v>2110</v>
      </c>
      <c r="C2072">
        <v>-0.88</v>
      </c>
      <c r="D2072">
        <v>6.79</v>
      </c>
      <c r="E2072" t="s">
        <v>16</v>
      </c>
      <c r="F2072" t="s">
        <v>16</v>
      </c>
      <c r="H2072">
        <v>0.74</v>
      </c>
      <c r="I2072">
        <v>-6.47</v>
      </c>
      <c r="J2072">
        <v>-1.88</v>
      </c>
      <c r="L2072">
        <v>-0.44</v>
      </c>
      <c r="M2072">
        <v>25.78</v>
      </c>
      <c r="N2072">
        <v>0.03</v>
      </c>
      <c r="O2072">
        <v>1.96</v>
      </c>
    </row>
    <row r="2073" spans="1:15">
      <c r="A2073" t="str">
        <f>"300622"</f>
        <v>300622</v>
      </c>
      <c r="B2073" t="s">
        <v>2111</v>
      </c>
      <c r="C2073">
        <v>-2.03</v>
      </c>
      <c r="D2073">
        <v>15.42</v>
      </c>
      <c r="E2073" t="s">
        <v>16</v>
      </c>
      <c r="F2073" t="s">
        <v>16</v>
      </c>
      <c r="H2073">
        <v>0.06</v>
      </c>
      <c r="I2073">
        <v>-3.02</v>
      </c>
      <c r="J2073">
        <v>-2.03</v>
      </c>
      <c r="L2073">
        <v>-0.89</v>
      </c>
      <c r="M2073">
        <v>225.26</v>
      </c>
      <c r="N2073">
        <v>0.08</v>
      </c>
      <c r="O2073">
        <v>10.46</v>
      </c>
    </row>
    <row r="2074" spans="1:15">
      <c r="A2074" t="str">
        <f>"300623"</f>
        <v>300623</v>
      </c>
      <c r="B2074" t="s">
        <v>2112</v>
      </c>
      <c r="C2074">
        <v>1.68</v>
      </c>
      <c r="D2074">
        <v>37.49</v>
      </c>
      <c r="E2074" t="s">
        <v>16</v>
      </c>
      <c r="F2074" t="s">
        <v>16</v>
      </c>
      <c r="H2074">
        <v>-0.1</v>
      </c>
      <c r="I2074">
        <v>15.6</v>
      </c>
      <c r="J2074">
        <v>-2.47</v>
      </c>
      <c r="L2074">
        <v>-1</v>
      </c>
      <c r="M2074">
        <v>476.69</v>
      </c>
      <c r="N2074">
        <v>0.03</v>
      </c>
      <c r="O2074">
        <v>0.41</v>
      </c>
    </row>
    <row r="2075" spans="1:15">
      <c r="A2075" t="str">
        <f>"300624"</f>
        <v>300624</v>
      </c>
      <c r="B2075" t="s">
        <v>2113</v>
      </c>
      <c r="C2075">
        <v>6.21</v>
      </c>
      <c r="D2075">
        <v>56.6</v>
      </c>
      <c r="E2075" t="s">
        <v>16</v>
      </c>
      <c r="F2075" t="s">
        <v>16</v>
      </c>
      <c r="H2075">
        <v>0.05</v>
      </c>
      <c r="I2075">
        <v>0.5</v>
      </c>
      <c r="J2075">
        <v>-4.28</v>
      </c>
      <c r="L2075">
        <v>-0.15</v>
      </c>
      <c r="M2075">
        <v>55.87</v>
      </c>
      <c r="N2075">
        <v>0.01</v>
      </c>
      <c r="O2075">
        <v>0.26</v>
      </c>
    </row>
    <row r="2076" spans="1:15">
      <c r="A2076" t="str">
        <f>"300625"</f>
        <v>300625</v>
      </c>
      <c r="B2076" t="s">
        <v>2114</v>
      </c>
      <c r="C2076">
        <v>-1.13</v>
      </c>
      <c r="D2076">
        <v>9.6</v>
      </c>
      <c r="E2076" t="s">
        <v>16</v>
      </c>
      <c r="F2076" t="s">
        <v>16</v>
      </c>
      <c r="H2076">
        <v>0</v>
      </c>
      <c r="I2076">
        <v>-4.48</v>
      </c>
      <c r="J2076">
        <v>-1.64</v>
      </c>
      <c r="L2076">
        <v>-0.62</v>
      </c>
      <c r="M2076">
        <v>2.32</v>
      </c>
      <c r="N2076">
        <v>0</v>
      </c>
      <c r="O2076">
        <v>0.22</v>
      </c>
    </row>
    <row r="2077" spans="1:15">
      <c r="A2077" t="str">
        <f>"300626"</f>
        <v>300626</v>
      </c>
      <c r="B2077" t="s">
        <v>2115</v>
      </c>
      <c r="C2077">
        <v>1.93</v>
      </c>
      <c r="D2077">
        <v>40.58</v>
      </c>
      <c r="E2077" t="s">
        <v>16</v>
      </c>
      <c r="F2077" t="s">
        <v>16</v>
      </c>
      <c r="H2077">
        <v>1.78</v>
      </c>
      <c r="I2077">
        <v>20.92</v>
      </c>
      <c r="J2077">
        <v>-3.4</v>
      </c>
      <c r="L2077">
        <v>-0.73</v>
      </c>
      <c r="M2077">
        <v>482.14</v>
      </c>
      <c r="N2077">
        <v>0.12</v>
      </c>
      <c r="O2077">
        <v>1.59</v>
      </c>
    </row>
    <row r="2078" spans="1:15">
      <c r="A2078" t="str">
        <f>"300627"</f>
        <v>300627</v>
      </c>
      <c r="B2078" t="s">
        <v>2116</v>
      </c>
      <c r="C2078">
        <v>-1.41</v>
      </c>
      <c r="D2078">
        <v>29.28</v>
      </c>
      <c r="E2078" t="s">
        <v>16</v>
      </c>
      <c r="F2078" t="s">
        <v>16</v>
      </c>
      <c r="H2078">
        <v>-0.09</v>
      </c>
      <c r="I2078">
        <v>0.97</v>
      </c>
      <c r="J2078">
        <v>-1.98</v>
      </c>
      <c r="L2078">
        <v>-0.34</v>
      </c>
      <c r="M2078">
        <v>153.8</v>
      </c>
      <c r="N2078">
        <v>0.01</v>
      </c>
      <c r="O2078">
        <v>0.39</v>
      </c>
    </row>
    <row r="2079" spans="1:15">
      <c r="A2079" t="str">
        <f>"300628"</f>
        <v>300628</v>
      </c>
      <c r="B2079" t="s">
        <v>2117</v>
      </c>
      <c r="C2079">
        <v>-1.72</v>
      </c>
      <c r="D2079">
        <v>33.2</v>
      </c>
      <c r="E2079" t="s">
        <v>16</v>
      </c>
      <c r="F2079" t="s">
        <v>16</v>
      </c>
      <c r="H2079">
        <v>-0.53</v>
      </c>
      <c r="I2079">
        <v>-14.37</v>
      </c>
      <c r="J2079">
        <v>-1.63</v>
      </c>
      <c r="L2079">
        <v>-0.24</v>
      </c>
      <c r="M2079">
        <v>58.3</v>
      </c>
      <c r="N2079">
        <v>0</v>
      </c>
      <c r="O2079">
        <v>0.58</v>
      </c>
    </row>
    <row r="2080" spans="1:15">
      <c r="A2080" t="str">
        <f>"300629"</f>
        <v>300629</v>
      </c>
      <c r="B2080" t="s">
        <v>2118</v>
      </c>
      <c r="C2080">
        <v>-1.45</v>
      </c>
      <c r="D2080">
        <v>21.09</v>
      </c>
      <c r="E2080" t="s">
        <v>16</v>
      </c>
      <c r="F2080" t="s">
        <v>16</v>
      </c>
      <c r="H2080">
        <v>0.05</v>
      </c>
      <c r="I2080">
        <v>-4.4</v>
      </c>
      <c r="J2080">
        <v>-2.13</v>
      </c>
      <c r="L2080">
        <v>-1.26</v>
      </c>
      <c r="M2080">
        <v>46.49</v>
      </c>
      <c r="N2080">
        <v>0.01</v>
      </c>
      <c r="O2080">
        <v>3.1</v>
      </c>
    </row>
    <row r="2081" spans="1:15">
      <c r="A2081" t="str">
        <f>"300631"</f>
        <v>300631</v>
      </c>
      <c r="B2081" t="s">
        <v>2119</v>
      </c>
      <c r="C2081">
        <v>-1.39</v>
      </c>
      <c r="D2081">
        <v>25.53</v>
      </c>
      <c r="E2081" t="s">
        <v>16</v>
      </c>
      <c r="F2081" t="s">
        <v>16</v>
      </c>
      <c r="H2081">
        <v>0.04</v>
      </c>
      <c r="I2081">
        <v>7.59</v>
      </c>
      <c r="J2081">
        <v>-3.11</v>
      </c>
      <c r="L2081">
        <v>-0.39</v>
      </c>
      <c r="M2081">
        <v>11.09</v>
      </c>
      <c r="N2081">
        <v>0</v>
      </c>
      <c r="O2081">
        <v>0.73</v>
      </c>
    </row>
    <row r="2082" spans="1:15">
      <c r="A2082" t="str">
        <f>"300632"</f>
        <v>300632</v>
      </c>
      <c r="B2082" t="s">
        <v>2120</v>
      </c>
      <c r="C2082">
        <v>6.97</v>
      </c>
      <c r="D2082">
        <v>31.48</v>
      </c>
      <c r="E2082" t="s">
        <v>16</v>
      </c>
      <c r="F2082" t="s">
        <v>16</v>
      </c>
      <c r="H2082">
        <v>0.13</v>
      </c>
      <c r="I2082">
        <v>9.57</v>
      </c>
      <c r="J2082">
        <v>-1.16</v>
      </c>
      <c r="L2082">
        <v>-1.12</v>
      </c>
      <c r="M2082">
        <v>689.38</v>
      </c>
      <c r="N2082">
        <v>0.13</v>
      </c>
      <c r="O2082">
        <v>0.88</v>
      </c>
    </row>
    <row r="2083" spans="1:15">
      <c r="A2083" t="str">
        <f>"300633"</f>
        <v>300633</v>
      </c>
      <c r="B2083" t="s">
        <v>2121</v>
      </c>
      <c r="C2083">
        <v>-1.04</v>
      </c>
      <c r="D2083">
        <v>19.05</v>
      </c>
      <c r="E2083" t="s">
        <v>16</v>
      </c>
      <c r="F2083" t="s">
        <v>16</v>
      </c>
      <c r="H2083">
        <v>0.26</v>
      </c>
      <c r="I2083">
        <v>-1.4</v>
      </c>
      <c r="J2083">
        <v>-2.36</v>
      </c>
      <c r="L2083">
        <v>-0.1</v>
      </c>
      <c r="M2083">
        <v>61.73</v>
      </c>
      <c r="N2083">
        <v>0.02</v>
      </c>
      <c r="O2083">
        <v>1.03</v>
      </c>
    </row>
    <row r="2084" spans="1:15">
      <c r="A2084" t="str">
        <f>"300634"</f>
        <v>300634</v>
      </c>
      <c r="B2084" t="s">
        <v>2122</v>
      </c>
      <c r="C2084">
        <v>2.49</v>
      </c>
      <c r="D2084">
        <v>22.24</v>
      </c>
      <c r="E2084" t="s">
        <v>16</v>
      </c>
      <c r="F2084" t="s">
        <v>16</v>
      </c>
      <c r="H2084">
        <v>0.05</v>
      </c>
      <c r="I2084">
        <v>-8.78</v>
      </c>
      <c r="J2084">
        <v>-1.68</v>
      </c>
      <c r="L2084">
        <v>-0.05</v>
      </c>
      <c r="M2084">
        <v>72.23</v>
      </c>
      <c r="N2084">
        <v>0.01</v>
      </c>
      <c r="O2084">
        <v>0.83</v>
      </c>
    </row>
    <row r="2085" spans="1:15">
      <c r="A2085" t="str">
        <f>"300635"</f>
        <v>300635</v>
      </c>
      <c r="B2085" t="s">
        <v>2123</v>
      </c>
      <c r="C2085">
        <v>-3.56</v>
      </c>
      <c r="D2085">
        <v>13.28</v>
      </c>
      <c r="E2085" t="s">
        <v>16</v>
      </c>
      <c r="F2085" t="s">
        <v>16</v>
      </c>
      <c r="H2085">
        <v>0.15</v>
      </c>
      <c r="I2085">
        <v>-5.14</v>
      </c>
      <c r="J2085">
        <v>-5.75</v>
      </c>
      <c r="L2085">
        <v>0.07</v>
      </c>
      <c r="M2085">
        <v>133.67</v>
      </c>
      <c r="N2085">
        <v>0.09</v>
      </c>
      <c r="O2085">
        <v>5.33</v>
      </c>
    </row>
    <row r="2086" spans="1:15">
      <c r="A2086" t="str">
        <f>"300636"</f>
        <v>300636</v>
      </c>
      <c r="B2086" t="s">
        <v>2124</v>
      </c>
      <c r="C2086">
        <v>0.77</v>
      </c>
      <c r="D2086">
        <v>6.56</v>
      </c>
      <c r="E2086" t="s">
        <v>16</v>
      </c>
      <c r="F2086" t="s">
        <v>16</v>
      </c>
      <c r="H2086">
        <v>-0.14</v>
      </c>
      <c r="I2086">
        <v>0.61</v>
      </c>
      <c r="J2086">
        <v>-1.5</v>
      </c>
      <c r="L2086">
        <v>-0.15</v>
      </c>
      <c r="M2086">
        <v>0.07</v>
      </c>
      <c r="N2086">
        <v>0</v>
      </c>
      <c r="O2086">
        <v>0.06</v>
      </c>
    </row>
    <row r="2087" spans="1:15">
      <c r="A2087" t="str">
        <f>"300637"</f>
        <v>300637</v>
      </c>
      <c r="B2087" t="s">
        <v>2125</v>
      </c>
      <c r="C2087">
        <v>-1.53</v>
      </c>
      <c r="D2087">
        <v>10.29</v>
      </c>
      <c r="E2087" t="s">
        <v>16</v>
      </c>
      <c r="F2087" t="s">
        <v>16</v>
      </c>
      <c r="H2087">
        <v>0.1</v>
      </c>
      <c r="I2087">
        <v>4.89</v>
      </c>
      <c r="J2087">
        <v>-2.74</v>
      </c>
      <c r="L2087">
        <v>-1.34</v>
      </c>
      <c r="M2087">
        <v>67.63</v>
      </c>
      <c r="N2087">
        <v>0.05</v>
      </c>
      <c r="O2087">
        <v>3.11</v>
      </c>
    </row>
    <row r="2088" spans="1:15">
      <c r="A2088" t="str">
        <f>"300638"</f>
        <v>300638</v>
      </c>
      <c r="B2088" t="s">
        <v>2126</v>
      </c>
      <c r="C2088">
        <v>1.1</v>
      </c>
      <c r="D2088">
        <v>20.3</v>
      </c>
      <c r="E2088" t="s">
        <v>16</v>
      </c>
      <c r="F2088" t="s">
        <v>16</v>
      </c>
      <c r="H2088">
        <v>0.1</v>
      </c>
      <c r="I2088">
        <v>-8.27</v>
      </c>
      <c r="J2088">
        <v>-1.17</v>
      </c>
      <c r="L2088">
        <v>-0.55</v>
      </c>
      <c r="M2088">
        <v>42.14</v>
      </c>
      <c r="N2088">
        <v>0</v>
      </c>
      <c r="O2088">
        <v>0.85</v>
      </c>
    </row>
    <row r="2089" spans="1:15">
      <c r="A2089" t="str">
        <f>"300639"</f>
        <v>300639</v>
      </c>
      <c r="B2089" t="s">
        <v>2127</v>
      </c>
      <c r="C2089">
        <v>2.1</v>
      </c>
      <c r="D2089">
        <v>5.34</v>
      </c>
      <c r="E2089" t="s">
        <v>16</v>
      </c>
      <c r="F2089" t="s">
        <v>16</v>
      </c>
      <c r="H2089">
        <v>0.19</v>
      </c>
      <c r="I2089">
        <v>-0.74</v>
      </c>
      <c r="J2089">
        <v>-0.74</v>
      </c>
      <c r="L2089">
        <v>0.38</v>
      </c>
      <c r="M2089">
        <v>21.89</v>
      </c>
      <c r="N2089">
        <v>0.01</v>
      </c>
      <c r="O2089">
        <v>3.31</v>
      </c>
    </row>
    <row r="2090" spans="1:15">
      <c r="A2090" t="str">
        <f>"300640"</f>
        <v>300640</v>
      </c>
      <c r="B2090" t="s">
        <v>2128</v>
      </c>
      <c r="C2090">
        <v>-1.38</v>
      </c>
      <c r="D2090">
        <v>5.71</v>
      </c>
      <c r="E2090" t="s">
        <v>16</v>
      </c>
      <c r="F2090" t="s">
        <v>16</v>
      </c>
      <c r="H2090">
        <v>0.18</v>
      </c>
      <c r="I2090">
        <v>-10.5</v>
      </c>
      <c r="J2090">
        <v>-1.89</v>
      </c>
      <c r="L2090">
        <v>-0.35</v>
      </c>
      <c r="M2090">
        <v>28.73</v>
      </c>
      <c r="N2090">
        <v>0.03</v>
      </c>
      <c r="O2090">
        <v>2.03</v>
      </c>
    </row>
    <row r="2091" spans="1:15">
      <c r="A2091" t="str">
        <f>"300641"</f>
        <v>300641</v>
      </c>
      <c r="B2091" t="s">
        <v>2129</v>
      </c>
      <c r="C2091">
        <v>-2.59</v>
      </c>
      <c r="D2091">
        <v>18.4</v>
      </c>
      <c r="E2091" t="s">
        <v>16</v>
      </c>
      <c r="F2091" t="s">
        <v>16</v>
      </c>
      <c r="H2091">
        <v>-0.15</v>
      </c>
      <c r="I2091">
        <v>25.77</v>
      </c>
      <c r="J2091">
        <v>-3.66</v>
      </c>
      <c r="L2091">
        <v>-0.95</v>
      </c>
      <c r="M2091">
        <v>443.8</v>
      </c>
      <c r="N2091">
        <v>0.1</v>
      </c>
      <c r="O2091">
        <v>1.13</v>
      </c>
    </row>
    <row r="2092" spans="1:15">
      <c r="A2092" t="str">
        <f>"300642"</f>
        <v>300642</v>
      </c>
      <c r="B2092" t="s">
        <v>2130</v>
      </c>
      <c r="C2092">
        <v>0.4</v>
      </c>
      <c r="D2092">
        <v>12.57</v>
      </c>
      <c r="E2092" t="s">
        <v>16</v>
      </c>
      <c r="F2092" t="s">
        <v>16</v>
      </c>
      <c r="H2092">
        <v>0.08</v>
      </c>
      <c r="I2092">
        <v>-3.83</v>
      </c>
      <c r="J2092">
        <v>-1.49</v>
      </c>
      <c r="L2092">
        <v>0</v>
      </c>
      <c r="M2092">
        <v>20.53</v>
      </c>
      <c r="N2092">
        <v>0.01</v>
      </c>
      <c r="O2092">
        <v>7.45</v>
      </c>
    </row>
    <row r="2093" spans="1:15">
      <c r="A2093" t="str">
        <f>"300643"</f>
        <v>300643</v>
      </c>
      <c r="B2093" t="s">
        <v>2131</v>
      </c>
      <c r="C2093">
        <v>1.81</v>
      </c>
      <c r="D2093">
        <v>18.52</v>
      </c>
      <c r="E2093" t="s">
        <v>16</v>
      </c>
      <c r="F2093" t="s">
        <v>16</v>
      </c>
      <c r="H2093">
        <v>0.27</v>
      </c>
      <c r="I2093">
        <v>3.46</v>
      </c>
      <c r="J2093">
        <v>-1.33</v>
      </c>
      <c r="L2093">
        <v>-0.6</v>
      </c>
      <c r="M2093">
        <v>8.14</v>
      </c>
      <c r="N2093">
        <v>0</v>
      </c>
      <c r="O2093">
        <v>0.16</v>
      </c>
    </row>
    <row r="2094" spans="1:15">
      <c r="A2094" t="str">
        <f>"300644"</f>
        <v>300644</v>
      </c>
      <c r="B2094" t="s">
        <v>2132</v>
      </c>
      <c r="C2094">
        <v>0.19</v>
      </c>
      <c r="D2094">
        <v>25.76</v>
      </c>
      <c r="E2094" t="s">
        <v>16</v>
      </c>
      <c r="F2094" t="s">
        <v>16</v>
      </c>
      <c r="H2094">
        <v>0.12</v>
      </c>
      <c r="I2094">
        <v>5.75</v>
      </c>
      <c r="J2094">
        <v>-1.75</v>
      </c>
      <c r="L2094">
        <v>-0.43</v>
      </c>
      <c r="M2094">
        <v>9.73</v>
      </c>
      <c r="N2094">
        <v>0.01</v>
      </c>
      <c r="O2094">
        <v>0.66</v>
      </c>
    </row>
    <row r="2095" spans="1:15">
      <c r="A2095" t="str">
        <f>"300645"</f>
        <v>300645</v>
      </c>
      <c r="B2095" t="s">
        <v>2133</v>
      </c>
      <c r="C2095">
        <v>-1.17</v>
      </c>
      <c r="D2095">
        <v>12.71</v>
      </c>
      <c r="E2095" t="s">
        <v>16</v>
      </c>
      <c r="F2095" t="s">
        <v>16</v>
      </c>
      <c r="H2095">
        <v>-0.23</v>
      </c>
      <c r="I2095">
        <v>-6.06</v>
      </c>
      <c r="J2095">
        <v>-1.47</v>
      </c>
      <c r="L2095">
        <v>-0.47</v>
      </c>
      <c r="M2095">
        <v>30.85</v>
      </c>
      <c r="N2095">
        <v>0.02</v>
      </c>
      <c r="O2095">
        <v>2.27</v>
      </c>
    </row>
    <row r="2096" spans="1:15">
      <c r="A2096" t="str">
        <f>"300647"</f>
        <v>300647</v>
      </c>
      <c r="B2096" t="s">
        <v>2134</v>
      </c>
      <c r="C2096">
        <v>2.13</v>
      </c>
      <c r="D2096">
        <v>6.23</v>
      </c>
      <c r="E2096" t="s">
        <v>16</v>
      </c>
      <c r="F2096" t="s">
        <v>16</v>
      </c>
      <c r="H2096">
        <v>-0.15</v>
      </c>
      <c r="I2096">
        <v>-6.74</v>
      </c>
      <c r="J2096">
        <v>-1.27</v>
      </c>
      <c r="L2096">
        <v>0</v>
      </c>
      <c r="M2096">
        <v>39.04</v>
      </c>
      <c r="N2096">
        <v>0.02</v>
      </c>
      <c r="O2096">
        <v>0.84</v>
      </c>
    </row>
    <row r="2097" spans="1:15">
      <c r="A2097" t="str">
        <f>"300648"</f>
        <v>300648</v>
      </c>
      <c r="B2097" t="s">
        <v>2135</v>
      </c>
      <c r="C2097">
        <v>-3.31</v>
      </c>
      <c r="D2097">
        <v>47.33</v>
      </c>
      <c r="E2097" t="s">
        <v>16</v>
      </c>
      <c r="F2097" t="s">
        <v>16</v>
      </c>
      <c r="H2097">
        <v>0.28</v>
      </c>
      <c r="I2097">
        <v>-2.39</v>
      </c>
      <c r="J2097">
        <v>-4.23</v>
      </c>
      <c r="L2097">
        <v>0.1</v>
      </c>
      <c r="M2097">
        <v>43.61</v>
      </c>
      <c r="N2097">
        <v>0.01</v>
      </c>
      <c r="O2097">
        <v>3.56</v>
      </c>
    </row>
    <row r="2098" spans="1:15">
      <c r="A2098" t="str">
        <f>"300649"</f>
        <v>300649</v>
      </c>
      <c r="B2098" t="s">
        <v>2136</v>
      </c>
      <c r="C2098">
        <v>1.75</v>
      </c>
      <c r="D2098">
        <v>27.94</v>
      </c>
      <c r="E2098" t="s">
        <v>16</v>
      </c>
      <c r="F2098" t="s">
        <v>16</v>
      </c>
      <c r="H2098">
        <v>0.07</v>
      </c>
      <c r="I2098">
        <v>2.08</v>
      </c>
      <c r="J2098">
        <v>-1.55</v>
      </c>
      <c r="L2098">
        <v>-1.09</v>
      </c>
      <c r="M2098">
        <v>19.01</v>
      </c>
      <c r="N2098">
        <v>0.01</v>
      </c>
      <c r="O2098">
        <v>0.54</v>
      </c>
    </row>
    <row r="2099" spans="1:15">
      <c r="A2099" t="str">
        <f>"300650"</f>
        <v>300650</v>
      </c>
      <c r="B2099" t="s">
        <v>2137</v>
      </c>
      <c r="C2099">
        <v>0.54</v>
      </c>
      <c r="D2099">
        <v>13.07</v>
      </c>
      <c r="E2099" t="s">
        <v>16</v>
      </c>
      <c r="F2099" t="s">
        <v>16</v>
      </c>
      <c r="H2099">
        <v>0.23</v>
      </c>
      <c r="I2099">
        <v>-3.76</v>
      </c>
      <c r="J2099">
        <v>-4.18</v>
      </c>
      <c r="L2099">
        <v>-0.38</v>
      </c>
      <c r="M2099">
        <v>5.44</v>
      </c>
      <c r="N2099">
        <v>0</v>
      </c>
      <c r="O2099">
        <v>0.07</v>
      </c>
    </row>
    <row r="2100" spans="1:15">
      <c r="A2100" t="str">
        <f>"300651"</f>
        <v>300651</v>
      </c>
      <c r="B2100" t="s">
        <v>2138</v>
      </c>
      <c r="C2100">
        <v>-1.72</v>
      </c>
      <c r="D2100">
        <v>20.04</v>
      </c>
      <c r="E2100" t="s">
        <v>16</v>
      </c>
      <c r="F2100" t="s">
        <v>16</v>
      </c>
      <c r="H2100">
        <v>-0.19</v>
      </c>
      <c r="I2100">
        <v>-16.6</v>
      </c>
      <c r="J2100">
        <v>-3.84</v>
      </c>
      <c r="L2100">
        <v>0.64</v>
      </c>
      <c r="M2100">
        <v>87.42</v>
      </c>
      <c r="N2100">
        <v>0.06</v>
      </c>
      <c r="O2100">
        <v>1.2</v>
      </c>
    </row>
    <row r="2101" spans="1:15">
      <c r="A2101" t="str">
        <f>"300652"</f>
        <v>300652</v>
      </c>
      <c r="B2101" t="s">
        <v>2139</v>
      </c>
      <c r="C2101">
        <v>0.48</v>
      </c>
      <c r="D2101">
        <v>39.59</v>
      </c>
      <c r="E2101" t="s">
        <v>16</v>
      </c>
      <c r="F2101" t="s">
        <v>16</v>
      </c>
      <c r="H2101">
        <v>0.03</v>
      </c>
      <c r="I2101">
        <v>-5.94</v>
      </c>
      <c r="J2101">
        <v>-1</v>
      </c>
      <c r="L2101">
        <v>0</v>
      </c>
      <c r="M2101">
        <v>5.52</v>
      </c>
      <c r="N2101">
        <v>0</v>
      </c>
      <c r="O2101">
        <v>0.47</v>
      </c>
    </row>
    <row r="2102" spans="1:15">
      <c r="A2102" t="str">
        <f>"300653"</f>
        <v>300653</v>
      </c>
      <c r="B2102" t="s">
        <v>2140</v>
      </c>
      <c r="C2102">
        <v>6.1</v>
      </c>
      <c r="D2102">
        <v>14.95</v>
      </c>
      <c r="E2102" t="s">
        <v>16</v>
      </c>
      <c r="F2102" t="s">
        <v>16</v>
      </c>
      <c r="H2102">
        <v>0</v>
      </c>
      <c r="I2102">
        <v>-0.8</v>
      </c>
      <c r="J2102">
        <v>-5.08</v>
      </c>
      <c r="L2102">
        <v>1.92</v>
      </c>
      <c r="M2102">
        <v>37.48</v>
      </c>
      <c r="N2102">
        <v>0.03</v>
      </c>
      <c r="O2102" t="s">
        <v>16</v>
      </c>
    </row>
    <row r="2103" spans="1:15">
      <c r="A2103" t="str">
        <f>"300654"</f>
        <v>300654</v>
      </c>
      <c r="B2103" t="s">
        <v>2141</v>
      </c>
      <c r="C2103">
        <v>3.33</v>
      </c>
      <c r="D2103">
        <v>9.63</v>
      </c>
      <c r="E2103" t="s">
        <v>16</v>
      </c>
      <c r="F2103" t="s">
        <v>16</v>
      </c>
      <c r="H2103">
        <v>-0.2</v>
      </c>
      <c r="I2103">
        <v>-1.63</v>
      </c>
      <c r="J2103">
        <v>-1.63</v>
      </c>
      <c r="L2103">
        <v>-1.82</v>
      </c>
      <c r="M2103">
        <v>25.89</v>
      </c>
      <c r="N2103">
        <v>0.02</v>
      </c>
      <c r="O2103">
        <v>0.23</v>
      </c>
    </row>
    <row r="2104" spans="1:15">
      <c r="A2104" t="str">
        <f>"300655"</f>
        <v>300655</v>
      </c>
      <c r="B2104" t="s">
        <v>2142</v>
      </c>
      <c r="C2104">
        <v>-1.26</v>
      </c>
      <c r="D2104">
        <v>16.41</v>
      </c>
      <c r="E2104" t="s">
        <v>16</v>
      </c>
      <c r="F2104" t="s">
        <v>16</v>
      </c>
      <c r="H2104">
        <v>0</v>
      </c>
      <c r="I2104">
        <v>16.3</v>
      </c>
      <c r="J2104">
        <v>-4.31</v>
      </c>
      <c r="L2104">
        <v>0.24</v>
      </c>
      <c r="M2104">
        <v>1333.62</v>
      </c>
      <c r="N2104">
        <v>0.08</v>
      </c>
      <c r="O2104">
        <v>1.57</v>
      </c>
    </row>
    <row r="2105" spans="1:15">
      <c r="A2105" t="str">
        <f>"300656"</f>
        <v>300656</v>
      </c>
      <c r="B2105" t="s">
        <v>2143</v>
      </c>
      <c r="C2105">
        <v>-0.82</v>
      </c>
      <c r="D2105">
        <v>38.8</v>
      </c>
      <c r="E2105" t="s">
        <v>16</v>
      </c>
      <c r="F2105" t="s">
        <v>16</v>
      </c>
      <c r="H2105">
        <v>0</v>
      </c>
      <c r="I2105">
        <v>24.48</v>
      </c>
      <c r="J2105">
        <v>-2.71</v>
      </c>
      <c r="L2105">
        <v>-0.31</v>
      </c>
      <c r="M2105">
        <v>221.52</v>
      </c>
      <c r="N2105">
        <v>0.06</v>
      </c>
      <c r="O2105">
        <v>0.61</v>
      </c>
    </row>
    <row r="2106" spans="1:15">
      <c r="A2106" t="str">
        <f>"300657"</f>
        <v>300657</v>
      </c>
      <c r="B2106" t="s">
        <v>2144</v>
      </c>
      <c r="C2106">
        <v>-0.56</v>
      </c>
      <c r="D2106">
        <v>47.55</v>
      </c>
      <c r="E2106" t="s">
        <v>16</v>
      </c>
      <c r="F2106" t="s">
        <v>16</v>
      </c>
      <c r="H2106">
        <v>-0.51</v>
      </c>
      <c r="I2106">
        <v>5.27</v>
      </c>
      <c r="J2106">
        <v>-6.76</v>
      </c>
      <c r="L2106">
        <v>2.01</v>
      </c>
      <c r="M2106">
        <v>2631.19</v>
      </c>
      <c r="N2106">
        <v>0.14</v>
      </c>
      <c r="O2106">
        <v>1.08</v>
      </c>
    </row>
    <row r="2107" spans="1:15">
      <c r="A2107" t="str">
        <f>"300658"</f>
        <v>300658</v>
      </c>
      <c r="B2107" t="s">
        <v>2145</v>
      </c>
      <c r="C2107">
        <v>0.16</v>
      </c>
      <c r="D2107">
        <v>12.54</v>
      </c>
      <c r="E2107" t="s">
        <v>16</v>
      </c>
      <c r="F2107" t="s">
        <v>16</v>
      </c>
      <c r="H2107">
        <v>0.16</v>
      </c>
      <c r="I2107">
        <v>4.33</v>
      </c>
      <c r="J2107">
        <v>-0.87</v>
      </c>
      <c r="L2107">
        <v>-1.36</v>
      </c>
      <c r="M2107">
        <v>508.2</v>
      </c>
      <c r="N2107">
        <v>0.26</v>
      </c>
      <c r="O2107">
        <v>5.91</v>
      </c>
    </row>
    <row r="2108" spans="1:15">
      <c r="A2108" t="str">
        <f>"300659"</f>
        <v>300659</v>
      </c>
      <c r="B2108" t="s">
        <v>2146</v>
      </c>
      <c r="C2108">
        <v>0.79</v>
      </c>
      <c r="D2108">
        <v>10.27</v>
      </c>
      <c r="E2108" t="s">
        <v>16</v>
      </c>
      <c r="F2108" t="s">
        <v>16</v>
      </c>
      <c r="H2108">
        <v>0</v>
      </c>
      <c r="I2108">
        <v>-4.64</v>
      </c>
      <c r="J2108">
        <v>-2.47</v>
      </c>
      <c r="L2108">
        <v>-0.79</v>
      </c>
      <c r="M2108">
        <v>40.84</v>
      </c>
      <c r="N2108">
        <v>0.02</v>
      </c>
      <c r="O2108">
        <v>1.84</v>
      </c>
    </row>
    <row r="2109" spans="1:15">
      <c r="A2109" t="str">
        <f>"300660"</f>
        <v>300660</v>
      </c>
      <c r="B2109" t="s">
        <v>2147</v>
      </c>
      <c r="C2109">
        <v>1.5</v>
      </c>
      <c r="D2109">
        <v>30.49</v>
      </c>
      <c r="E2109" t="s">
        <v>16</v>
      </c>
      <c r="F2109" t="s">
        <v>16</v>
      </c>
      <c r="H2109">
        <v>-0.06</v>
      </c>
      <c r="I2109">
        <v>-5.98</v>
      </c>
      <c r="J2109">
        <v>-1.2</v>
      </c>
      <c r="L2109">
        <v>0</v>
      </c>
      <c r="M2109">
        <v>21.81</v>
      </c>
      <c r="N2109">
        <v>0</v>
      </c>
      <c r="O2109">
        <v>0.84</v>
      </c>
    </row>
    <row r="2110" spans="1:15">
      <c r="A2110" t="str">
        <f>"300661"</f>
        <v>300661</v>
      </c>
      <c r="B2110" t="s">
        <v>2148</v>
      </c>
      <c r="C2110">
        <v>0.93</v>
      </c>
      <c r="D2110">
        <v>132.77</v>
      </c>
      <c r="E2110" t="s">
        <v>16</v>
      </c>
      <c r="F2110" t="s">
        <v>16</v>
      </c>
      <c r="H2110">
        <v>-0.23</v>
      </c>
      <c r="I2110">
        <v>17.24</v>
      </c>
      <c r="J2110">
        <v>-1.51</v>
      </c>
      <c r="L2110">
        <v>0.85</v>
      </c>
      <c r="M2110">
        <v>1560.2</v>
      </c>
      <c r="N2110">
        <v>0.03</v>
      </c>
      <c r="O2110">
        <v>1.04</v>
      </c>
    </row>
    <row r="2111" spans="1:15">
      <c r="A2111" t="str">
        <f>"300662"</f>
        <v>300662</v>
      </c>
      <c r="B2111" t="s">
        <v>2149</v>
      </c>
      <c r="C2111">
        <v>-1.13</v>
      </c>
      <c r="D2111">
        <v>18.39</v>
      </c>
      <c r="E2111" t="s">
        <v>16</v>
      </c>
      <c r="F2111" t="s">
        <v>16</v>
      </c>
      <c r="H2111">
        <v>0.05</v>
      </c>
      <c r="I2111">
        <v>-10.47</v>
      </c>
      <c r="J2111">
        <v>-4.76</v>
      </c>
      <c r="L2111">
        <v>1.08</v>
      </c>
      <c r="M2111">
        <v>72</v>
      </c>
      <c r="N2111">
        <v>0.03</v>
      </c>
      <c r="O2111">
        <v>5.11</v>
      </c>
    </row>
    <row r="2112" spans="1:15">
      <c r="A2112" t="str">
        <f>"300663"</f>
        <v>300663</v>
      </c>
      <c r="B2112" t="s">
        <v>2150</v>
      </c>
      <c r="C2112">
        <v>-1.93</v>
      </c>
      <c r="D2112">
        <v>7.1</v>
      </c>
      <c r="E2112" t="s">
        <v>16</v>
      </c>
      <c r="F2112" t="s">
        <v>16</v>
      </c>
      <c r="H2112">
        <v>0</v>
      </c>
      <c r="I2112">
        <v>-5.96</v>
      </c>
      <c r="J2112">
        <v>-2.61</v>
      </c>
      <c r="L2112">
        <v>0</v>
      </c>
      <c r="M2112">
        <v>48.44</v>
      </c>
      <c r="N2112">
        <v>0.02</v>
      </c>
      <c r="O2112">
        <v>0.53</v>
      </c>
    </row>
    <row r="2113" spans="1:15">
      <c r="A2113" t="str">
        <f>"300664"</f>
        <v>300664</v>
      </c>
      <c r="B2113" t="s">
        <v>2151</v>
      </c>
      <c r="C2113">
        <v>-3.63</v>
      </c>
      <c r="D2113">
        <v>4.51</v>
      </c>
      <c r="E2113" t="s">
        <v>16</v>
      </c>
      <c r="F2113" t="s">
        <v>16</v>
      </c>
      <c r="H2113">
        <v>-0.21</v>
      </c>
      <c r="I2113">
        <v>-8.33</v>
      </c>
      <c r="J2113">
        <v>-4.25</v>
      </c>
      <c r="L2113">
        <v>0.43</v>
      </c>
      <c r="M2113">
        <v>36.71</v>
      </c>
      <c r="N2113">
        <v>0.02</v>
      </c>
      <c r="O2113">
        <v>3.2</v>
      </c>
    </row>
    <row r="2114" spans="1:15">
      <c r="A2114" t="str">
        <f>"300665"</f>
        <v>300665</v>
      </c>
      <c r="B2114" t="s">
        <v>2152</v>
      </c>
      <c r="C2114" t="s">
        <v>16</v>
      </c>
      <c r="D2114">
        <v>9.8</v>
      </c>
      <c r="E2114" t="s">
        <v>16</v>
      </c>
      <c r="F2114" t="s">
        <v>16</v>
      </c>
      <c r="H2114" t="s">
        <v>16</v>
      </c>
      <c r="I2114">
        <v>-2.78</v>
      </c>
      <c r="J2114" t="s">
        <v>16</v>
      </c>
      <c r="L2114" t="s">
        <v>16</v>
      </c>
      <c r="M2114">
        <v>0</v>
      </c>
      <c r="N2114" t="s">
        <v>16</v>
      </c>
      <c r="O2114" t="s">
        <v>16</v>
      </c>
    </row>
    <row r="2115" spans="1:15">
      <c r="A2115" t="str">
        <f>"300666"</f>
        <v>300666</v>
      </c>
      <c r="B2115" t="s">
        <v>2153</v>
      </c>
      <c r="C2115">
        <v>3.19</v>
      </c>
      <c r="D2115">
        <v>311.2</v>
      </c>
      <c r="E2115" t="s">
        <v>16</v>
      </c>
      <c r="F2115" t="s">
        <v>16</v>
      </c>
      <c r="H2115">
        <v>-0.31</v>
      </c>
      <c r="I2115">
        <v>47.82</v>
      </c>
      <c r="J2115">
        <v>-4.45</v>
      </c>
      <c r="L2115">
        <v>0</v>
      </c>
      <c r="M2115">
        <v>5414.96</v>
      </c>
      <c r="N2115">
        <v>0.09</v>
      </c>
      <c r="O2115">
        <v>0.49</v>
      </c>
    </row>
    <row r="2116" spans="1:15">
      <c r="A2116" t="str">
        <f>"300667"</f>
        <v>300667</v>
      </c>
      <c r="B2116" t="s">
        <v>2154</v>
      </c>
      <c r="C2116">
        <v>-0.31</v>
      </c>
      <c r="D2116">
        <v>19.31</v>
      </c>
      <c r="E2116" t="s">
        <v>16</v>
      </c>
      <c r="F2116" t="s">
        <v>16</v>
      </c>
      <c r="H2116">
        <v>-0.2</v>
      </c>
      <c r="I2116">
        <v>-0.97</v>
      </c>
      <c r="J2116">
        <v>-1.88</v>
      </c>
      <c r="L2116">
        <v>-0.83</v>
      </c>
      <c r="M2116">
        <v>57.63</v>
      </c>
      <c r="N2116">
        <v>0.02</v>
      </c>
      <c r="O2116">
        <v>0.42</v>
      </c>
    </row>
    <row r="2117" spans="1:15">
      <c r="A2117" t="str">
        <f>"300668"</f>
        <v>300668</v>
      </c>
      <c r="B2117" t="s">
        <v>2155</v>
      </c>
      <c r="C2117">
        <v>-0.87</v>
      </c>
      <c r="D2117">
        <v>62.75</v>
      </c>
      <c r="E2117" t="s">
        <v>16</v>
      </c>
      <c r="F2117" t="s">
        <v>16</v>
      </c>
      <c r="H2117">
        <v>-0.23</v>
      </c>
      <c r="I2117">
        <v>7.47</v>
      </c>
      <c r="J2117">
        <v>-3.12</v>
      </c>
      <c r="L2117">
        <v>0.79</v>
      </c>
      <c r="M2117">
        <v>433.2</v>
      </c>
      <c r="N2117">
        <v>0.11</v>
      </c>
      <c r="O2117">
        <v>1.51</v>
      </c>
    </row>
    <row r="2118" spans="1:15">
      <c r="A2118" t="str">
        <f>"300669"</f>
        <v>300669</v>
      </c>
      <c r="B2118" t="s">
        <v>2156</v>
      </c>
      <c r="C2118">
        <v>7.62</v>
      </c>
      <c r="D2118">
        <v>31.79</v>
      </c>
      <c r="E2118" t="s">
        <v>16</v>
      </c>
      <c r="F2118" t="s">
        <v>16</v>
      </c>
      <c r="H2118">
        <v>-0.52</v>
      </c>
      <c r="I2118">
        <v>12.41</v>
      </c>
      <c r="J2118">
        <v>-1.73</v>
      </c>
      <c r="L2118">
        <v>-1.15</v>
      </c>
      <c r="M2118">
        <v>4.96</v>
      </c>
      <c r="N2118">
        <v>0</v>
      </c>
      <c r="O2118">
        <v>0.19</v>
      </c>
    </row>
    <row r="2119" spans="1:15">
      <c r="A2119" t="str">
        <f>"300670"</f>
        <v>300670</v>
      </c>
      <c r="B2119" t="s">
        <v>2157</v>
      </c>
      <c r="C2119">
        <v>-2.84</v>
      </c>
      <c r="D2119">
        <v>5.81</v>
      </c>
      <c r="E2119" t="s">
        <v>16</v>
      </c>
      <c r="F2119" t="s">
        <v>16</v>
      </c>
      <c r="H2119">
        <v>0.35</v>
      </c>
      <c r="I2119">
        <v>-13.15</v>
      </c>
      <c r="J2119">
        <v>-2.52</v>
      </c>
      <c r="L2119">
        <v>-0.33</v>
      </c>
      <c r="M2119">
        <v>43.69</v>
      </c>
      <c r="N2119">
        <v>0.04</v>
      </c>
      <c r="O2119">
        <v>1.15</v>
      </c>
    </row>
    <row r="2120" spans="1:15">
      <c r="A2120" t="str">
        <f>"300671"</f>
        <v>300671</v>
      </c>
      <c r="B2120" t="s">
        <v>2158</v>
      </c>
      <c r="C2120">
        <v>11.06</v>
      </c>
      <c r="D2120">
        <v>60.47</v>
      </c>
      <c r="E2120" t="s">
        <v>16</v>
      </c>
      <c r="F2120" t="s">
        <v>16</v>
      </c>
      <c r="H2120">
        <v>-0.07</v>
      </c>
      <c r="I2120">
        <v>36.56</v>
      </c>
      <c r="J2120">
        <v>-2.55</v>
      </c>
      <c r="L2120">
        <v>-0.83</v>
      </c>
      <c r="M2120">
        <v>186.3</v>
      </c>
      <c r="N2120">
        <v>0.02</v>
      </c>
      <c r="O2120">
        <v>0.98</v>
      </c>
    </row>
    <row r="2121" spans="1:15">
      <c r="A2121" t="str">
        <f>"300672"</f>
        <v>300672</v>
      </c>
      <c r="B2121" t="s">
        <v>2159</v>
      </c>
      <c r="C2121">
        <v>1.61</v>
      </c>
      <c r="D2121">
        <v>330.55</v>
      </c>
      <c r="E2121" t="s">
        <v>16</v>
      </c>
      <c r="F2121" t="s">
        <v>16</v>
      </c>
      <c r="H2121">
        <v>0.03</v>
      </c>
      <c r="I2121">
        <v>4.09</v>
      </c>
      <c r="J2121">
        <v>-3.41</v>
      </c>
      <c r="L2121">
        <v>-1</v>
      </c>
      <c r="M2121">
        <v>1476.6</v>
      </c>
      <c r="N2121">
        <v>0.03</v>
      </c>
      <c r="O2121">
        <v>1.5</v>
      </c>
    </row>
    <row r="2122" spans="1:15">
      <c r="A2122" t="str">
        <f>"300673"</f>
        <v>300673</v>
      </c>
      <c r="B2122" t="s">
        <v>2160</v>
      </c>
      <c r="C2122">
        <v>-3.9</v>
      </c>
      <c r="D2122">
        <v>12.8</v>
      </c>
      <c r="E2122" t="s">
        <v>16</v>
      </c>
      <c r="F2122" t="s">
        <v>16</v>
      </c>
      <c r="H2122">
        <v>0.16</v>
      </c>
      <c r="I2122">
        <v>-7.65</v>
      </c>
      <c r="J2122">
        <v>-4.48</v>
      </c>
      <c r="L2122">
        <v>-1.13</v>
      </c>
      <c r="M2122">
        <v>31.34</v>
      </c>
      <c r="N2122">
        <v>0.02</v>
      </c>
      <c r="O2122">
        <v>2.07</v>
      </c>
    </row>
    <row r="2123" spans="1:15">
      <c r="A2123" t="str">
        <f>"300674"</f>
        <v>300674</v>
      </c>
      <c r="B2123" t="s">
        <v>2161</v>
      </c>
      <c r="C2123">
        <v>-0.87</v>
      </c>
      <c r="D2123">
        <v>16.01</v>
      </c>
      <c r="E2123" t="s">
        <v>16</v>
      </c>
      <c r="F2123" t="s">
        <v>16</v>
      </c>
      <c r="H2123">
        <v>-0.11</v>
      </c>
      <c r="I2123">
        <v>-1.42</v>
      </c>
      <c r="J2123">
        <v>-1.72</v>
      </c>
      <c r="L2123">
        <v>-0.06</v>
      </c>
      <c r="M2123">
        <v>58.27</v>
      </c>
      <c r="N2123">
        <v>0.01</v>
      </c>
      <c r="O2123">
        <v>2.46</v>
      </c>
    </row>
    <row r="2124" spans="1:15">
      <c r="A2124" t="str">
        <f>"300675"</f>
        <v>300675</v>
      </c>
      <c r="B2124" t="s">
        <v>2162</v>
      </c>
      <c r="C2124">
        <v>-0.85</v>
      </c>
      <c r="D2124">
        <v>12.82</v>
      </c>
      <c r="E2124" t="s">
        <v>16</v>
      </c>
      <c r="F2124" t="s">
        <v>16</v>
      </c>
      <c r="H2124">
        <v>0</v>
      </c>
      <c r="I2124">
        <v>-7.37</v>
      </c>
      <c r="J2124">
        <v>-1.54</v>
      </c>
      <c r="L2124">
        <v>-0.93</v>
      </c>
      <c r="M2124">
        <v>4.74</v>
      </c>
      <c r="N2124">
        <v>0</v>
      </c>
      <c r="O2124">
        <v>0.3</v>
      </c>
    </row>
    <row r="2125" spans="1:15">
      <c r="A2125" t="str">
        <f>"300676"</f>
        <v>300676</v>
      </c>
      <c r="B2125" t="s">
        <v>2163</v>
      </c>
      <c r="C2125">
        <v>3.92</v>
      </c>
      <c r="D2125">
        <v>35.52</v>
      </c>
      <c r="E2125" t="s">
        <v>16</v>
      </c>
      <c r="F2125" t="s">
        <v>16</v>
      </c>
      <c r="H2125">
        <v>-0.19</v>
      </c>
      <c r="I2125">
        <v>2.63</v>
      </c>
      <c r="J2125">
        <v>-1.69</v>
      </c>
      <c r="L2125">
        <v>0.44</v>
      </c>
      <c r="M2125">
        <v>99.21</v>
      </c>
      <c r="N2125">
        <v>0.01</v>
      </c>
      <c r="O2125">
        <v>0.31</v>
      </c>
    </row>
    <row r="2126" spans="1:15">
      <c r="A2126" t="str">
        <f>"300677"</f>
        <v>300677</v>
      </c>
      <c r="B2126" t="s">
        <v>2164</v>
      </c>
      <c r="C2126">
        <v>-2.64</v>
      </c>
      <c r="D2126">
        <v>40.23</v>
      </c>
      <c r="E2126" t="s">
        <v>16</v>
      </c>
      <c r="F2126" t="s">
        <v>16</v>
      </c>
      <c r="H2126">
        <v>0.05</v>
      </c>
      <c r="I2126">
        <v>-13.63</v>
      </c>
      <c r="J2126">
        <v>-2.64</v>
      </c>
      <c r="L2126">
        <v>0</v>
      </c>
      <c r="M2126">
        <v>40.49</v>
      </c>
      <c r="N2126">
        <v>0</v>
      </c>
      <c r="O2126">
        <v>0.29</v>
      </c>
    </row>
    <row r="2127" spans="1:15">
      <c r="A2127" t="str">
        <f>"300678"</f>
        <v>300678</v>
      </c>
      <c r="B2127" t="s">
        <v>2165</v>
      </c>
      <c r="C2127">
        <v>0.98</v>
      </c>
      <c r="D2127">
        <v>23.77</v>
      </c>
      <c r="E2127" t="s">
        <v>16</v>
      </c>
      <c r="F2127" t="s">
        <v>16</v>
      </c>
      <c r="H2127">
        <v>0.17</v>
      </c>
      <c r="I2127">
        <v>1.84</v>
      </c>
      <c r="J2127">
        <v>-1.57</v>
      </c>
      <c r="L2127">
        <v>-0.04</v>
      </c>
      <c r="M2127">
        <v>83.77</v>
      </c>
      <c r="N2127">
        <v>0.02</v>
      </c>
      <c r="O2127">
        <v>7.91</v>
      </c>
    </row>
    <row r="2128" spans="1:15">
      <c r="A2128" t="str">
        <f>"300679"</f>
        <v>300679</v>
      </c>
      <c r="B2128" t="s">
        <v>2166</v>
      </c>
      <c r="C2128">
        <v>8.87</v>
      </c>
      <c r="D2128">
        <v>72.19</v>
      </c>
      <c r="E2128" t="s">
        <v>16</v>
      </c>
      <c r="F2128" t="s">
        <v>16</v>
      </c>
      <c r="H2128">
        <v>-0.03</v>
      </c>
      <c r="I2128">
        <v>24.44</v>
      </c>
      <c r="J2128">
        <v>-2.71</v>
      </c>
      <c r="L2128">
        <v>-0.09</v>
      </c>
      <c r="M2128">
        <v>1452.2</v>
      </c>
      <c r="N2128">
        <v>0.08</v>
      </c>
      <c r="O2128">
        <v>1.33</v>
      </c>
    </row>
    <row r="2129" spans="1:15">
      <c r="A2129" t="str">
        <f>"300680"</f>
        <v>300680</v>
      </c>
      <c r="B2129" t="s">
        <v>2167</v>
      </c>
      <c r="C2129">
        <v>0.96</v>
      </c>
      <c r="D2129">
        <v>26.16</v>
      </c>
      <c r="E2129" t="s">
        <v>16</v>
      </c>
      <c r="F2129" t="s">
        <v>16</v>
      </c>
      <c r="H2129">
        <v>-0.03</v>
      </c>
      <c r="I2129">
        <v>0.58</v>
      </c>
      <c r="J2129">
        <v>-1.28</v>
      </c>
      <c r="L2129">
        <v>-0.04</v>
      </c>
      <c r="M2129">
        <v>75.71</v>
      </c>
      <c r="N2129">
        <v>0.01</v>
      </c>
      <c r="O2129">
        <v>3.36</v>
      </c>
    </row>
    <row r="2130" spans="1:15">
      <c r="A2130" t="str">
        <f>"300681"</f>
        <v>300681</v>
      </c>
      <c r="B2130" t="s">
        <v>2168</v>
      </c>
      <c r="C2130">
        <v>-1.43</v>
      </c>
      <c r="D2130">
        <v>31.8</v>
      </c>
      <c r="E2130" t="s">
        <v>16</v>
      </c>
      <c r="F2130" t="s">
        <v>16</v>
      </c>
      <c r="H2130">
        <v>0.03</v>
      </c>
      <c r="I2130">
        <v>-1.52</v>
      </c>
      <c r="J2130">
        <v>-4.42</v>
      </c>
      <c r="L2130">
        <v>-0.71</v>
      </c>
      <c r="M2130">
        <v>62.46</v>
      </c>
      <c r="N2130">
        <v>0.01</v>
      </c>
      <c r="O2130">
        <v>0.48</v>
      </c>
    </row>
    <row r="2131" spans="1:15">
      <c r="A2131" t="str">
        <f>"300682"</f>
        <v>300682</v>
      </c>
      <c r="B2131" t="s">
        <v>2169</v>
      </c>
      <c r="C2131">
        <v>-1.15</v>
      </c>
      <c r="D2131">
        <v>11.13</v>
      </c>
      <c r="E2131" t="s">
        <v>16</v>
      </c>
      <c r="F2131" t="s">
        <v>16</v>
      </c>
      <c r="H2131">
        <v>-0.08</v>
      </c>
      <c r="I2131">
        <v>-15.75</v>
      </c>
      <c r="J2131">
        <v>-1.59</v>
      </c>
      <c r="L2131">
        <v>-0.18</v>
      </c>
      <c r="M2131">
        <v>17.98</v>
      </c>
      <c r="N2131">
        <v>0</v>
      </c>
      <c r="O2131">
        <v>0.21</v>
      </c>
    </row>
    <row r="2132" spans="1:15">
      <c r="A2132" t="str">
        <f>"300683"</f>
        <v>300683</v>
      </c>
      <c r="B2132" t="s">
        <v>2170</v>
      </c>
      <c r="C2132">
        <v>0.17</v>
      </c>
      <c r="D2132">
        <v>24.22</v>
      </c>
      <c r="E2132" t="s">
        <v>16</v>
      </c>
      <c r="F2132" t="s">
        <v>16</v>
      </c>
      <c r="H2132">
        <v>-0.03</v>
      </c>
      <c r="I2132">
        <v>-7.52</v>
      </c>
      <c r="J2132">
        <v>-2.14</v>
      </c>
      <c r="L2132">
        <v>0.08</v>
      </c>
      <c r="M2132">
        <v>16.94</v>
      </c>
      <c r="N2132">
        <v>0.01</v>
      </c>
      <c r="O2132">
        <v>0.91</v>
      </c>
    </row>
    <row r="2133" spans="1:15">
      <c r="A2133" t="str">
        <f>"300684"</f>
        <v>300684</v>
      </c>
      <c r="B2133" t="s">
        <v>2171</v>
      </c>
      <c r="C2133">
        <v>1.72</v>
      </c>
      <c r="D2133">
        <v>60.43</v>
      </c>
      <c r="E2133" t="s">
        <v>16</v>
      </c>
      <c r="F2133" t="s">
        <v>16</v>
      </c>
      <c r="H2133">
        <v>-0.48</v>
      </c>
      <c r="I2133">
        <v>7.68</v>
      </c>
      <c r="J2133">
        <v>-1.19</v>
      </c>
      <c r="L2133">
        <v>-1.03</v>
      </c>
      <c r="M2133">
        <v>166.99</v>
      </c>
      <c r="N2133">
        <v>0.02</v>
      </c>
      <c r="O2133">
        <v>1.05</v>
      </c>
    </row>
    <row r="2134" spans="1:15">
      <c r="A2134" t="str">
        <f>"300685"</f>
        <v>300685</v>
      </c>
      <c r="B2134" t="s">
        <v>2172</v>
      </c>
      <c r="C2134">
        <v>0.12</v>
      </c>
      <c r="D2134">
        <v>16.75</v>
      </c>
      <c r="E2134" t="s">
        <v>16</v>
      </c>
      <c r="F2134" t="s">
        <v>16</v>
      </c>
      <c r="H2134">
        <v>0.06</v>
      </c>
      <c r="I2134">
        <v>-17.93</v>
      </c>
      <c r="J2134">
        <v>-1.82</v>
      </c>
      <c r="L2134">
        <v>-0.18</v>
      </c>
      <c r="M2134">
        <v>30.73</v>
      </c>
      <c r="N2134">
        <v>0.01</v>
      </c>
      <c r="O2134">
        <v>0.89</v>
      </c>
    </row>
    <row r="2135" spans="1:15">
      <c r="A2135" t="str">
        <f>"300686"</f>
        <v>300686</v>
      </c>
      <c r="B2135" t="s">
        <v>2173</v>
      </c>
      <c r="C2135">
        <v>0.52</v>
      </c>
      <c r="D2135">
        <v>19.35</v>
      </c>
      <c r="E2135" t="s">
        <v>16</v>
      </c>
      <c r="F2135" t="s">
        <v>16</v>
      </c>
      <c r="H2135">
        <v>0.05</v>
      </c>
      <c r="I2135">
        <v>-1.78</v>
      </c>
      <c r="J2135">
        <v>-1.33</v>
      </c>
      <c r="L2135">
        <v>-0.47</v>
      </c>
      <c r="M2135">
        <v>58.63</v>
      </c>
      <c r="N2135">
        <v>0.02</v>
      </c>
      <c r="O2135">
        <v>0.73</v>
      </c>
    </row>
    <row r="2136" spans="1:15">
      <c r="A2136" t="str">
        <f>"300687"</f>
        <v>300687</v>
      </c>
      <c r="B2136" t="s">
        <v>2174</v>
      </c>
      <c r="C2136">
        <v>1.41</v>
      </c>
      <c r="D2136">
        <v>27.37</v>
      </c>
      <c r="E2136" t="s">
        <v>16</v>
      </c>
      <c r="F2136" t="s">
        <v>16</v>
      </c>
      <c r="H2136">
        <v>0.04</v>
      </c>
      <c r="I2136">
        <v>7.59</v>
      </c>
      <c r="J2136">
        <v>-3.56</v>
      </c>
      <c r="L2136">
        <v>0.04</v>
      </c>
      <c r="M2136">
        <v>400.14</v>
      </c>
      <c r="N2136">
        <v>0.05</v>
      </c>
      <c r="O2136">
        <v>4.4</v>
      </c>
    </row>
    <row r="2137" spans="1:15">
      <c r="A2137" t="str">
        <f>"300688"</f>
        <v>300688</v>
      </c>
      <c r="B2137" t="s">
        <v>2175</v>
      </c>
      <c r="C2137">
        <v>-0.5</v>
      </c>
      <c r="D2137">
        <v>29.93</v>
      </c>
      <c r="E2137" t="s">
        <v>16</v>
      </c>
      <c r="F2137" t="s">
        <v>16</v>
      </c>
      <c r="H2137">
        <v>-0.02</v>
      </c>
      <c r="I2137">
        <v>25.34</v>
      </c>
      <c r="J2137">
        <v>-2.13</v>
      </c>
      <c r="L2137">
        <v>-0.93</v>
      </c>
      <c r="M2137">
        <v>35.76</v>
      </c>
      <c r="N2137">
        <v>0.01</v>
      </c>
      <c r="O2137">
        <v>0.47</v>
      </c>
    </row>
    <row r="2138" spans="1:15">
      <c r="A2138" t="str">
        <f>"300689"</f>
        <v>300689</v>
      </c>
      <c r="B2138" t="s">
        <v>2176</v>
      </c>
      <c r="C2138">
        <v>4.53</v>
      </c>
      <c r="D2138">
        <v>63</v>
      </c>
      <c r="E2138" t="s">
        <v>16</v>
      </c>
      <c r="F2138" t="s">
        <v>16</v>
      </c>
      <c r="H2138">
        <v>-0.12</v>
      </c>
      <c r="I2138">
        <v>23.41</v>
      </c>
      <c r="J2138">
        <v>-1.07</v>
      </c>
      <c r="L2138">
        <v>0</v>
      </c>
      <c r="M2138">
        <v>20.49</v>
      </c>
      <c r="N2138">
        <v>0.01</v>
      </c>
      <c r="O2138">
        <v>0.58</v>
      </c>
    </row>
    <row r="2139" spans="1:15">
      <c r="A2139" t="str">
        <f>"300690"</f>
        <v>300690</v>
      </c>
      <c r="B2139" t="s">
        <v>2177</v>
      </c>
      <c r="C2139">
        <v>-0.62</v>
      </c>
      <c r="D2139">
        <v>23.88</v>
      </c>
      <c r="E2139" t="s">
        <v>16</v>
      </c>
      <c r="F2139" t="s">
        <v>16</v>
      </c>
      <c r="H2139">
        <v>-0.45</v>
      </c>
      <c r="I2139">
        <v>0.04</v>
      </c>
      <c r="J2139">
        <v>-2.05</v>
      </c>
      <c r="L2139">
        <v>1.46</v>
      </c>
      <c r="M2139">
        <v>97.76</v>
      </c>
      <c r="N2139">
        <v>0.05</v>
      </c>
      <c r="O2139">
        <v>5.9</v>
      </c>
    </row>
    <row r="2140" spans="1:15">
      <c r="A2140" t="str">
        <f>"300691"</f>
        <v>300691</v>
      </c>
      <c r="B2140" t="s">
        <v>2178</v>
      </c>
      <c r="C2140">
        <v>-0.65</v>
      </c>
      <c r="D2140">
        <v>16.76</v>
      </c>
      <c r="E2140" t="s">
        <v>16</v>
      </c>
      <c r="F2140" t="s">
        <v>16</v>
      </c>
      <c r="H2140">
        <v>-0.11</v>
      </c>
      <c r="I2140">
        <v>7.78</v>
      </c>
      <c r="J2140">
        <v>-1.53</v>
      </c>
      <c r="L2140">
        <v>-1.01</v>
      </c>
      <c r="M2140">
        <v>30.39</v>
      </c>
      <c r="N2140">
        <v>0.01</v>
      </c>
      <c r="O2140">
        <v>1.31</v>
      </c>
    </row>
    <row r="2141" spans="1:15">
      <c r="A2141" t="str">
        <f>"300692"</f>
        <v>300692</v>
      </c>
      <c r="B2141" t="s">
        <v>2179</v>
      </c>
      <c r="C2141">
        <v>0.66</v>
      </c>
      <c r="D2141">
        <v>7.58</v>
      </c>
      <c r="E2141" t="s">
        <v>16</v>
      </c>
      <c r="F2141" t="s">
        <v>16</v>
      </c>
      <c r="H2141">
        <v>0.26</v>
      </c>
      <c r="I2141">
        <v>-3.32</v>
      </c>
      <c r="J2141">
        <v>-3.44</v>
      </c>
      <c r="L2141">
        <v>0.13</v>
      </c>
      <c r="M2141">
        <v>14.1</v>
      </c>
      <c r="N2141">
        <v>0</v>
      </c>
      <c r="O2141">
        <v>1.28</v>
      </c>
    </row>
    <row r="2142" spans="1:15">
      <c r="A2142" t="str">
        <f>"300693"</f>
        <v>300693</v>
      </c>
      <c r="B2142" t="s">
        <v>2180</v>
      </c>
      <c r="C2142">
        <v>0.37</v>
      </c>
      <c r="D2142">
        <v>48.38</v>
      </c>
      <c r="E2142" t="s">
        <v>16</v>
      </c>
      <c r="F2142" t="s">
        <v>16</v>
      </c>
      <c r="H2142">
        <v>-0.28</v>
      </c>
      <c r="I2142">
        <v>-2.64</v>
      </c>
      <c r="J2142">
        <v>-2.06</v>
      </c>
      <c r="L2142">
        <v>-0.41</v>
      </c>
      <c r="M2142">
        <v>205.92</v>
      </c>
      <c r="N2142">
        <v>0.02</v>
      </c>
      <c r="O2142">
        <v>1.12</v>
      </c>
    </row>
    <row r="2143" spans="1:15">
      <c r="A2143" t="str">
        <f>"300694"</f>
        <v>300694</v>
      </c>
      <c r="B2143" t="s">
        <v>2181</v>
      </c>
      <c r="C2143">
        <v>-1.77</v>
      </c>
      <c r="D2143">
        <v>9.97</v>
      </c>
      <c r="E2143" t="s">
        <v>16</v>
      </c>
      <c r="F2143" t="s">
        <v>16</v>
      </c>
      <c r="H2143">
        <v>-0.29</v>
      </c>
      <c r="I2143">
        <v>-2.45</v>
      </c>
      <c r="J2143">
        <v>-1.77</v>
      </c>
      <c r="L2143">
        <v>-0.79</v>
      </c>
      <c r="M2143">
        <v>8.26</v>
      </c>
      <c r="N2143">
        <v>0.01</v>
      </c>
      <c r="O2143">
        <v>0.18</v>
      </c>
    </row>
    <row r="2144" spans="1:15">
      <c r="A2144" t="str">
        <f>"300695"</f>
        <v>300695</v>
      </c>
      <c r="B2144" t="s">
        <v>2182</v>
      </c>
      <c r="C2144">
        <v>2.64</v>
      </c>
      <c r="D2144">
        <v>56.3</v>
      </c>
      <c r="E2144" t="s">
        <v>16</v>
      </c>
      <c r="F2144" t="s">
        <v>16</v>
      </c>
      <c r="H2144">
        <v>0.09</v>
      </c>
      <c r="I2144">
        <v>-6.26</v>
      </c>
      <c r="J2144">
        <v>-0.51</v>
      </c>
      <c r="L2144">
        <v>0.27</v>
      </c>
      <c r="M2144">
        <v>3.3</v>
      </c>
      <c r="N2144">
        <v>0</v>
      </c>
      <c r="O2144">
        <v>1</v>
      </c>
    </row>
    <row r="2145" spans="1:15">
      <c r="A2145" t="str">
        <f>"300696"</f>
        <v>300696</v>
      </c>
      <c r="B2145" t="s">
        <v>2183</v>
      </c>
      <c r="C2145">
        <v>0.57</v>
      </c>
      <c r="D2145">
        <v>33.66</v>
      </c>
      <c r="E2145" t="s">
        <v>16</v>
      </c>
      <c r="F2145" t="s">
        <v>16</v>
      </c>
      <c r="H2145">
        <v>0.09</v>
      </c>
      <c r="I2145">
        <v>11.24</v>
      </c>
      <c r="J2145">
        <v>-0.94</v>
      </c>
      <c r="L2145">
        <v>-0.99</v>
      </c>
      <c r="M2145">
        <v>50.04</v>
      </c>
      <c r="N2145">
        <v>0.01</v>
      </c>
      <c r="O2145">
        <v>0.97</v>
      </c>
    </row>
    <row r="2146" spans="1:15">
      <c r="A2146" t="str">
        <f>"300697"</f>
        <v>300697</v>
      </c>
      <c r="B2146" t="s">
        <v>2184</v>
      </c>
      <c r="C2146">
        <v>10.97</v>
      </c>
      <c r="D2146">
        <v>19.01</v>
      </c>
      <c r="E2146" t="s">
        <v>16</v>
      </c>
      <c r="F2146" t="s">
        <v>16</v>
      </c>
      <c r="H2146">
        <v>0.11</v>
      </c>
      <c r="I2146">
        <v>16.06</v>
      </c>
      <c r="J2146">
        <v>-2.46</v>
      </c>
      <c r="L2146">
        <v>-0.18</v>
      </c>
      <c r="M2146">
        <v>98.33</v>
      </c>
      <c r="N2146">
        <v>0.04</v>
      </c>
      <c r="O2146">
        <v>1.14</v>
      </c>
    </row>
    <row r="2147" spans="1:15">
      <c r="A2147" t="str">
        <f>"300698"</f>
        <v>300698</v>
      </c>
      <c r="B2147" t="s">
        <v>2185</v>
      </c>
      <c r="C2147">
        <v>0.28</v>
      </c>
      <c r="D2147">
        <v>31.99</v>
      </c>
      <c r="E2147" t="s">
        <v>16</v>
      </c>
      <c r="F2147" t="s">
        <v>16</v>
      </c>
      <c r="H2147">
        <v>-0.02</v>
      </c>
      <c r="I2147">
        <v>-9.76</v>
      </c>
      <c r="J2147">
        <v>-1.36</v>
      </c>
      <c r="L2147">
        <v>-0.31</v>
      </c>
      <c r="M2147">
        <v>3.82</v>
      </c>
      <c r="N2147">
        <v>0</v>
      </c>
      <c r="O2147">
        <v>0.44</v>
      </c>
    </row>
    <row r="2148" spans="1:15">
      <c r="A2148" t="str">
        <f>"300699"</f>
        <v>300699</v>
      </c>
      <c r="B2148" t="s">
        <v>2186</v>
      </c>
      <c r="C2148">
        <v>-1.11</v>
      </c>
      <c r="D2148">
        <v>28.54</v>
      </c>
      <c r="E2148" t="s">
        <v>16</v>
      </c>
      <c r="F2148" t="s">
        <v>16</v>
      </c>
      <c r="H2148">
        <v>-0.2</v>
      </c>
      <c r="I2148">
        <v>-0.56</v>
      </c>
      <c r="J2148">
        <v>-1.86</v>
      </c>
      <c r="L2148">
        <v>-0.55</v>
      </c>
      <c r="M2148">
        <v>247.11</v>
      </c>
      <c r="N2148">
        <v>0.02</v>
      </c>
      <c r="O2148">
        <v>1.04</v>
      </c>
    </row>
    <row r="2149" spans="1:15">
      <c r="A2149" t="str">
        <f>"300700"</f>
        <v>300700</v>
      </c>
      <c r="B2149" t="s">
        <v>2187</v>
      </c>
      <c r="C2149">
        <v>8.25</v>
      </c>
      <c r="D2149">
        <v>24.55</v>
      </c>
      <c r="E2149" t="s">
        <v>16</v>
      </c>
      <c r="F2149" t="s">
        <v>16</v>
      </c>
      <c r="H2149">
        <v>0.08</v>
      </c>
      <c r="I2149">
        <v>22.69</v>
      </c>
      <c r="J2149">
        <v>-1.8</v>
      </c>
      <c r="L2149">
        <v>-0.97</v>
      </c>
      <c r="M2149">
        <v>79.28</v>
      </c>
      <c r="N2149">
        <v>0.01</v>
      </c>
      <c r="O2149">
        <v>0.5</v>
      </c>
    </row>
    <row r="2150" spans="1:15">
      <c r="A2150" t="str">
        <f>"300701"</f>
        <v>300701</v>
      </c>
      <c r="B2150" t="s">
        <v>2188</v>
      </c>
      <c r="C2150">
        <v>-1.86</v>
      </c>
      <c r="D2150">
        <v>10.05</v>
      </c>
      <c r="E2150" t="s">
        <v>16</v>
      </c>
      <c r="F2150" t="s">
        <v>16</v>
      </c>
      <c r="H2150">
        <v>0.1</v>
      </c>
      <c r="I2150">
        <v>-4.01</v>
      </c>
      <c r="J2150">
        <v>-1.95</v>
      </c>
      <c r="L2150">
        <v>0</v>
      </c>
      <c r="M2150">
        <v>13</v>
      </c>
      <c r="N2150">
        <v>0.01</v>
      </c>
      <c r="O2150">
        <v>0.77</v>
      </c>
    </row>
    <row r="2151" spans="1:15">
      <c r="A2151" t="str">
        <f>"300702"</f>
        <v>300702</v>
      </c>
      <c r="B2151" t="s">
        <v>2189</v>
      </c>
      <c r="C2151">
        <v>3.82</v>
      </c>
      <c r="D2151">
        <v>20.13</v>
      </c>
      <c r="E2151" t="s">
        <v>16</v>
      </c>
      <c r="F2151" t="s">
        <v>16</v>
      </c>
      <c r="H2151">
        <v>0</v>
      </c>
      <c r="I2151">
        <v>11.28</v>
      </c>
      <c r="J2151">
        <v>-1.23</v>
      </c>
      <c r="L2151">
        <v>-0.26</v>
      </c>
      <c r="M2151">
        <v>34.81</v>
      </c>
      <c r="N2151">
        <v>0.01</v>
      </c>
      <c r="O2151">
        <v>1.23</v>
      </c>
    </row>
    <row r="2152" spans="1:15">
      <c r="A2152" t="str">
        <f>"300703"</f>
        <v>300703</v>
      </c>
      <c r="B2152" t="s">
        <v>2190</v>
      </c>
      <c r="C2152">
        <v>-1.18</v>
      </c>
      <c r="D2152">
        <v>14.18</v>
      </c>
      <c r="E2152" t="s">
        <v>16</v>
      </c>
      <c r="F2152" t="s">
        <v>16</v>
      </c>
      <c r="H2152">
        <v>-0.2</v>
      </c>
      <c r="I2152">
        <v>-13.01</v>
      </c>
      <c r="J2152">
        <v>-1.94</v>
      </c>
      <c r="L2152">
        <v>-0.07</v>
      </c>
      <c r="M2152">
        <v>6.88</v>
      </c>
      <c r="N2152">
        <v>0</v>
      </c>
      <c r="O2152">
        <v>0.27</v>
      </c>
    </row>
    <row r="2153" spans="1:15">
      <c r="A2153" t="str">
        <f>"300705"</f>
        <v>300705</v>
      </c>
      <c r="B2153" t="s">
        <v>2191</v>
      </c>
      <c r="C2153">
        <v>-1.07</v>
      </c>
      <c r="D2153">
        <v>10.14</v>
      </c>
      <c r="E2153" t="s">
        <v>16</v>
      </c>
      <c r="F2153" t="s">
        <v>16</v>
      </c>
      <c r="H2153">
        <v>-0.19</v>
      </c>
      <c r="I2153">
        <v>-10.11</v>
      </c>
      <c r="J2153">
        <v>-2.5</v>
      </c>
      <c r="L2153">
        <v>-0.2</v>
      </c>
      <c r="M2153">
        <v>2.66</v>
      </c>
      <c r="N2153">
        <v>0</v>
      </c>
      <c r="O2153">
        <v>0.52</v>
      </c>
    </row>
    <row r="2154" spans="1:15">
      <c r="A2154" t="str">
        <f>"300706"</f>
        <v>300706</v>
      </c>
      <c r="B2154" t="s">
        <v>2192</v>
      </c>
      <c r="C2154">
        <v>-2.42</v>
      </c>
      <c r="D2154">
        <v>75.01</v>
      </c>
      <c r="E2154" t="s">
        <v>16</v>
      </c>
      <c r="F2154" t="s">
        <v>16</v>
      </c>
      <c r="H2154">
        <v>0.01</v>
      </c>
      <c r="I2154">
        <v>42.23</v>
      </c>
      <c r="J2154">
        <v>-5</v>
      </c>
      <c r="L2154">
        <v>-3.73</v>
      </c>
      <c r="M2154">
        <v>1724.94</v>
      </c>
      <c r="N2154">
        <v>0.29</v>
      </c>
      <c r="O2154">
        <v>0.66</v>
      </c>
    </row>
    <row r="2155" spans="1:15">
      <c r="A2155" t="str">
        <f>"300707"</f>
        <v>300707</v>
      </c>
      <c r="B2155" t="s">
        <v>2193</v>
      </c>
      <c r="C2155">
        <v>0.83</v>
      </c>
      <c r="D2155">
        <v>12.2</v>
      </c>
      <c r="E2155" t="s">
        <v>16</v>
      </c>
      <c r="F2155" t="s">
        <v>16</v>
      </c>
      <c r="H2155">
        <v>-0.24</v>
      </c>
      <c r="I2155">
        <v>-1.69</v>
      </c>
      <c r="J2155">
        <v>-0.73</v>
      </c>
      <c r="L2155">
        <v>-0.74</v>
      </c>
      <c r="M2155">
        <v>62.33</v>
      </c>
      <c r="N2155">
        <v>0.04</v>
      </c>
      <c r="O2155">
        <v>4.47</v>
      </c>
    </row>
    <row r="2156" spans="1:15">
      <c r="A2156" t="str">
        <f>"300708"</f>
        <v>300708</v>
      </c>
      <c r="B2156" t="s">
        <v>2194</v>
      </c>
      <c r="C2156">
        <v>-2.2</v>
      </c>
      <c r="D2156">
        <v>8.43</v>
      </c>
      <c r="E2156" t="s">
        <v>16</v>
      </c>
      <c r="F2156" t="s">
        <v>16</v>
      </c>
      <c r="H2156">
        <v>0.12</v>
      </c>
      <c r="I2156">
        <v>-4.53</v>
      </c>
      <c r="J2156">
        <v>-1.4</v>
      </c>
      <c r="L2156">
        <v>-1.39</v>
      </c>
      <c r="M2156">
        <v>77.35</v>
      </c>
      <c r="N2156">
        <v>0.01</v>
      </c>
      <c r="O2156">
        <v>1.36</v>
      </c>
    </row>
    <row r="2157" spans="1:15">
      <c r="A2157" t="str">
        <f>"300709"</f>
        <v>300709</v>
      </c>
      <c r="B2157" t="s">
        <v>2195</v>
      </c>
      <c r="C2157">
        <v>3.36</v>
      </c>
      <c r="D2157">
        <v>63.06</v>
      </c>
      <c r="E2157" t="s">
        <v>16</v>
      </c>
      <c r="F2157" t="s">
        <v>16</v>
      </c>
      <c r="H2157">
        <v>0.11</v>
      </c>
      <c r="I2157">
        <v>30.07</v>
      </c>
      <c r="J2157">
        <v>-3.73</v>
      </c>
      <c r="L2157">
        <v>-0.02</v>
      </c>
      <c r="M2157">
        <v>321.47</v>
      </c>
      <c r="N2157">
        <v>0.04</v>
      </c>
      <c r="O2157">
        <v>0.18</v>
      </c>
    </row>
    <row r="2158" spans="1:15">
      <c r="A2158" t="str">
        <f>"300710"</f>
        <v>300710</v>
      </c>
      <c r="B2158" t="s">
        <v>2196</v>
      </c>
      <c r="C2158">
        <v>-4.48</v>
      </c>
      <c r="D2158">
        <v>34.73</v>
      </c>
      <c r="E2158" t="s">
        <v>16</v>
      </c>
      <c r="F2158" t="s">
        <v>16</v>
      </c>
      <c r="H2158">
        <v>-0.02</v>
      </c>
      <c r="I2158">
        <v>-10.65</v>
      </c>
      <c r="J2158">
        <v>-9.01</v>
      </c>
      <c r="L2158">
        <v>0</v>
      </c>
      <c r="M2158">
        <v>40</v>
      </c>
      <c r="N2158">
        <v>0.02</v>
      </c>
      <c r="O2158">
        <v>0.68</v>
      </c>
    </row>
    <row r="2159" spans="1:15">
      <c r="A2159" t="str">
        <f>"300711"</f>
        <v>300711</v>
      </c>
      <c r="B2159" t="s">
        <v>2197</v>
      </c>
      <c r="C2159">
        <v>1.08</v>
      </c>
      <c r="D2159">
        <v>17.8</v>
      </c>
      <c r="E2159" t="s">
        <v>16</v>
      </c>
      <c r="F2159" t="s">
        <v>16</v>
      </c>
      <c r="H2159">
        <v>-0.21</v>
      </c>
      <c r="I2159">
        <v>-3.63</v>
      </c>
      <c r="J2159">
        <v>-1.06</v>
      </c>
      <c r="L2159">
        <v>-0.62</v>
      </c>
      <c r="M2159">
        <v>15.4</v>
      </c>
      <c r="N2159">
        <v>0.01</v>
      </c>
      <c r="O2159">
        <v>1.91</v>
      </c>
    </row>
    <row r="2160" spans="1:15">
      <c r="A2160" t="str">
        <f>"300712"</f>
        <v>300712</v>
      </c>
      <c r="B2160" t="s">
        <v>2198</v>
      </c>
      <c r="C2160">
        <v>-2.35</v>
      </c>
      <c r="D2160">
        <v>21.99</v>
      </c>
      <c r="E2160" t="s">
        <v>16</v>
      </c>
      <c r="F2160" t="s">
        <v>16</v>
      </c>
      <c r="H2160">
        <v>0.5</v>
      </c>
      <c r="I2160">
        <v>-0.23</v>
      </c>
      <c r="J2160">
        <v>-2.18</v>
      </c>
      <c r="L2160">
        <v>-1.2</v>
      </c>
      <c r="M2160">
        <v>5.56</v>
      </c>
      <c r="N2160">
        <v>0</v>
      </c>
      <c r="O2160">
        <v>0.71</v>
      </c>
    </row>
    <row r="2161" spans="1:15">
      <c r="A2161" t="str">
        <f>"300713"</f>
        <v>300713</v>
      </c>
      <c r="B2161" t="s">
        <v>2199</v>
      </c>
      <c r="C2161">
        <v>0.07</v>
      </c>
      <c r="D2161">
        <v>13.96</v>
      </c>
      <c r="E2161" t="s">
        <v>16</v>
      </c>
      <c r="F2161" t="s">
        <v>16</v>
      </c>
      <c r="H2161">
        <v>0</v>
      </c>
      <c r="I2161">
        <v>-4.58</v>
      </c>
      <c r="J2161">
        <v>-2.99</v>
      </c>
      <c r="L2161">
        <v>0.07</v>
      </c>
      <c r="M2161">
        <v>45.93</v>
      </c>
      <c r="N2161">
        <v>0.06</v>
      </c>
      <c r="O2161">
        <v>1.08</v>
      </c>
    </row>
    <row r="2162" spans="1:15">
      <c r="A2162" t="str">
        <f>"300715"</f>
        <v>300715</v>
      </c>
      <c r="B2162" t="s">
        <v>2200</v>
      </c>
      <c r="C2162">
        <v>-6.58</v>
      </c>
      <c r="D2162">
        <v>18.6</v>
      </c>
      <c r="E2162" t="s">
        <v>16</v>
      </c>
      <c r="F2162" t="s">
        <v>16</v>
      </c>
      <c r="H2162">
        <v>-0.2</v>
      </c>
      <c r="I2162">
        <v>-31.24</v>
      </c>
      <c r="J2162">
        <v>-5.92</v>
      </c>
      <c r="L2162">
        <v>-0.7</v>
      </c>
      <c r="M2162">
        <v>507.89</v>
      </c>
      <c r="N2162">
        <v>0.15</v>
      </c>
      <c r="O2162">
        <v>2.33</v>
      </c>
    </row>
    <row r="2163" spans="1:15">
      <c r="A2163" t="str">
        <f>"300716"</f>
        <v>300716</v>
      </c>
      <c r="B2163" t="s">
        <v>2201</v>
      </c>
      <c r="C2163">
        <v>8.52</v>
      </c>
      <c r="D2163">
        <v>21.53</v>
      </c>
      <c r="E2163" t="s">
        <v>16</v>
      </c>
      <c r="F2163" t="s">
        <v>16</v>
      </c>
      <c r="H2163">
        <v>0.09</v>
      </c>
      <c r="I2163">
        <v>26.28</v>
      </c>
      <c r="J2163">
        <v>-2.14</v>
      </c>
      <c r="L2163">
        <v>0.71</v>
      </c>
      <c r="M2163">
        <v>21.58</v>
      </c>
      <c r="N2163">
        <v>0.01</v>
      </c>
      <c r="O2163">
        <v>2.4</v>
      </c>
    </row>
    <row r="2164" spans="1:15">
      <c r="A2164" t="str">
        <f>"300717"</f>
        <v>300717</v>
      </c>
      <c r="B2164" t="s">
        <v>2202</v>
      </c>
      <c r="C2164">
        <v>-1.35</v>
      </c>
      <c r="D2164">
        <v>16.8</v>
      </c>
      <c r="E2164" t="s">
        <v>16</v>
      </c>
      <c r="F2164" t="s">
        <v>16</v>
      </c>
      <c r="H2164">
        <v>0.06</v>
      </c>
      <c r="I2164">
        <v>-4.55</v>
      </c>
      <c r="J2164">
        <v>-1.47</v>
      </c>
      <c r="L2164">
        <v>-1.12</v>
      </c>
      <c r="M2164">
        <v>18.52</v>
      </c>
      <c r="N2164">
        <v>0.02</v>
      </c>
      <c r="O2164">
        <v>1.45</v>
      </c>
    </row>
    <row r="2165" spans="1:15">
      <c r="A2165" t="str">
        <f>"300718"</f>
        <v>300718</v>
      </c>
      <c r="B2165" t="s">
        <v>2203</v>
      </c>
      <c r="C2165">
        <v>1.49</v>
      </c>
      <c r="D2165">
        <v>67.65</v>
      </c>
      <c r="E2165" t="s">
        <v>16</v>
      </c>
      <c r="F2165" t="s">
        <v>16</v>
      </c>
      <c r="H2165">
        <v>0</v>
      </c>
      <c r="I2165">
        <v>-8.33</v>
      </c>
      <c r="J2165">
        <v>-0.63</v>
      </c>
      <c r="L2165">
        <v>-0.23</v>
      </c>
      <c r="M2165">
        <v>89.12</v>
      </c>
      <c r="N2165">
        <v>0.01</v>
      </c>
      <c r="O2165">
        <v>0.72</v>
      </c>
    </row>
    <row r="2166" spans="1:15">
      <c r="A2166" t="str">
        <f>"300719"</f>
        <v>300719</v>
      </c>
      <c r="B2166" t="s">
        <v>2204</v>
      </c>
      <c r="C2166">
        <v>-1.38</v>
      </c>
      <c r="D2166">
        <v>12.86</v>
      </c>
      <c r="E2166" t="s">
        <v>16</v>
      </c>
      <c r="F2166" t="s">
        <v>16</v>
      </c>
      <c r="H2166">
        <v>-0.15</v>
      </c>
      <c r="I2166">
        <v>4.38</v>
      </c>
      <c r="J2166">
        <v>-2.43</v>
      </c>
      <c r="L2166">
        <v>-0.08</v>
      </c>
      <c r="M2166">
        <v>25.8</v>
      </c>
      <c r="N2166">
        <v>0.01</v>
      </c>
      <c r="O2166">
        <v>0.41</v>
      </c>
    </row>
    <row r="2167" spans="1:15">
      <c r="A2167" t="str">
        <f>"300720"</f>
        <v>300720</v>
      </c>
      <c r="B2167" t="s">
        <v>2205</v>
      </c>
      <c r="C2167">
        <v>-3.43</v>
      </c>
      <c r="D2167">
        <v>81.6</v>
      </c>
      <c r="E2167" t="s">
        <v>16</v>
      </c>
      <c r="F2167" t="s">
        <v>16</v>
      </c>
      <c r="H2167">
        <v>0.17</v>
      </c>
      <c r="I2167">
        <v>6.49</v>
      </c>
      <c r="J2167">
        <v>-4.55</v>
      </c>
      <c r="L2167">
        <v>-0.2</v>
      </c>
      <c r="M2167">
        <v>1168.81</v>
      </c>
      <c r="N2167">
        <v>0.18</v>
      </c>
      <c r="O2167">
        <v>0.6</v>
      </c>
    </row>
    <row r="2168" spans="1:15">
      <c r="A2168" t="str">
        <f>"300721"</f>
        <v>300721</v>
      </c>
      <c r="B2168" t="s">
        <v>2206</v>
      </c>
      <c r="C2168">
        <v>-6.87</v>
      </c>
      <c r="D2168">
        <v>28.05</v>
      </c>
      <c r="E2168" t="s">
        <v>16</v>
      </c>
      <c r="F2168" t="s">
        <v>16</v>
      </c>
      <c r="H2168">
        <v>-0.06</v>
      </c>
      <c r="I2168">
        <v>-11.18</v>
      </c>
      <c r="J2168">
        <v>-4.88</v>
      </c>
      <c r="L2168">
        <v>-2.66</v>
      </c>
      <c r="M2168">
        <v>854.68</v>
      </c>
      <c r="N2168">
        <v>0.31</v>
      </c>
      <c r="O2168">
        <v>1.36</v>
      </c>
    </row>
    <row r="2169" spans="1:15">
      <c r="A2169" t="str">
        <f>"300722"</f>
        <v>300722</v>
      </c>
      <c r="B2169" t="s">
        <v>2207</v>
      </c>
      <c r="C2169">
        <v>-1.57</v>
      </c>
      <c r="D2169">
        <v>23.23</v>
      </c>
      <c r="E2169" t="s">
        <v>16</v>
      </c>
      <c r="F2169" t="s">
        <v>16</v>
      </c>
      <c r="H2169">
        <v>0</v>
      </c>
      <c r="I2169">
        <v>2.2</v>
      </c>
      <c r="J2169">
        <v>-2.52</v>
      </c>
      <c r="L2169">
        <v>0.04</v>
      </c>
      <c r="M2169">
        <v>20.07</v>
      </c>
      <c r="N2169">
        <v>0.01</v>
      </c>
      <c r="O2169">
        <v>0.41</v>
      </c>
    </row>
    <row r="2170" spans="1:15">
      <c r="A2170" t="str">
        <f>"300723"</f>
        <v>300723</v>
      </c>
      <c r="B2170" t="s">
        <v>2208</v>
      </c>
      <c r="C2170">
        <v>1.95</v>
      </c>
      <c r="D2170">
        <v>33.42</v>
      </c>
      <c r="E2170" t="s">
        <v>16</v>
      </c>
      <c r="F2170" t="s">
        <v>16</v>
      </c>
      <c r="H2170">
        <v>0.21</v>
      </c>
      <c r="I2170">
        <v>-14.24</v>
      </c>
      <c r="J2170">
        <v>-2.19</v>
      </c>
      <c r="L2170">
        <v>-0.55</v>
      </c>
      <c r="M2170">
        <v>76.61</v>
      </c>
      <c r="N2170">
        <v>0.02</v>
      </c>
      <c r="O2170">
        <v>0.97</v>
      </c>
    </row>
    <row r="2171" spans="1:15">
      <c r="A2171" t="str">
        <f>"300724"</f>
        <v>300724</v>
      </c>
      <c r="B2171" t="s">
        <v>2209</v>
      </c>
      <c r="C2171">
        <v>-1.57</v>
      </c>
      <c r="D2171">
        <v>72.88</v>
      </c>
      <c r="E2171" t="s">
        <v>16</v>
      </c>
      <c r="F2171" t="s">
        <v>16</v>
      </c>
      <c r="H2171">
        <v>-0.11</v>
      </c>
      <c r="I2171">
        <v>-3.06</v>
      </c>
      <c r="J2171">
        <v>-1.38</v>
      </c>
      <c r="L2171">
        <v>-0.89</v>
      </c>
      <c r="M2171">
        <v>895.97</v>
      </c>
      <c r="N2171">
        <v>0.05</v>
      </c>
      <c r="O2171">
        <v>0.94</v>
      </c>
    </row>
    <row r="2172" spans="1:15">
      <c r="A2172" t="str">
        <f>"300725"</f>
        <v>300725</v>
      </c>
      <c r="B2172" t="s">
        <v>2210</v>
      </c>
      <c r="C2172">
        <v>3.46</v>
      </c>
      <c r="D2172">
        <v>33.21</v>
      </c>
      <c r="E2172" t="s">
        <v>16</v>
      </c>
      <c r="F2172" t="s">
        <v>16</v>
      </c>
      <c r="H2172">
        <v>0.06</v>
      </c>
      <c r="I2172">
        <v>-0.27</v>
      </c>
      <c r="J2172">
        <v>-1.37</v>
      </c>
      <c r="L2172">
        <v>-0.34</v>
      </c>
      <c r="M2172">
        <v>30.71</v>
      </c>
      <c r="N2172">
        <v>0</v>
      </c>
      <c r="O2172">
        <v>0.96</v>
      </c>
    </row>
    <row r="2173" spans="1:15">
      <c r="A2173" t="str">
        <f>"300726"</f>
        <v>300726</v>
      </c>
      <c r="B2173" t="s">
        <v>2211</v>
      </c>
      <c r="C2173">
        <v>0.33</v>
      </c>
      <c r="D2173">
        <v>85.41</v>
      </c>
      <c r="E2173" t="s">
        <v>16</v>
      </c>
      <c r="F2173" t="s">
        <v>16</v>
      </c>
      <c r="H2173">
        <v>-0.04</v>
      </c>
      <c r="I2173">
        <v>8.22</v>
      </c>
      <c r="J2173">
        <v>-4.25</v>
      </c>
      <c r="K2173" t="s">
        <v>57</v>
      </c>
      <c r="L2173">
        <v>-2.5</v>
      </c>
      <c r="M2173">
        <v>2899.19</v>
      </c>
      <c r="N2173">
        <v>0.27</v>
      </c>
      <c r="O2173">
        <v>0.57</v>
      </c>
    </row>
    <row r="2174" spans="1:15">
      <c r="A2174" t="str">
        <f>"300727"</f>
        <v>300727</v>
      </c>
      <c r="B2174" t="s">
        <v>2212</v>
      </c>
      <c r="C2174">
        <v>-8.5</v>
      </c>
      <c r="D2174">
        <v>34.89</v>
      </c>
      <c r="E2174" t="s">
        <v>16</v>
      </c>
      <c r="F2174" t="s">
        <v>16</v>
      </c>
      <c r="H2174">
        <v>0.03</v>
      </c>
      <c r="I2174">
        <v>9.37</v>
      </c>
      <c r="J2174">
        <v>-4.93</v>
      </c>
      <c r="L2174">
        <v>-5.46</v>
      </c>
      <c r="M2174">
        <v>2267.83</v>
      </c>
      <c r="N2174">
        <v>0.78</v>
      </c>
      <c r="O2174">
        <v>23.56</v>
      </c>
    </row>
    <row r="2175" spans="1:15">
      <c r="A2175" t="str">
        <f>"300729"</f>
        <v>300729</v>
      </c>
      <c r="B2175" t="s">
        <v>2213</v>
      </c>
      <c r="C2175">
        <v>-0.19</v>
      </c>
      <c r="D2175">
        <v>10.35</v>
      </c>
      <c r="E2175" t="s">
        <v>16</v>
      </c>
      <c r="F2175" t="s">
        <v>16</v>
      </c>
      <c r="H2175">
        <v>0.19</v>
      </c>
      <c r="I2175">
        <v>-3</v>
      </c>
      <c r="J2175">
        <v>-0.86</v>
      </c>
      <c r="L2175">
        <v>-0.19</v>
      </c>
      <c r="M2175">
        <v>10.35</v>
      </c>
      <c r="N2175">
        <v>0.01</v>
      </c>
      <c r="O2175">
        <v>4.55</v>
      </c>
    </row>
    <row r="2176" spans="1:15">
      <c r="A2176" t="str">
        <f>"300730"</f>
        <v>300730</v>
      </c>
      <c r="B2176" t="s">
        <v>2214</v>
      </c>
      <c r="C2176">
        <v>12.96</v>
      </c>
      <c r="D2176">
        <v>14.29</v>
      </c>
      <c r="E2176" t="s">
        <v>16</v>
      </c>
      <c r="F2176" t="s">
        <v>16</v>
      </c>
      <c r="H2176">
        <v>0.07</v>
      </c>
      <c r="I2176">
        <v>-1.65</v>
      </c>
      <c r="J2176">
        <v>-1.85</v>
      </c>
      <c r="L2176">
        <v>-1.11</v>
      </c>
      <c r="M2176">
        <v>59.8</v>
      </c>
      <c r="N2176">
        <v>0.03</v>
      </c>
      <c r="O2176">
        <v>39.83</v>
      </c>
    </row>
    <row r="2177" spans="1:15">
      <c r="A2177" t="str">
        <f>"300731"</f>
        <v>300731</v>
      </c>
      <c r="B2177" t="s">
        <v>2215</v>
      </c>
      <c r="C2177">
        <v>5.53</v>
      </c>
      <c r="D2177">
        <v>63.4</v>
      </c>
      <c r="E2177" t="s">
        <v>16</v>
      </c>
      <c r="F2177" t="s">
        <v>16</v>
      </c>
      <c r="H2177">
        <v>-0.05</v>
      </c>
      <c r="I2177">
        <v>2.76</v>
      </c>
      <c r="J2177">
        <v>-1.52</v>
      </c>
      <c r="L2177">
        <v>-0.25</v>
      </c>
      <c r="M2177">
        <v>86.9</v>
      </c>
      <c r="N2177">
        <v>0.01</v>
      </c>
      <c r="O2177">
        <v>0.56</v>
      </c>
    </row>
    <row r="2178" spans="1:15">
      <c r="A2178" t="str">
        <f>"300732"</f>
        <v>300732</v>
      </c>
      <c r="B2178" t="s">
        <v>2216</v>
      </c>
      <c r="C2178">
        <v>-0.49</v>
      </c>
      <c r="D2178">
        <v>6.08</v>
      </c>
      <c r="E2178" t="s">
        <v>16</v>
      </c>
      <c r="F2178" t="s">
        <v>16</v>
      </c>
      <c r="H2178">
        <v>0.16</v>
      </c>
      <c r="I2178">
        <v>-8.85</v>
      </c>
      <c r="J2178">
        <v>-1.3</v>
      </c>
      <c r="L2178">
        <v>-0.65</v>
      </c>
      <c r="M2178">
        <v>12.81</v>
      </c>
      <c r="N2178">
        <v>0.01</v>
      </c>
      <c r="O2178">
        <v>1.85</v>
      </c>
    </row>
    <row r="2179" spans="1:15">
      <c r="A2179" t="str">
        <f>"300733"</f>
        <v>300733</v>
      </c>
      <c r="B2179" t="s">
        <v>2217</v>
      </c>
      <c r="C2179">
        <v>-0.6</v>
      </c>
      <c r="D2179">
        <v>14.83</v>
      </c>
      <c r="E2179" t="s">
        <v>16</v>
      </c>
      <c r="F2179" t="s">
        <v>16</v>
      </c>
      <c r="H2179">
        <v>0</v>
      </c>
      <c r="I2179">
        <v>21.46</v>
      </c>
      <c r="J2179">
        <v>-4.32</v>
      </c>
      <c r="L2179">
        <v>0</v>
      </c>
      <c r="M2179">
        <v>29.99</v>
      </c>
      <c r="N2179">
        <v>0.01</v>
      </c>
      <c r="O2179">
        <v>0.32</v>
      </c>
    </row>
    <row r="2180" spans="1:15">
      <c r="A2180" t="str">
        <f>"300735"</f>
        <v>300735</v>
      </c>
      <c r="B2180" t="s">
        <v>2218</v>
      </c>
      <c r="C2180">
        <v>-6.68</v>
      </c>
      <c r="D2180">
        <v>23.19</v>
      </c>
      <c r="E2180" t="s">
        <v>16</v>
      </c>
      <c r="F2180" t="s">
        <v>16</v>
      </c>
      <c r="H2180">
        <v>0</v>
      </c>
      <c r="I2180">
        <v>7.86</v>
      </c>
      <c r="J2180">
        <v>-4.76</v>
      </c>
      <c r="K2180" t="s">
        <v>54</v>
      </c>
      <c r="L2180">
        <v>-2.01</v>
      </c>
      <c r="M2180">
        <v>2086.79</v>
      </c>
      <c r="N2180">
        <v>0.22</v>
      </c>
      <c r="O2180">
        <v>6.21</v>
      </c>
    </row>
    <row r="2181" spans="1:15">
      <c r="A2181" t="str">
        <f>"300736"</f>
        <v>300736</v>
      </c>
      <c r="B2181" t="s">
        <v>2219</v>
      </c>
      <c r="C2181">
        <v>2.89</v>
      </c>
      <c r="D2181">
        <v>35.58</v>
      </c>
      <c r="E2181" t="s">
        <v>16</v>
      </c>
      <c r="F2181" t="s">
        <v>16</v>
      </c>
      <c r="H2181">
        <v>0.11</v>
      </c>
      <c r="I2181">
        <v>18.21</v>
      </c>
      <c r="J2181">
        <v>-1.39</v>
      </c>
      <c r="L2181">
        <v>0.87</v>
      </c>
      <c r="M2181">
        <v>103.24</v>
      </c>
      <c r="N2181">
        <v>0.03</v>
      </c>
      <c r="O2181">
        <v>1.17</v>
      </c>
    </row>
    <row r="2182" spans="1:15">
      <c r="A2182" t="str">
        <f>"300737"</f>
        <v>300737</v>
      </c>
      <c r="B2182" t="s">
        <v>2220</v>
      </c>
      <c r="C2182">
        <v>-5.88</v>
      </c>
      <c r="D2182">
        <v>7.68</v>
      </c>
      <c r="E2182" t="s">
        <v>16</v>
      </c>
      <c r="F2182" t="s">
        <v>16</v>
      </c>
      <c r="H2182">
        <v>0</v>
      </c>
      <c r="I2182">
        <v>-9.54</v>
      </c>
      <c r="J2182">
        <v>-5.19</v>
      </c>
      <c r="K2182" t="s">
        <v>54</v>
      </c>
      <c r="L2182">
        <v>-2.94</v>
      </c>
      <c r="M2182">
        <v>767.13</v>
      </c>
      <c r="N2182">
        <v>0.17</v>
      </c>
      <c r="O2182">
        <v>0.99</v>
      </c>
    </row>
    <row r="2183" spans="1:15">
      <c r="A2183" t="str">
        <f>"300738"</f>
        <v>300738</v>
      </c>
      <c r="B2183" t="s">
        <v>2221</v>
      </c>
      <c r="C2183">
        <v>5.18</v>
      </c>
      <c r="D2183">
        <v>21.12</v>
      </c>
      <c r="E2183" t="s">
        <v>16</v>
      </c>
      <c r="F2183" t="s">
        <v>16</v>
      </c>
      <c r="H2183">
        <v>0</v>
      </c>
      <c r="I2183">
        <v>1.05</v>
      </c>
      <c r="J2183">
        <v>-0.8</v>
      </c>
      <c r="L2183">
        <v>0.6</v>
      </c>
      <c r="M2183">
        <v>292.5</v>
      </c>
      <c r="N2183">
        <v>0.02</v>
      </c>
      <c r="O2183">
        <v>1.22</v>
      </c>
    </row>
    <row r="2184" spans="1:15">
      <c r="A2184" t="str">
        <f>"300739"</f>
        <v>300739</v>
      </c>
      <c r="B2184" t="s">
        <v>2222</v>
      </c>
      <c r="C2184">
        <v>5</v>
      </c>
      <c r="D2184">
        <v>33.99</v>
      </c>
      <c r="E2184" t="s">
        <v>16</v>
      </c>
      <c r="F2184" t="s">
        <v>16</v>
      </c>
      <c r="H2184">
        <v>-0.05</v>
      </c>
      <c r="I2184">
        <v>12.74</v>
      </c>
      <c r="J2184">
        <v>-1.59</v>
      </c>
      <c r="L2184">
        <v>-0.22</v>
      </c>
      <c r="M2184">
        <v>926.36</v>
      </c>
      <c r="N2184">
        <v>0.12</v>
      </c>
      <c r="O2184">
        <v>1.69</v>
      </c>
    </row>
    <row r="2185" spans="1:15">
      <c r="A2185" t="str">
        <f>"300740"</f>
        <v>300740</v>
      </c>
      <c r="B2185" t="s">
        <v>2223</v>
      </c>
      <c r="C2185">
        <v>3.27</v>
      </c>
      <c r="D2185">
        <v>22.75</v>
      </c>
      <c r="E2185" t="s">
        <v>16</v>
      </c>
      <c r="F2185" t="s">
        <v>16</v>
      </c>
      <c r="H2185">
        <v>0.09</v>
      </c>
      <c r="I2185">
        <v>-3.11</v>
      </c>
      <c r="J2185">
        <v>-1</v>
      </c>
      <c r="L2185">
        <v>1.23</v>
      </c>
      <c r="M2185">
        <v>163.46</v>
      </c>
      <c r="N2185">
        <v>0.03</v>
      </c>
      <c r="O2185">
        <v>2.33</v>
      </c>
    </row>
    <row r="2186" spans="1:15">
      <c r="A2186" t="str">
        <f>"300741"</f>
        <v>300741</v>
      </c>
      <c r="B2186" t="s">
        <v>2224</v>
      </c>
      <c r="C2186">
        <v>-0.07</v>
      </c>
      <c r="D2186">
        <v>14.01</v>
      </c>
      <c r="E2186" t="s">
        <v>16</v>
      </c>
      <c r="F2186" t="s">
        <v>16</v>
      </c>
      <c r="H2186">
        <v>-0.06</v>
      </c>
      <c r="I2186">
        <v>-0.07</v>
      </c>
      <c r="J2186">
        <v>-0.57</v>
      </c>
      <c r="L2186">
        <v>-0.78</v>
      </c>
      <c r="M2186">
        <v>20.17</v>
      </c>
      <c r="N2186">
        <v>0.01</v>
      </c>
      <c r="O2186">
        <v>2.69</v>
      </c>
    </row>
    <row r="2187" spans="1:15">
      <c r="A2187" t="str">
        <f>"300743"</f>
        <v>300743</v>
      </c>
      <c r="B2187" t="s">
        <v>2225</v>
      </c>
      <c r="C2187">
        <v>-1.06</v>
      </c>
      <c r="D2187">
        <v>15.91</v>
      </c>
      <c r="E2187" t="s">
        <v>16</v>
      </c>
      <c r="F2187" t="s">
        <v>16</v>
      </c>
      <c r="H2187">
        <v>-0.24</v>
      </c>
      <c r="I2187">
        <v>-7.07</v>
      </c>
      <c r="J2187">
        <v>-1.06</v>
      </c>
      <c r="L2187">
        <v>-0.44</v>
      </c>
      <c r="M2187">
        <v>1.28</v>
      </c>
      <c r="N2187">
        <v>0</v>
      </c>
      <c r="O2187">
        <v>0.12</v>
      </c>
    </row>
    <row r="2188" spans="1:15">
      <c r="A2188" t="str">
        <f>"300745"</f>
        <v>300745</v>
      </c>
      <c r="B2188" t="s">
        <v>2226</v>
      </c>
      <c r="C2188">
        <v>1.81</v>
      </c>
      <c r="D2188">
        <v>44.92</v>
      </c>
      <c r="E2188" t="s">
        <v>16</v>
      </c>
      <c r="F2188" t="s">
        <v>16</v>
      </c>
      <c r="H2188">
        <v>0.2</v>
      </c>
      <c r="I2188">
        <v>-7.27</v>
      </c>
      <c r="J2188">
        <v>-0.84</v>
      </c>
      <c r="L2188">
        <v>-0.5</v>
      </c>
      <c r="M2188">
        <v>13.17</v>
      </c>
      <c r="N2188">
        <v>0</v>
      </c>
      <c r="O2188">
        <v>1.2</v>
      </c>
    </row>
    <row r="2189" spans="1:15">
      <c r="A2189" t="str">
        <f>"300746"</f>
        <v>300746</v>
      </c>
      <c r="B2189" t="s">
        <v>2227</v>
      </c>
      <c r="C2189">
        <v>-0.8</v>
      </c>
      <c r="D2189">
        <v>11.14</v>
      </c>
      <c r="E2189" t="s">
        <v>16</v>
      </c>
      <c r="F2189" t="s">
        <v>16</v>
      </c>
      <c r="H2189">
        <v>0.18</v>
      </c>
      <c r="I2189">
        <v>5.29</v>
      </c>
      <c r="J2189">
        <v>-2.28</v>
      </c>
      <c r="L2189">
        <v>-0.62</v>
      </c>
      <c r="M2189">
        <v>12.16</v>
      </c>
      <c r="N2189">
        <v>0.01</v>
      </c>
      <c r="O2189">
        <v>0.73</v>
      </c>
    </row>
    <row r="2190" spans="1:15">
      <c r="A2190" t="str">
        <f>"300747"</f>
        <v>300747</v>
      </c>
      <c r="B2190" t="s">
        <v>2228</v>
      </c>
      <c r="C2190">
        <v>-1.6</v>
      </c>
      <c r="D2190">
        <v>54.05</v>
      </c>
      <c r="E2190" t="s">
        <v>16</v>
      </c>
      <c r="F2190" t="s">
        <v>16</v>
      </c>
      <c r="H2190">
        <v>-0.01</v>
      </c>
      <c r="I2190">
        <v>15</v>
      </c>
      <c r="J2190">
        <v>-5.34</v>
      </c>
      <c r="L2190">
        <v>0.02</v>
      </c>
      <c r="M2190">
        <v>1250.98</v>
      </c>
      <c r="N2190">
        <v>0.07</v>
      </c>
      <c r="O2190">
        <v>0.59</v>
      </c>
    </row>
    <row r="2191" spans="1:15">
      <c r="A2191" t="str">
        <f>"300748"</f>
        <v>300748</v>
      </c>
      <c r="B2191" t="s">
        <v>2229</v>
      </c>
      <c r="C2191">
        <v>3.53</v>
      </c>
      <c r="D2191">
        <v>33.43</v>
      </c>
      <c r="E2191" t="s">
        <v>16</v>
      </c>
      <c r="F2191" t="s">
        <v>16</v>
      </c>
      <c r="H2191">
        <v>0.03</v>
      </c>
      <c r="I2191">
        <v>8.5</v>
      </c>
      <c r="J2191">
        <v>-1.68</v>
      </c>
      <c r="L2191">
        <v>0.03</v>
      </c>
      <c r="M2191">
        <v>413.12</v>
      </c>
      <c r="N2191">
        <v>0.02</v>
      </c>
      <c r="O2191">
        <v>0.59</v>
      </c>
    </row>
    <row r="2192" spans="1:15">
      <c r="A2192" t="str">
        <f>"300749"</f>
        <v>300749</v>
      </c>
      <c r="B2192" t="s">
        <v>2230</v>
      </c>
      <c r="C2192">
        <v>6.72</v>
      </c>
      <c r="D2192">
        <v>22.55</v>
      </c>
      <c r="E2192" t="s">
        <v>16</v>
      </c>
      <c r="F2192" t="s">
        <v>16</v>
      </c>
      <c r="H2192">
        <v>-0.12</v>
      </c>
      <c r="I2192">
        <v>-1.79</v>
      </c>
      <c r="J2192">
        <v>-1.44</v>
      </c>
      <c r="L2192">
        <v>-0.71</v>
      </c>
      <c r="M2192">
        <v>74.48</v>
      </c>
      <c r="N2192">
        <v>0.03</v>
      </c>
      <c r="O2192">
        <v>2.4</v>
      </c>
    </row>
    <row r="2193" spans="1:15">
      <c r="A2193" t="str">
        <f>"300750"</f>
        <v>300750</v>
      </c>
      <c r="B2193" t="s">
        <v>2231</v>
      </c>
      <c r="C2193">
        <v>-1.87</v>
      </c>
      <c r="D2193">
        <v>391.55</v>
      </c>
      <c r="E2193" t="s">
        <v>16</v>
      </c>
      <c r="F2193" t="s">
        <v>16</v>
      </c>
      <c r="H2193">
        <v>-0.61</v>
      </c>
      <c r="I2193">
        <v>-4.08</v>
      </c>
      <c r="J2193">
        <v>-4.47</v>
      </c>
      <c r="L2193">
        <v>0.35</v>
      </c>
      <c r="M2193">
        <v>19779.27</v>
      </c>
      <c r="N2193">
        <v>0.02</v>
      </c>
      <c r="O2193">
        <v>1.24</v>
      </c>
    </row>
    <row r="2194" spans="1:15">
      <c r="A2194" t="str">
        <f>"300751"</f>
        <v>300751</v>
      </c>
      <c r="B2194" t="s">
        <v>2232</v>
      </c>
      <c r="C2194">
        <v>-1.94</v>
      </c>
      <c r="D2194">
        <v>220.64</v>
      </c>
      <c r="E2194" t="s">
        <v>16</v>
      </c>
      <c r="F2194" t="s">
        <v>16</v>
      </c>
      <c r="H2194">
        <v>-0.04</v>
      </c>
      <c r="I2194">
        <v>-2.77</v>
      </c>
      <c r="J2194">
        <v>-2.72</v>
      </c>
      <c r="L2194">
        <v>-1.8</v>
      </c>
      <c r="M2194">
        <v>1126.85</v>
      </c>
      <c r="N2194">
        <v>0.03</v>
      </c>
      <c r="O2194">
        <v>1.17</v>
      </c>
    </row>
    <row r="2195" spans="1:15">
      <c r="A2195" t="str">
        <f>"300752"</f>
        <v>300752</v>
      </c>
      <c r="B2195" t="s">
        <v>2233</v>
      </c>
      <c r="C2195">
        <v>0.97</v>
      </c>
      <c r="D2195">
        <v>14.5</v>
      </c>
      <c r="E2195" t="s">
        <v>16</v>
      </c>
      <c r="F2195" t="s">
        <v>16</v>
      </c>
      <c r="H2195">
        <v>0.07</v>
      </c>
      <c r="I2195">
        <v>1.61</v>
      </c>
      <c r="J2195">
        <v>-1.96</v>
      </c>
      <c r="L2195">
        <v>-0.84</v>
      </c>
      <c r="M2195">
        <v>98.54</v>
      </c>
      <c r="N2195">
        <v>0.04</v>
      </c>
      <c r="O2195">
        <v>1.98</v>
      </c>
    </row>
    <row r="2196" spans="1:15">
      <c r="A2196" t="str">
        <f>"300753"</f>
        <v>300753</v>
      </c>
      <c r="B2196" t="s">
        <v>2234</v>
      </c>
      <c r="C2196">
        <v>-0.58</v>
      </c>
      <c r="D2196">
        <v>20.71</v>
      </c>
      <c r="E2196" t="s">
        <v>16</v>
      </c>
      <c r="F2196" t="s">
        <v>16</v>
      </c>
      <c r="H2196">
        <v>0</v>
      </c>
      <c r="I2196">
        <v>-4.78</v>
      </c>
      <c r="J2196">
        <v>-3.63</v>
      </c>
      <c r="L2196">
        <v>-1.01</v>
      </c>
      <c r="M2196">
        <v>52.79</v>
      </c>
      <c r="N2196">
        <v>0.03</v>
      </c>
      <c r="O2196">
        <v>1.33</v>
      </c>
    </row>
    <row r="2197" spans="1:15">
      <c r="A2197" t="str">
        <f>"300755"</f>
        <v>300755</v>
      </c>
      <c r="B2197" t="s">
        <v>2235</v>
      </c>
      <c r="C2197">
        <v>-0.86</v>
      </c>
      <c r="D2197">
        <v>14.9</v>
      </c>
      <c r="E2197" t="s">
        <v>16</v>
      </c>
      <c r="F2197" t="s">
        <v>16</v>
      </c>
      <c r="H2197">
        <v>0.27</v>
      </c>
      <c r="I2197">
        <v>0.68</v>
      </c>
      <c r="J2197">
        <v>-0.86</v>
      </c>
      <c r="L2197">
        <v>-0.73</v>
      </c>
      <c r="M2197">
        <v>1.64</v>
      </c>
      <c r="N2197">
        <v>0</v>
      </c>
      <c r="O2197">
        <v>0.1</v>
      </c>
    </row>
    <row r="2198" spans="1:15">
      <c r="A2198" t="str">
        <f>"300756"</f>
        <v>300756</v>
      </c>
      <c r="B2198" t="s">
        <v>2236</v>
      </c>
      <c r="C2198">
        <v>-0.54</v>
      </c>
      <c r="D2198">
        <v>33.41</v>
      </c>
      <c r="E2198" t="s">
        <v>16</v>
      </c>
      <c r="F2198" t="s">
        <v>16</v>
      </c>
      <c r="H2198">
        <v>-0.82</v>
      </c>
      <c r="I2198">
        <v>-4.21</v>
      </c>
      <c r="J2198">
        <v>-2.22</v>
      </c>
      <c r="L2198">
        <v>0</v>
      </c>
      <c r="M2198">
        <v>33.25</v>
      </c>
      <c r="N2198">
        <v>0.01</v>
      </c>
      <c r="O2198">
        <v>1.55</v>
      </c>
    </row>
    <row r="2199" spans="1:15">
      <c r="A2199" t="str">
        <f>"300757"</f>
        <v>300757</v>
      </c>
      <c r="B2199" t="s">
        <v>2237</v>
      </c>
      <c r="C2199">
        <v>0.88</v>
      </c>
      <c r="D2199">
        <v>666</v>
      </c>
      <c r="E2199" t="s">
        <v>16</v>
      </c>
      <c r="F2199" t="s">
        <v>16</v>
      </c>
      <c r="H2199">
        <v>0.3</v>
      </c>
      <c r="I2199">
        <v>-2.86</v>
      </c>
      <c r="J2199">
        <v>-0.37</v>
      </c>
      <c r="L2199">
        <v>-1.87</v>
      </c>
      <c r="M2199">
        <v>4671.29</v>
      </c>
      <c r="N2199">
        <v>0.06</v>
      </c>
      <c r="O2199">
        <v>0.33</v>
      </c>
    </row>
    <row r="2200" spans="1:15">
      <c r="A2200" t="str">
        <f>"300758"</f>
        <v>300758</v>
      </c>
      <c r="B2200" t="s">
        <v>2238</v>
      </c>
      <c r="C2200">
        <v>-2.26</v>
      </c>
      <c r="D2200">
        <v>12.95</v>
      </c>
      <c r="E2200" t="s">
        <v>16</v>
      </c>
      <c r="F2200" t="s">
        <v>16</v>
      </c>
      <c r="H2200">
        <v>-0.3</v>
      </c>
      <c r="I2200">
        <v>12.22</v>
      </c>
      <c r="J2200">
        <v>-3</v>
      </c>
      <c r="L2200">
        <v>-0.68</v>
      </c>
      <c r="M2200">
        <v>125.02</v>
      </c>
      <c r="N2200">
        <v>0.04</v>
      </c>
      <c r="O2200">
        <v>0.65</v>
      </c>
    </row>
    <row r="2201" spans="1:15">
      <c r="A2201" t="str">
        <f>"300759"</f>
        <v>300759</v>
      </c>
      <c r="B2201" t="s">
        <v>2239</v>
      </c>
      <c r="C2201">
        <v>2.44</v>
      </c>
      <c r="D2201">
        <v>22.71</v>
      </c>
      <c r="E2201" t="s">
        <v>16</v>
      </c>
      <c r="F2201" t="s">
        <v>16</v>
      </c>
      <c r="H2201">
        <v>0.04</v>
      </c>
      <c r="I2201">
        <v>-1.17</v>
      </c>
      <c r="J2201">
        <v>-1</v>
      </c>
      <c r="L2201">
        <v>-0.68</v>
      </c>
      <c r="M2201">
        <v>243.54</v>
      </c>
      <c r="N2201">
        <v>0.01</v>
      </c>
      <c r="O2201">
        <v>2.05</v>
      </c>
    </row>
    <row r="2202" spans="1:15">
      <c r="A2202" t="str">
        <f>"300760"</f>
        <v>300760</v>
      </c>
      <c r="B2202" t="s">
        <v>2240</v>
      </c>
      <c r="C2202">
        <v>-2.33</v>
      </c>
      <c r="D2202">
        <v>140.01</v>
      </c>
      <c r="E2202" t="s">
        <v>16</v>
      </c>
      <c r="F2202" t="s">
        <v>16</v>
      </c>
      <c r="H2202">
        <v>-0.42</v>
      </c>
      <c r="I2202">
        <v>-1.81</v>
      </c>
      <c r="J2202">
        <v>-3.61</v>
      </c>
      <c r="L2202">
        <v>0</v>
      </c>
      <c r="M2202">
        <v>401.38</v>
      </c>
      <c r="N2202">
        <v>0</v>
      </c>
      <c r="O2202">
        <v>0.96</v>
      </c>
    </row>
    <row r="2203" spans="1:15">
      <c r="A2203" t="str">
        <f>"300761"</f>
        <v>300761</v>
      </c>
      <c r="B2203" t="s">
        <v>2241</v>
      </c>
      <c r="C2203">
        <v>-0.64</v>
      </c>
      <c r="D2203">
        <v>17.19</v>
      </c>
      <c r="E2203" t="s">
        <v>16</v>
      </c>
      <c r="F2203" t="s">
        <v>16</v>
      </c>
      <c r="H2203">
        <v>-0.16</v>
      </c>
      <c r="I2203">
        <v>-3.59</v>
      </c>
      <c r="J2203">
        <v>-1.43</v>
      </c>
      <c r="L2203">
        <v>0.35</v>
      </c>
      <c r="M2203">
        <v>90.79</v>
      </c>
      <c r="N2203">
        <v>0.01</v>
      </c>
      <c r="O2203">
        <v>0.81</v>
      </c>
    </row>
    <row r="2204" spans="1:15">
      <c r="A2204" t="str">
        <f>"300762"</f>
        <v>300762</v>
      </c>
      <c r="B2204" t="s">
        <v>2242</v>
      </c>
      <c r="C2204">
        <v>5.25</v>
      </c>
      <c r="D2204">
        <v>40.9</v>
      </c>
      <c r="E2204" t="s">
        <v>16</v>
      </c>
      <c r="F2204" t="s">
        <v>16</v>
      </c>
      <c r="H2204">
        <v>-0.04</v>
      </c>
      <c r="I2204">
        <v>17.29</v>
      </c>
      <c r="J2204">
        <v>-2.15</v>
      </c>
      <c r="L2204">
        <v>-2.96</v>
      </c>
      <c r="M2204">
        <v>2431.16</v>
      </c>
      <c r="N2204">
        <v>0.12</v>
      </c>
      <c r="O2204">
        <v>0.94</v>
      </c>
    </row>
    <row r="2205" spans="1:15">
      <c r="A2205" t="str">
        <f>"300763"</f>
        <v>300763</v>
      </c>
      <c r="B2205" t="s">
        <v>2243</v>
      </c>
      <c r="C2205">
        <v>-1.34</v>
      </c>
      <c r="D2205">
        <v>92.06</v>
      </c>
      <c r="E2205" t="s">
        <v>16</v>
      </c>
      <c r="F2205" t="s">
        <v>16</v>
      </c>
      <c r="H2205">
        <v>0.04</v>
      </c>
      <c r="I2205">
        <v>-13.07</v>
      </c>
      <c r="J2205">
        <v>-2.68</v>
      </c>
      <c r="L2205">
        <v>-1.14</v>
      </c>
      <c r="M2205">
        <v>280.49</v>
      </c>
      <c r="N2205">
        <v>0.01</v>
      </c>
      <c r="O2205">
        <v>0.34</v>
      </c>
    </row>
    <row r="2206" spans="1:15">
      <c r="A2206" t="str">
        <f>"300765"</f>
        <v>300765</v>
      </c>
      <c r="B2206" t="s">
        <v>2244</v>
      </c>
      <c r="C2206">
        <v>-2.6</v>
      </c>
      <c r="D2206">
        <v>23.95</v>
      </c>
      <c r="E2206" t="s">
        <v>16</v>
      </c>
      <c r="F2206" t="s">
        <v>16</v>
      </c>
      <c r="H2206">
        <v>-0.41</v>
      </c>
      <c r="I2206">
        <v>-5.41</v>
      </c>
      <c r="J2206">
        <v>-4.16</v>
      </c>
      <c r="L2206">
        <v>-0.94</v>
      </c>
      <c r="M2206">
        <v>186.11</v>
      </c>
      <c r="N2206">
        <v>0.02</v>
      </c>
      <c r="O2206">
        <v>1.98</v>
      </c>
    </row>
    <row r="2207" spans="1:15">
      <c r="A2207" t="str">
        <f>"300766"</f>
        <v>300766</v>
      </c>
      <c r="B2207" t="s">
        <v>2245</v>
      </c>
      <c r="C2207">
        <v>-1.07</v>
      </c>
      <c r="D2207">
        <v>24.08</v>
      </c>
      <c r="E2207" t="s">
        <v>16</v>
      </c>
      <c r="F2207" t="s">
        <v>16</v>
      </c>
      <c r="H2207">
        <v>-0.11</v>
      </c>
      <c r="I2207">
        <v>0.12</v>
      </c>
      <c r="J2207">
        <v>-1.75</v>
      </c>
      <c r="L2207">
        <v>0.58</v>
      </c>
      <c r="M2207">
        <v>394.86</v>
      </c>
      <c r="N2207">
        <v>0.05</v>
      </c>
      <c r="O2207">
        <v>0.27</v>
      </c>
    </row>
    <row r="2208" spans="1:15">
      <c r="A2208" t="str">
        <f>"300767"</f>
        <v>300767</v>
      </c>
      <c r="B2208" t="s">
        <v>2246</v>
      </c>
      <c r="C2208">
        <v>3.57</v>
      </c>
      <c r="D2208">
        <v>22.89</v>
      </c>
      <c r="E2208" t="s">
        <v>16</v>
      </c>
      <c r="F2208" t="s">
        <v>16</v>
      </c>
      <c r="H2208">
        <v>0.13</v>
      </c>
      <c r="I2208">
        <v>18.23</v>
      </c>
      <c r="J2208">
        <v>-2.18</v>
      </c>
      <c r="L2208">
        <v>-0.45</v>
      </c>
      <c r="M2208">
        <v>16.94</v>
      </c>
      <c r="N2208">
        <v>0</v>
      </c>
      <c r="O2208">
        <v>0.07</v>
      </c>
    </row>
    <row r="2209" spans="1:15">
      <c r="A2209" t="str">
        <f>"300768"</f>
        <v>300768</v>
      </c>
      <c r="B2209" t="s">
        <v>2247</v>
      </c>
      <c r="C2209">
        <v>1.52</v>
      </c>
      <c r="D2209">
        <v>14.67</v>
      </c>
      <c r="E2209" t="s">
        <v>16</v>
      </c>
      <c r="F2209" t="s">
        <v>16</v>
      </c>
      <c r="H2209">
        <v>0</v>
      </c>
      <c r="I2209">
        <v>-4.62</v>
      </c>
      <c r="J2209">
        <v>-1.01</v>
      </c>
      <c r="L2209">
        <v>-0.97</v>
      </c>
      <c r="M2209">
        <v>38.21</v>
      </c>
      <c r="N2209">
        <v>0.01</v>
      </c>
      <c r="O2209">
        <v>1.99</v>
      </c>
    </row>
    <row r="2210" spans="1:15">
      <c r="A2210" t="str">
        <f>"300769"</f>
        <v>300769</v>
      </c>
      <c r="B2210" t="s">
        <v>2248</v>
      </c>
      <c r="C2210">
        <v>-0.52</v>
      </c>
      <c r="D2210">
        <v>68.22</v>
      </c>
      <c r="E2210" t="s">
        <v>16</v>
      </c>
      <c r="F2210" t="s">
        <v>16</v>
      </c>
      <c r="H2210">
        <v>0.01</v>
      </c>
      <c r="I2210">
        <v>10.35</v>
      </c>
      <c r="J2210">
        <v>-2.1</v>
      </c>
      <c r="L2210">
        <v>-1.36</v>
      </c>
      <c r="M2210">
        <v>803.68</v>
      </c>
      <c r="N2210">
        <v>0.05</v>
      </c>
      <c r="O2210">
        <v>0.59</v>
      </c>
    </row>
    <row r="2211" spans="1:15">
      <c r="A2211" t="str">
        <f>"300770"</f>
        <v>300770</v>
      </c>
      <c r="B2211" t="s">
        <v>2249</v>
      </c>
      <c r="C2211">
        <v>-1.06</v>
      </c>
      <c r="D2211">
        <v>33.76</v>
      </c>
      <c r="E2211" t="s">
        <v>16</v>
      </c>
      <c r="F2211" t="s">
        <v>16</v>
      </c>
      <c r="H2211">
        <v>0.03</v>
      </c>
      <c r="I2211">
        <v>0.36</v>
      </c>
      <c r="J2211">
        <v>-1.37</v>
      </c>
      <c r="L2211">
        <v>-0.64</v>
      </c>
      <c r="M2211">
        <v>14.58</v>
      </c>
      <c r="N2211">
        <v>0</v>
      </c>
      <c r="O2211">
        <v>1.79</v>
      </c>
    </row>
    <row r="2212" spans="1:15">
      <c r="A2212" t="str">
        <f>"300771"</f>
        <v>300771</v>
      </c>
      <c r="B2212" t="s">
        <v>2250</v>
      </c>
      <c r="C2212">
        <v>-1.56</v>
      </c>
      <c r="D2212">
        <v>11.36</v>
      </c>
      <c r="E2212" t="s">
        <v>16</v>
      </c>
      <c r="F2212" t="s">
        <v>16</v>
      </c>
      <c r="H2212">
        <v>-0.25</v>
      </c>
      <c r="I2212">
        <v>-2.74</v>
      </c>
      <c r="J2212">
        <v>-1.65</v>
      </c>
      <c r="L2212">
        <v>-0.52</v>
      </c>
      <c r="M2212">
        <v>5.51</v>
      </c>
      <c r="N2212">
        <v>0</v>
      </c>
      <c r="O2212">
        <v>0.1</v>
      </c>
    </row>
    <row r="2213" spans="1:15">
      <c r="A2213" t="str">
        <f>"300772"</f>
        <v>300772</v>
      </c>
      <c r="B2213" t="s">
        <v>2251</v>
      </c>
      <c r="C2213">
        <v>-2.02</v>
      </c>
      <c r="D2213">
        <v>12.12</v>
      </c>
      <c r="E2213" t="s">
        <v>16</v>
      </c>
      <c r="F2213" t="s">
        <v>16</v>
      </c>
      <c r="H2213">
        <v>-0.07</v>
      </c>
      <c r="I2213">
        <v>-10.75</v>
      </c>
      <c r="J2213">
        <v>-2.65</v>
      </c>
      <c r="L2213">
        <v>-0.32</v>
      </c>
      <c r="M2213">
        <v>29.47</v>
      </c>
      <c r="N2213">
        <v>0.01</v>
      </c>
      <c r="O2213">
        <v>1.6</v>
      </c>
    </row>
    <row r="2214" spans="1:15">
      <c r="A2214" t="str">
        <f>"300773"</f>
        <v>300773</v>
      </c>
      <c r="B2214" t="s">
        <v>2252</v>
      </c>
      <c r="C2214">
        <v>-1.98</v>
      </c>
      <c r="D2214">
        <v>24.21</v>
      </c>
      <c r="E2214" t="s">
        <v>16</v>
      </c>
      <c r="F2214" t="s">
        <v>16</v>
      </c>
      <c r="H2214">
        <v>0</v>
      </c>
      <c r="I2214">
        <v>1.94</v>
      </c>
      <c r="J2214">
        <v>-1.9</v>
      </c>
      <c r="L2214">
        <v>-0.2</v>
      </c>
      <c r="M2214">
        <v>898.49</v>
      </c>
      <c r="N2214">
        <v>0.05</v>
      </c>
      <c r="O2214">
        <v>2.83</v>
      </c>
    </row>
    <row r="2215" spans="1:15">
      <c r="A2215" t="str">
        <f>"300774"</f>
        <v>300774</v>
      </c>
      <c r="B2215" t="s">
        <v>2253</v>
      </c>
      <c r="C2215">
        <v>3.51</v>
      </c>
      <c r="D2215">
        <v>13.57</v>
      </c>
      <c r="E2215" t="s">
        <v>16</v>
      </c>
      <c r="F2215" t="s">
        <v>16</v>
      </c>
      <c r="H2215">
        <v>0.67</v>
      </c>
      <c r="I2215">
        <v>1.5</v>
      </c>
      <c r="J2215">
        <v>-0.51</v>
      </c>
      <c r="L2215">
        <v>-1.3</v>
      </c>
      <c r="M2215">
        <v>22.65</v>
      </c>
      <c r="N2215">
        <v>0.01</v>
      </c>
      <c r="O2215">
        <v>0.5</v>
      </c>
    </row>
    <row r="2216" spans="1:15">
      <c r="A2216" t="str">
        <f>"300775"</f>
        <v>300775</v>
      </c>
      <c r="B2216" t="s">
        <v>2254</v>
      </c>
      <c r="C2216">
        <v>-0.56</v>
      </c>
      <c r="D2216">
        <v>22.91</v>
      </c>
      <c r="E2216" t="s">
        <v>16</v>
      </c>
      <c r="F2216" t="s">
        <v>16</v>
      </c>
      <c r="H2216">
        <v>-0.03</v>
      </c>
      <c r="I2216">
        <v>-3.54</v>
      </c>
      <c r="J2216">
        <v>-1.93</v>
      </c>
      <c r="L2216">
        <v>-0.61</v>
      </c>
      <c r="M2216">
        <v>147.48</v>
      </c>
      <c r="N2216">
        <v>0.02</v>
      </c>
      <c r="O2216">
        <v>0.77</v>
      </c>
    </row>
    <row r="2217" spans="1:15">
      <c r="A2217" t="str">
        <f>"300776"</f>
        <v>300776</v>
      </c>
      <c r="B2217" t="s">
        <v>2255</v>
      </c>
      <c r="C2217">
        <v>-1.85</v>
      </c>
      <c r="D2217">
        <v>169.41</v>
      </c>
      <c r="E2217" t="s">
        <v>16</v>
      </c>
      <c r="F2217" t="s">
        <v>16</v>
      </c>
      <c r="H2217">
        <v>0.01</v>
      </c>
      <c r="I2217">
        <v>3.36</v>
      </c>
      <c r="J2217">
        <v>-1.73</v>
      </c>
      <c r="L2217">
        <v>-2</v>
      </c>
      <c r="M2217">
        <v>2623.76</v>
      </c>
      <c r="N2217">
        <v>0.11</v>
      </c>
      <c r="O2217">
        <v>1</v>
      </c>
    </row>
    <row r="2218" spans="1:15">
      <c r="A2218" t="str">
        <f>"300777"</f>
        <v>300777</v>
      </c>
      <c r="B2218" t="s">
        <v>2256</v>
      </c>
      <c r="C2218">
        <v>1.52</v>
      </c>
      <c r="D2218">
        <v>29.4</v>
      </c>
      <c r="E2218" t="s">
        <v>16</v>
      </c>
      <c r="F2218" t="s">
        <v>16</v>
      </c>
      <c r="H2218">
        <v>0.17</v>
      </c>
      <c r="I2218">
        <v>-6.67</v>
      </c>
      <c r="J2218">
        <v>-2.55</v>
      </c>
      <c r="L2218">
        <v>-0.76</v>
      </c>
      <c r="M2218">
        <v>105.76</v>
      </c>
      <c r="N2218">
        <v>0.01</v>
      </c>
      <c r="O2218">
        <v>1.02</v>
      </c>
    </row>
    <row r="2219" spans="1:15">
      <c r="A2219" t="str">
        <f>"300778"</f>
        <v>300778</v>
      </c>
      <c r="B2219" t="s">
        <v>2257</v>
      </c>
      <c r="C2219">
        <v>-1.99</v>
      </c>
      <c r="D2219">
        <v>9.85</v>
      </c>
      <c r="E2219" t="s">
        <v>16</v>
      </c>
      <c r="F2219" t="s">
        <v>16</v>
      </c>
      <c r="H2219">
        <v>0</v>
      </c>
      <c r="I2219">
        <v>-11.26</v>
      </c>
      <c r="J2219">
        <v>-2.18</v>
      </c>
      <c r="L2219">
        <v>0</v>
      </c>
      <c r="M2219">
        <v>11.86</v>
      </c>
      <c r="N2219">
        <v>0.01</v>
      </c>
      <c r="O2219">
        <v>0.98</v>
      </c>
    </row>
    <row r="2220" spans="1:15">
      <c r="A2220" t="str">
        <f>"300779"</f>
        <v>300779</v>
      </c>
      <c r="B2220" t="s">
        <v>2258</v>
      </c>
      <c r="C2220">
        <v>-0.23</v>
      </c>
      <c r="D2220">
        <v>61.24</v>
      </c>
      <c r="E2220" t="s">
        <v>16</v>
      </c>
      <c r="F2220" t="s">
        <v>16</v>
      </c>
      <c r="H2220">
        <v>0.2</v>
      </c>
      <c r="I2220">
        <v>4.15</v>
      </c>
      <c r="J2220">
        <v>-2.52</v>
      </c>
      <c r="L2220">
        <v>-0.75</v>
      </c>
      <c r="M2220">
        <v>277.8</v>
      </c>
      <c r="N2220">
        <v>0.02</v>
      </c>
      <c r="O2220">
        <v>0.48</v>
      </c>
    </row>
    <row r="2221" spans="1:15">
      <c r="A2221" t="str">
        <f>"300780"</f>
        <v>300780</v>
      </c>
      <c r="B2221" t="s">
        <v>2259</v>
      </c>
      <c r="C2221">
        <v>-0.69</v>
      </c>
      <c r="D2221">
        <v>31.68</v>
      </c>
      <c r="E2221" t="s">
        <v>16</v>
      </c>
      <c r="F2221" t="s">
        <v>16</v>
      </c>
      <c r="H2221">
        <v>0.03</v>
      </c>
      <c r="I2221">
        <v>21.57</v>
      </c>
      <c r="J2221">
        <v>-2.31</v>
      </c>
      <c r="K2221" t="s">
        <v>26</v>
      </c>
      <c r="L2221">
        <v>-0.38</v>
      </c>
      <c r="M2221">
        <v>284.75</v>
      </c>
      <c r="N2221">
        <v>0.09</v>
      </c>
      <c r="O2221">
        <v>0.39</v>
      </c>
    </row>
    <row r="2222" spans="1:15">
      <c r="A2222" t="str">
        <f>"300781"</f>
        <v>300781</v>
      </c>
      <c r="B2222" t="s">
        <v>2260</v>
      </c>
      <c r="C2222">
        <v>2.47</v>
      </c>
      <c r="D2222">
        <v>29.03</v>
      </c>
      <c r="E2222" t="s">
        <v>16</v>
      </c>
      <c r="F2222" t="s">
        <v>16</v>
      </c>
      <c r="H2222">
        <v>0.03</v>
      </c>
      <c r="I2222">
        <v>-2.19</v>
      </c>
      <c r="J2222">
        <v>-1.73</v>
      </c>
      <c r="L2222">
        <v>-0.39</v>
      </c>
      <c r="M2222">
        <v>32.74</v>
      </c>
      <c r="N2222">
        <v>0.02</v>
      </c>
      <c r="O2222">
        <v>4.3</v>
      </c>
    </row>
    <row r="2223" spans="1:15">
      <c r="A2223" t="str">
        <f>"300782"</f>
        <v>300782</v>
      </c>
      <c r="B2223" t="s">
        <v>2261</v>
      </c>
      <c r="C2223">
        <v>6.31</v>
      </c>
      <c r="D2223">
        <v>106.1</v>
      </c>
      <c r="E2223" t="s">
        <v>16</v>
      </c>
      <c r="F2223" t="s">
        <v>16</v>
      </c>
      <c r="H2223">
        <v>-0.14</v>
      </c>
      <c r="I2223">
        <v>1.19</v>
      </c>
      <c r="J2223">
        <v>-2.67</v>
      </c>
      <c r="L2223">
        <v>-0.06</v>
      </c>
      <c r="M2223">
        <v>750.04</v>
      </c>
      <c r="N2223">
        <v>0.02</v>
      </c>
      <c r="O2223">
        <v>1.14</v>
      </c>
    </row>
    <row r="2224" spans="1:15">
      <c r="A2224" t="str">
        <f>"300783"</f>
        <v>300783</v>
      </c>
      <c r="B2224" t="s">
        <v>2262</v>
      </c>
      <c r="C2224">
        <v>-1.39</v>
      </c>
      <c r="D2224">
        <v>16.36</v>
      </c>
      <c r="E2224" t="s">
        <v>16</v>
      </c>
      <c r="F2224" t="s">
        <v>16</v>
      </c>
      <c r="H2224">
        <v>-0.23</v>
      </c>
      <c r="I2224">
        <v>-7.78</v>
      </c>
      <c r="J2224">
        <v>-1.92</v>
      </c>
      <c r="L2224">
        <v>-0.24</v>
      </c>
      <c r="M2224">
        <v>20.36</v>
      </c>
      <c r="N2224">
        <v>0.01</v>
      </c>
      <c r="O2224">
        <v>0.89</v>
      </c>
    </row>
    <row r="2225" spans="1:15">
      <c r="A2225" t="str">
        <f>"300784"</f>
        <v>300784</v>
      </c>
      <c r="B2225" t="s">
        <v>2263</v>
      </c>
      <c r="C2225">
        <v>2.05</v>
      </c>
      <c r="D2225">
        <v>47.4</v>
      </c>
      <c r="E2225" t="s">
        <v>16</v>
      </c>
      <c r="F2225" t="s">
        <v>16</v>
      </c>
      <c r="H2225">
        <v>0.02</v>
      </c>
      <c r="I2225">
        <v>9.12</v>
      </c>
      <c r="J2225">
        <v>-0.84</v>
      </c>
      <c r="L2225">
        <v>0</v>
      </c>
      <c r="M2225">
        <v>15.79</v>
      </c>
      <c r="N2225">
        <v>0.02</v>
      </c>
      <c r="O2225">
        <v>0.63</v>
      </c>
    </row>
    <row r="2226" spans="1:15">
      <c r="A2226" t="str">
        <f>"300785"</f>
        <v>300785</v>
      </c>
      <c r="B2226" t="s">
        <v>2264</v>
      </c>
      <c r="C2226">
        <v>1.33</v>
      </c>
      <c r="D2226">
        <v>40.47</v>
      </c>
      <c r="E2226" t="s">
        <v>16</v>
      </c>
      <c r="F2226" t="s">
        <v>16</v>
      </c>
      <c r="H2226">
        <v>0.07</v>
      </c>
      <c r="I2226">
        <v>-2.2</v>
      </c>
      <c r="J2226">
        <v>-1.1</v>
      </c>
      <c r="L2226">
        <v>-0.35</v>
      </c>
      <c r="M2226">
        <v>11.94</v>
      </c>
      <c r="N2226">
        <v>0</v>
      </c>
      <c r="O2226">
        <v>0.1</v>
      </c>
    </row>
    <row r="2227" spans="1:15">
      <c r="A2227" t="str">
        <f>"300786"</f>
        <v>300786</v>
      </c>
      <c r="B2227" t="s">
        <v>2265</v>
      </c>
      <c r="C2227">
        <v>-2.08</v>
      </c>
      <c r="D2227">
        <v>21.2</v>
      </c>
      <c r="E2227" t="s">
        <v>16</v>
      </c>
      <c r="F2227" t="s">
        <v>16</v>
      </c>
      <c r="H2227">
        <v>0.24</v>
      </c>
      <c r="I2227">
        <v>20.45</v>
      </c>
      <c r="J2227">
        <v>-4.03</v>
      </c>
      <c r="L2227">
        <v>1.02</v>
      </c>
      <c r="M2227">
        <v>94.48</v>
      </c>
      <c r="N2227">
        <v>0.03</v>
      </c>
      <c r="O2227">
        <v>1.03</v>
      </c>
    </row>
    <row r="2228" spans="1:15">
      <c r="A2228" t="str">
        <f>"300787"</f>
        <v>300787</v>
      </c>
      <c r="B2228" t="s">
        <v>2266</v>
      </c>
      <c r="C2228">
        <v>-0.93</v>
      </c>
      <c r="D2228">
        <v>9.58</v>
      </c>
      <c r="E2228" t="s">
        <v>16</v>
      </c>
      <c r="F2228" t="s">
        <v>16</v>
      </c>
      <c r="H2228">
        <v>-0.09</v>
      </c>
      <c r="I2228">
        <v>1.91</v>
      </c>
      <c r="J2228">
        <v>-1.34</v>
      </c>
      <c r="L2228">
        <v>-1.14</v>
      </c>
      <c r="M2228">
        <v>17.78</v>
      </c>
      <c r="N2228">
        <v>0.01</v>
      </c>
      <c r="O2228">
        <v>4.43</v>
      </c>
    </row>
    <row r="2229" spans="1:15">
      <c r="A2229" t="str">
        <f>"300788"</f>
        <v>300788</v>
      </c>
      <c r="B2229" t="s">
        <v>2267</v>
      </c>
      <c r="C2229">
        <v>0.04</v>
      </c>
      <c r="D2229">
        <v>24.71</v>
      </c>
      <c r="E2229" t="s">
        <v>16</v>
      </c>
      <c r="F2229" t="s">
        <v>16</v>
      </c>
      <c r="H2229">
        <v>-0.07</v>
      </c>
      <c r="I2229">
        <v>-3.81</v>
      </c>
      <c r="J2229">
        <v>-0.8</v>
      </c>
      <c r="L2229">
        <v>0</v>
      </c>
      <c r="M2229">
        <v>11.12</v>
      </c>
      <c r="N2229">
        <v>0.01</v>
      </c>
      <c r="O2229">
        <v>1.96</v>
      </c>
    </row>
    <row r="2230" spans="1:15">
      <c r="A2230" t="str">
        <f>"300789"</f>
        <v>300789</v>
      </c>
      <c r="B2230" t="s">
        <v>2268</v>
      </c>
      <c r="C2230">
        <v>0.84</v>
      </c>
      <c r="D2230">
        <v>19.17</v>
      </c>
      <c r="E2230" t="s">
        <v>16</v>
      </c>
      <c r="F2230" t="s">
        <v>16</v>
      </c>
      <c r="H2230">
        <v>-0.09</v>
      </c>
      <c r="I2230">
        <v>-7.48</v>
      </c>
      <c r="J2230">
        <v>-1.44</v>
      </c>
      <c r="L2230">
        <v>-0.11</v>
      </c>
      <c r="M2230">
        <v>37.98</v>
      </c>
      <c r="N2230">
        <v>0.03</v>
      </c>
      <c r="O2230">
        <v>7.41</v>
      </c>
    </row>
    <row r="2231" spans="1:15">
      <c r="A2231" t="str">
        <f>"300790"</f>
        <v>300790</v>
      </c>
      <c r="B2231" t="s">
        <v>2269</v>
      </c>
      <c r="C2231">
        <v>-3.03</v>
      </c>
      <c r="D2231">
        <v>28.2</v>
      </c>
      <c r="E2231" t="s">
        <v>16</v>
      </c>
      <c r="F2231" t="s">
        <v>16</v>
      </c>
      <c r="H2231">
        <v>0.14</v>
      </c>
      <c r="I2231">
        <v>19.44</v>
      </c>
      <c r="J2231">
        <v>-2.42</v>
      </c>
      <c r="L2231">
        <v>-3.65</v>
      </c>
      <c r="M2231">
        <v>1226.1</v>
      </c>
      <c r="N2231">
        <v>0.1</v>
      </c>
      <c r="O2231">
        <v>0.74</v>
      </c>
    </row>
    <row r="2232" spans="1:15">
      <c r="A2232" t="str">
        <f>"300791"</f>
        <v>300791</v>
      </c>
      <c r="B2232" t="s">
        <v>2270</v>
      </c>
      <c r="C2232">
        <v>-1.61</v>
      </c>
      <c r="D2232">
        <v>16.45</v>
      </c>
      <c r="E2232" t="s">
        <v>16</v>
      </c>
      <c r="F2232" t="s">
        <v>16</v>
      </c>
      <c r="H2232">
        <v>-0.11</v>
      </c>
      <c r="I2232">
        <v>-3.74</v>
      </c>
      <c r="J2232">
        <v>-1.97</v>
      </c>
      <c r="L2232">
        <v>-0.36</v>
      </c>
      <c r="M2232">
        <v>1.17</v>
      </c>
      <c r="N2232">
        <v>0</v>
      </c>
      <c r="O2232" t="s">
        <v>16</v>
      </c>
    </row>
    <row r="2233" spans="1:15">
      <c r="A2233" t="str">
        <f>"300792"</f>
        <v>300792</v>
      </c>
      <c r="B2233" t="s">
        <v>2271</v>
      </c>
      <c r="C2233">
        <v>1.88</v>
      </c>
      <c r="D2233">
        <v>29.88</v>
      </c>
      <c r="E2233" t="s">
        <v>16</v>
      </c>
      <c r="F2233" t="s">
        <v>16</v>
      </c>
      <c r="H2233">
        <v>0.1</v>
      </c>
      <c r="I2233">
        <v>-9.18</v>
      </c>
      <c r="J2233">
        <v>-0.73</v>
      </c>
      <c r="L2233">
        <v>1.09</v>
      </c>
      <c r="M2233">
        <v>37.06</v>
      </c>
      <c r="N2233">
        <v>0.01</v>
      </c>
      <c r="O2233">
        <v>0.27</v>
      </c>
    </row>
    <row r="2234" spans="1:15">
      <c r="A2234" t="str">
        <f>"300793"</f>
        <v>300793</v>
      </c>
      <c r="B2234" t="s">
        <v>2272</v>
      </c>
      <c r="C2234">
        <v>0.81</v>
      </c>
      <c r="D2234">
        <v>12.45</v>
      </c>
      <c r="E2234" t="s">
        <v>16</v>
      </c>
      <c r="F2234" t="s">
        <v>16</v>
      </c>
      <c r="H2234">
        <v>-0.07</v>
      </c>
      <c r="I2234">
        <v>-4.38</v>
      </c>
      <c r="J2234">
        <v>-1.11</v>
      </c>
      <c r="L2234">
        <v>-1.05</v>
      </c>
      <c r="M2234">
        <v>38.62</v>
      </c>
      <c r="N2234">
        <v>0.01</v>
      </c>
      <c r="O2234">
        <v>1.53</v>
      </c>
    </row>
    <row r="2235" spans="1:15">
      <c r="A2235" t="str">
        <f>"300795"</f>
        <v>300795</v>
      </c>
      <c r="B2235" t="s">
        <v>2273</v>
      </c>
      <c r="C2235">
        <v>0.11</v>
      </c>
      <c r="D2235">
        <v>9.03</v>
      </c>
      <c r="E2235" t="s">
        <v>16</v>
      </c>
      <c r="F2235" t="s">
        <v>16</v>
      </c>
      <c r="H2235">
        <v>0</v>
      </c>
      <c r="I2235">
        <v>-4.95</v>
      </c>
      <c r="J2235">
        <v>-1.74</v>
      </c>
      <c r="L2235">
        <v>0.44</v>
      </c>
      <c r="M2235">
        <v>50.19</v>
      </c>
      <c r="N2235">
        <v>0.04</v>
      </c>
      <c r="O2235">
        <v>25.18</v>
      </c>
    </row>
    <row r="2236" spans="1:15">
      <c r="A2236" t="str">
        <f>"300796"</f>
        <v>300796</v>
      </c>
      <c r="B2236" t="s">
        <v>2274</v>
      </c>
      <c r="C2236">
        <v>-1.74</v>
      </c>
      <c r="D2236">
        <v>6.78</v>
      </c>
      <c r="E2236" t="s">
        <v>16</v>
      </c>
      <c r="F2236" t="s">
        <v>16</v>
      </c>
      <c r="H2236">
        <v>0</v>
      </c>
      <c r="I2236">
        <v>-8.87</v>
      </c>
      <c r="J2236">
        <v>-3.97</v>
      </c>
      <c r="L2236">
        <v>-0.58</v>
      </c>
      <c r="M2236">
        <v>10.08</v>
      </c>
      <c r="N2236">
        <v>0.01</v>
      </c>
      <c r="O2236">
        <v>18.37</v>
      </c>
    </row>
    <row r="2237" spans="1:15">
      <c r="A2237" t="str">
        <f>"300797"</f>
        <v>300797</v>
      </c>
      <c r="B2237" t="s">
        <v>2275</v>
      </c>
      <c r="C2237">
        <v>1.84</v>
      </c>
      <c r="D2237">
        <v>14.36</v>
      </c>
      <c r="E2237" t="s">
        <v>16</v>
      </c>
      <c r="F2237" t="s">
        <v>16</v>
      </c>
      <c r="H2237">
        <v>0.21</v>
      </c>
      <c r="I2237">
        <v>5.05</v>
      </c>
      <c r="J2237">
        <v>-0.42</v>
      </c>
      <c r="L2237">
        <v>-0.99</v>
      </c>
      <c r="M2237">
        <v>37.13</v>
      </c>
      <c r="N2237">
        <v>0.02</v>
      </c>
      <c r="O2237">
        <v>5.32</v>
      </c>
    </row>
    <row r="2238" spans="1:15">
      <c r="A2238" t="str">
        <f>"300798"</f>
        <v>300798</v>
      </c>
      <c r="B2238" t="s">
        <v>2276</v>
      </c>
      <c r="C2238">
        <v>-2.47</v>
      </c>
      <c r="D2238">
        <v>7.1</v>
      </c>
      <c r="E2238" t="s">
        <v>16</v>
      </c>
      <c r="F2238" t="s">
        <v>16</v>
      </c>
      <c r="H2238">
        <v>-0.13</v>
      </c>
      <c r="I2238">
        <v>-5.46</v>
      </c>
      <c r="J2238">
        <v>-3.14</v>
      </c>
      <c r="L2238">
        <v>-0.82</v>
      </c>
      <c r="M2238">
        <v>7.36</v>
      </c>
      <c r="N2238">
        <v>0</v>
      </c>
      <c r="O2238">
        <v>0.28</v>
      </c>
    </row>
    <row r="2239" spans="1:15">
      <c r="A2239" t="str">
        <f>"300800"</f>
        <v>300800</v>
      </c>
      <c r="B2239" t="s">
        <v>2277</v>
      </c>
      <c r="C2239">
        <v>-0.61</v>
      </c>
      <c r="D2239">
        <v>9.81</v>
      </c>
      <c r="E2239" t="s">
        <v>16</v>
      </c>
      <c r="F2239" t="s">
        <v>16</v>
      </c>
      <c r="H2239">
        <v>-0.29</v>
      </c>
      <c r="I2239">
        <v>-6.12</v>
      </c>
      <c r="J2239">
        <v>-1.31</v>
      </c>
      <c r="L2239">
        <v>-0.61</v>
      </c>
      <c r="M2239">
        <v>8.04</v>
      </c>
      <c r="N2239">
        <v>0.01</v>
      </c>
      <c r="O2239">
        <v>1.11</v>
      </c>
    </row>
    <row r="2240" spans="1:15">
      <c r="A2240" t="str">
        <f>"300801"</f>
        <v>300801</v>
      </c>
      <c r="B2240" t="s">
        <v>2278</v>
      </c>
      <c r="C2240">
        <v>-2.96</v>
      </c>
      <c r="D2240">
        <v>27.2</v>
      </c>
      <c r="E2240" t="s">
        <v>16</v>
      </c>
      <c r="F2240" t="s">
        <v>16</v>
      </c>
      <c r="H2240">
        <v>0.11</v>
      </c>
      <c r="I2240">
        <v>6.79</v>
      </c>
      <c r="J2240">
        <v>-2.79</v>
      </c>
      <c r="L2240">
        <v>-0.89</v>
      </c>
      <c r="M2240">
        <v>48.34</v>
      </c>
      <c r="N2240">
        <v>0.02</v>
      </c>
      <c r="O2240">
        <v>1.05</v>
      </c>
    </row>
    <row r="2241" spans="1:15">
      <c r="A2241" t="str">
        <f>"300802"</f>
        <v>300802</v>
      </c>
      <c r="B2241" t="s">
        <v>2279</v>
      </c>
      <c r="C2241">
        <v>3.51</v>
      </c>
      <c r="D2241">
        <v>27.98</v>
      </c>
      <c r="E2241" t="s">
        <v>16</v>
      </c>
      <c r="F2241" t="s">
        <v>16</v>
      </c>
      <c r="H2241">
        <v>0.29</v>
      </c>
      <c r="I2241">
        <v>16.88</v>
      </c>
      <c r="J2241">
        <v>-0.36</v>
      </c>
      <c r="L2241">
        <v>-2.07</v>
      </c>
      <c r="M2241">
        <v>557.99</v>
      </c>
      <c r="N2241">
        <v>0.15</v>
      </c>
      <c r="O2241">
        <v>5.08</v>
      </c>
    </row>
    <row r="2242" spans="1:15">
      <c r="A2242" t="str">
        <f>"300803"</f>
        <v>300803</v>
      </c>
      <c r="B2242" t="s">
        <v>2280</v>
      </c>
      <c r="C2242">
        <v>-2.08</v>
      </c>
      <c r="D2242">
        <v>95.76</v>
      </c>
      <c r="E2242" t="s">
        <v>16</v>
      </c>
      <c r="F2242" t="s">
        <v>16</v>
      </c>
      <c r="H2242">
        <v>-0.03</v>
      </c>
      <c r="I2242">
        <v>9.43</v>
      </c>
      <c r="J2242">
        <v>-2.99</v>
      </c>
      <c r="L2242">
        <v>-0.09</v>
      </c>
      <c r="M2242">
        <v>892.98</v>
      </c>
      <c r="N2242">
        <v>0.03</v>
      </c>
      <c r="O2242">
        <v>0.93</v>
      </c>
    </row>
    <row r="2243" spans="1:15">
      <c r="A2243" t="str">
        <f>"300804"</f>
        <v>300804</v>
      </c>
      <c r="B2243" t="s">
        <v>2281</v>
      </c>
      <c r="C2243">
        <v>-1.3</v>
      </c>
      <c r="D2243">
        <v>36.43</v>
      </c>
      <c r="E2243" t="s">
        <v>16</v>
      </c>
      <c r="F2243" t="s">
        <v>16</v>
      </c>
      <c r="H2243">
        <v>0.05</v>
      </c>
      <c r="I2243">
        <v>-4.33</v>
      </c>
      <c r="J2243">
        <v>-4.21</v>
      </c>
      <c r="L2243">
        <v>-1.3</v>
      </c>
      <c r="M2243">
        <v>3.28</v>
      </c>
      <c r="N2243">
        <v>0</v>
      </c>
      <c r="O2243">
        <v>0.27</v>
      </c>
    </row>
    <row r="2244" spans="1:15">
      <c r="A2244" t="str">
        <f>"300805"</f>
        <v>300805</v>
      </c>
      <c r="B2244" t="s">
        <v>2282</v>
      </c>
      <c r="C2244">
        <v>0</v>
      </c>
      <c r="D2244">
        <v>7.9</v>
      </c>
      <c r="E2244" t="s">
        <v>16</v>
      </c>
      <c r="F2244" t="s">
        <v>16</v>
      </c>
      <c r="H2244">
        <v>0</v>
      </c>
      <c r="I2244">
        <v>-3.66</v>
      </c>
      <c r="J2244">
        <v>-1.86</v>
      </c>
      <c r="L2244">
        <v>-0.63</v>
      </c>
      <c r="M2244">
        <v>10.28</v>
      </c>
      <c r="N2244">
        <v>0.01</v>
      </c>
      <c r="O2244">
        <v>0.32</v>
      </c>
    </row>
    <row r="2245" spans="1:15">
      <c r="A2245" t="str">
        <f>"300806"</f>
        <v>300806</v>
      </c>
      <c r="B2245" t="s">
        <v>2283</v>
      </c>
      <c r="C2245">
        <v>3.15</v>
      </c>
      <c r="D2245">
        <v>101.5</v>
      </c>
      <c r="E2245" t="s">
        <v>16</v>
      </c>
      <c r="F2245" t="s">
        <v>16</v>
      </c>
      <c r="H2245">
        <v>-0.17</v>
      </c>
      <c r="I2245">
        <v>21.76</v>
      </c>
      <c r="J2245">
        <v>-3.77</v>
      </c>
      <c r="L2245">
        <v>1.63</v>
      </c>
      <c r="M2245">
        <v>5630</v>
      </c>
      <c r="N2245">
        <v>0.2</v>
      </c>
      <c r="O2245">
        <v>1.22</v>
      </c>
    </row>
    <row r="2246" spans="1:15">
      <c r="A2246" t="str">
        <f>"300807"</f>
        <v>300807</v>
      </c>
      <c r="B2246" t="s">
        <v>2284</v>
      </c>
      <c r="C2246">
        <v>-1.37</v>
      </c>
      <c r="D2246">
        <v>38.98</v>
      </c>
      <c r="E2246" t="s">
        <v>16</v>
      </c>
      <c r="F2246" t="s">
        <v>16</v>
      </c>
      <c r="H2246">
        <v>0.1</v>
      </c>
      <c r="I2246">
        <v>-6.97</v>
      </c>
      <c r="J2246">
        <v>-1.37</v>
      </c>
      <c r="L2246">
        <v>-0.28</v>
      </c>
      <c r="M2246">
        <v>22.86</v>
      </c>
      <c r="N2246">
        <v>0.02</v>
      </c>
      <c r="O2246">
        <v>1.76</v>
      </c>
    </row>
    <row r="2247" spans="1:15">
      <c r="A2247" t="str">
        <f>"300808"</f>
        <v>300808</v>
      </c>
      <c r="B2247" t="s">
        <v>2285</v>
      </c>
      <c r="C2247">
        <v>-4.09</v>
      </c>
      <c r="D2247">
        <v>22.73</v>
      </c>
      <c r="E2247" t="s">
        <v>16</v>
      </c>
      <c r="F2247" t="s">
        <v>16</v>
      </c>
      <c r="H2247">
        <v>-0.21</v>
      </c>
      <c r="I2247">
        <v>-4.5</v>
      </c>
      <c r="J2247">
        <v>-4.42</v>
      </c>
      <c r="L2247">
        <v>-0.93</v>
      </c>
      <c r="M2247">
        <v>16.67</v>
      </c>
      <c r="N2247">
        <v>0.01</v>
      </c>
      <c r="O2247">
        <v>3.55</v>
      </c>
    </row>
    <row r="2248" spans="1:15">
      <c r="A2248" t="str">
        <f>"300809"</f>
        <v>300809</v>
      </c>
      <c r="B2248" t="s">
        <v>2286</v>
      </c>
      <c r="C2248">
        <v>3.43</v>
      </c>
      <c r="D2248">
        <v>31.97</v>
      </c>
      <c r="E2248" t="s">
        <v>16</v>
      </c>
      <c r="F2248" t="s">
        <v>16</v>
      </c>
      <c r="H2248">
        <v>-0.05</v>
      </c>
      <c r="I2248">
        <v>-15.31</v>
      </c>
      <c r="J2248">
        <v>-0.71</v>
      </c>
      <c r="L2248">
        <v>-0.97</v>
      </c>
      <c r="M2248">
        <v>88.16</v>
      </c>
      <c r="N2248">
        <v>0.02</v>
      </c>
      <c r="O2248">
        <v>1.61</v>
      </c>
    </row>
    <row r="2249" spans="1:15">
      <c r="A2249" t="str">
        <f>"300810"</f>
        <v>300810</v>
      </c>
      <c r="B2249" t="s">
        <v>2287</v>
      </c>
      <c r="C2249">
        <v>-1.85</v>
      </c>
      <c r="D2249">
        <v>26.03</v>
      </c>
      <c r="E2249" t="s">
        <v>16</v>
      </c>
      <c r="F2249" t="s">
        <v>16</v>
      </c>
      <c r="H2249">
        <v>-0.41</v>
      </c>
      <c r="I2249">
        <v>-0.84</v>
      </c>
      <c r="J2249">
        <v>-2.66</v>
      </c>
      <c r="L2249">
        <v>-1.17</v>
      </c>
      <c r="M2249">
        <v>86.49</v>
      </c>
      <c r="N2249">
        <v>0.05</v>
      </c>
      <c r="O2249">
        <v>1.17</v>
      </c>
    </row>
    <row r="2250" spans="1:15">
      <c r="A2250" t="str">
        <f>"300811"</f>
        <v>300811</v>
      </c>
      <c r="B2250" t="s">
        <v>2288</v>
      </c>
      <c r="C2250">
        <v>9.76</v>
      </c>
      <c r="D2250">
        <v>107.18</v>
      </c>
      <c r="E2250" t="s">
        <v>16</v>
      </c>
      <c r="F2250" t="s">
        <v>16</v>
      </c>
      <c r="H2250">
        <v>0.05</v>
      </c>
      <c r="I2250">
        <v>21.12</v>
      </c>
      <c r="J2250">
        <v>-1.66</v>
      </c>
      <c r="L2250">
        <v>-2.1</v>
      </c>
      <c r="M2250">
        <v>1071.68</v>
      </c>
      <c r="N2250">
        <v>0.05</v>
      </c>
      <c r="O2250">
        <v>0.75</v>
      </c>
    </row>
    <row r="2251" spans="1:15">
      <c r="A2251" t="str">
        <f>"300812"</f>
        <v>300812</v>
      </c>
      <c r="B2251" t="s">
        <v>2289</v>
      </c>
      <c r="C2251">
        <v>-3.05</v>
      </c>
      <c r="D2251">
        <v>29.58</v>
      </c>
      <c r="E2251" t="s">
        <v>16</v>
      </c>
      <c r="F2251" t="s">
        <v>16</v>
      </c>
      <c r="H2251">
        <v>0.14</v>
      </c>
      <c r="I2251">
        <v>11.75</v>
      </c>
      <c r="J2251">
        <v>-1.4</v>
      </c>
      <c r="L2251">
        <v>-3.11</v>
      </c>
      <c r="M2251">
        <v>1601.02</v>
      </c>
      <c r="N2251">
        <v>0.52</v>
      </c>
      <c r="O2251">
        <v>6.74</v>
      </c>
    </row>
    <row r="2252" spans="1:15">
      <c r="A2252" t="str">
        <f>"300813"</f>
        <v>300813</v>
      </c>
      <c r="B2252" t="s">
        <v>2290</v>
      </c>
      <c r="C2252">
        <v>0.1</v>
      </c>
      <c r="D2252">
        <v>19.58</v>
      </c>
      <c r="E2252" t="s">
        <v>16</v>
      </c>
      <c r="F2252" t="s">
        <v>16</v>
      </c>
      <c r="H2252">
        <v>-0.14</v>
      </c>
      <c r="I2252">
        <v>-6.32</v>
      </c>
      <c r="J2252">
        <v>-1.81</v>
      </c>
      <c r="L2252">
        <v>-0.72</v>
      </c>
      <c r="M2252">
        <v>10.49</v>
      </c>
      <c r="N2252">
        <v>0.01</v>
      </c>
      <c r="O2252">
        <v>0.63</v>
      </c>
    </row>
    <row r="2253" spans="1:15">
      <c r="A2253" t="str">
        <f>"300814"</f>
        <v>300814</v>
      </c>
      <c r="B2253" t="s">
        <v>2291</v>
      </c>
      <c r="C2253">
        <v>6.13</v>
      </c>
      <c r="D2253">
        <v>191.3</v>
      </c>
      <c r="E2253" t="s">
        <v>16</v>
      </c>
      <c r="F2253" t="s">
        <v>16</v>
      </c>
      <c r="H2253">
        <v>0</v>
      </c>
      <c r="I2253">
        <v>23.71</v>
      </c>
      <c r="J2253">
        <v>-1.85</v>
      </c>
      <c r="L2253">
        <v>0.03</v>
      </c>
      <c r="M2253">
        <v>622.04</v>
      </c>
      <c r="N2253">
        <v>0.05</v>
      </c>
      <c r="O2253">
        <v>0.66</v>
      </c>
    </row>
    <row r="2254" spans="1:15">
      <c r="A2254" t="str">
        <f>"300815"</f>
        <v>300815</v>
      </c>
      <c r="B2254" t="s">
        <v>2292</v>
      </c>
      <c r="C2254">
        <v>-0.22</v>
      </c>
      <c r="D2254">
        <v>18.55</v>
      </c>
      <c r="E2254" t="s">
        <v>16</v>
      </c>
      <c r="F2254" t="s">
        <v>16</v>
      </c>
      <c r="H2254">
        <v>0.11</v>
      </c>
      <c r="I2254">
        <v>-3.13</v>
      </c>
      <c r="J2254">
        <v>-1.17</v>
      </c>
      <c r="L2254">
        <v>-0.48</v>
      </c>
      <c r="M2254">
        <v>94.17</v>
      </c>
      <c r="N2254">
        <v>0.03</v>
      </c>
      <c r="O2254">
        <v>7.17</v>
      </c>
    </row>
    <row r="2255" spans="1:15">
      <c r="A2255" t="str">
        <f>"300816"</f>
        <v>300816</v>
      </c>
      <c r="B2255" t="s">
        <v>2293</v>
      </c>
      <c r="C2255">
        <v>1.06</v>
      </c>
      <c r="D2255">
        <v>83.06</v>
      </c>
      <c r="E2255" t="s">
        <v>16</v>
      </c>
      <c r="F2255" t="s">
        <v>16</v>
      </c>
      <c r="H2255">
        <v>-0.03</v>
      </c>
      <c r="I2255">
        <v>-6.35</v>
      </c>
      <c r="J2255">
        <v>-2.83</v>
      </c>
      <c r="L2255">
        <v>-0.35</v>
      </c>
      <c r="M2255">
        <v>17.2</v>
      </c>
      <c r="N2255">
        <v>0</v>
      </c>
      <c r="O2255">
        <v>1.62</v>
      </c>
    </row>
    <row r="2256" spans="1:15">
      <c r="A2256" t="str">
        <f>"300817"</f>
        <v>300817</v>
      </c>
      <c r="B2256" t="s">
        <v>2294</v>
      </c>
      <c r="C2256">
        <v>1.18</v>
      </c>
      <c r="D2256">
        <v>17.96</v>
      </c>
      <c r="E2256" t="s">
        <v>16</v>
      </c>
      <c r="F2256" t="s">
        <v>16</v>
      </c>
      <c r="H2256">
        <v>-0.16</v>
      </c>
      <c r="I2256">
        <v>-1.8</v>
      </c>
      <c r="J2256">
        <v>-2.13</v>
      </c>
      <c r="L2256">
        <v>-0.51</v>
      </c>
      <c r="M2256">
        <v>2.3</v>
      </c>
      <c r="N2256">
        <v>0</v>
      </c>
      <c r="O2256">
        <v>0.54</v>
      </c>
    </row>
    <row r="2257" spans="1:15">
      <c r="A2257" t="str">
        <f>"300818"</f>
        <v>300818</v>
      </c>
      <c r="B2257" t="s">
        <v>2295</v>
      </c>
      <c r="C2257">
        <v>0</v>
      </c>
      <c r="D2257">
        <v>22.4</v>
      </c>
      <c r="E2257" t="s">
        <v>16</v>
      </c>
      <c r="F2257" t="s">
        <v>16</v>
      </c>
      <c r="H2257">
        <v>-0.17</v>
      </c>
      <c r="I2257">
        <v>-4.84</v>
      </c>
      <c r="J2257">
        <v>-4.48</v>
      </c>
      <c r="L2257">
        <v>0</v>
      </c>
      <c r="M2257">
        <v>10.98</v>
      </c>
      <c r="N2257">
        <v>0</v>
      </c>
      <c r="O2257">
        <v>1.04</v>
      </c>
    </row>
    <row r="2258" spans="1:15">
      <c r="A2258" t="str">
        <f>"300819"</f>
        <v>300819</v>
      </c>
      <c r="B2258" t="s">
        <v>2296</v>
      </c>
      <c r="C2258">
        <v>0.06</v>
      </c>
      <c r="D2258">
        <v>71.15</v>
      </c>
      <c r="E2258" t="s">
        <v>16</v>
      </c>
      <c r="F2258" t="s">
        <v>16</v>
      </c>
      <c r="H2258">
        <v>0</v>
      </c>
      <c r="I2258">
        <v>9.7</v>
      </c>
      <c r="J2258">
        <v>-1.06</v>
      </c>
      <c r="L2258">
        <v>-2.05</v>
      </c>
      <c r="M2258">
        <v>890.82</v>
      </c>
      <c r="N2258">
        <v>0.24</v>
      </c>
      <c r="O2258">
        <v>5.16</v>
      </c>
    </row>
    <row r="2259" spans="1:15">
      <c r="A2259" t="str">
        <f>"300820"</f>
        <v>300820</v>
      </c>
      <c r="B2259" t="s">
        <v>2297</v>
      </c>
      <c r="C2259">
        <v>-0.1</v>
      </c>
      <c r="D2259">
        <v>73.09</v>
      </c>
      <c r="E2259" t="s">
        <v>16</v>
      </c>
      <c r="F2259" t="s">
        <v>16</v>
      </c>
      <c r="H2259">
        <v>0.4</v>
      </c>
      <c r="I2259">
        <v>8.11</v>
      </c>
      <c r="J2259">
        <v>0</v>
      </c>
      <c r="L2259">
        <v>-0.29</v>
      </c>
      <c r="M2259">
        <v>210.1</v>
      </c>
      <c r="N2259">
        <v>0.04</v>
      </c>
      <c r="O2259">
        <v>0.85</v>
      </c>
    </row>
    <row r="2260" spans="1:15">
      <c r="A2260" t="str">
        <f>"300821"</f>
        <v>300821</v>
      </c>
      <c r="B2260" t="s">
        <v>2298</v>
      </c>
      <c r="C2260">
        <v>-3.08</v>
      </c>
      <c r="D2260">
        <v>19.82</v>
      </c>
      <c r="E2260" t="s">
        <v>16</v>
      </c>
      <c r="F2260" t="s">
        <v>16</v>
      </c>
      <c r="H2260">
        <v>0</v>
      </c>
      <c r="I2260">
        <v>17.84</v>
      </c>
      <c r="J2260">
        <v>-3.74</v>
      </c>
      <c r="L2260">
        <v>-1.22</v>
      </c>
      <c r="M2260">
        <v>2567.57</v>
      </c>
      <c r="N2260">
        <v>0.22</v>
      </c>
      <c r="O2260">
        <v>1.42</v>
      </c>
    </row>
    <row r="2261" spans="1:15">
      <c r="A2261" t="str">
        <f>"300822"</f>
        <v>300822</v>
      </c>
      <c r="B2261" t="s">
        <v>2299</v>
      </c>
      <c r="C2261">
        <v>-1.6</v>
      </c>
      <c r="D2261">
        <v>12.89</v>
      </c>
      <c r="E2261" t="s">
        <v>16</v>
      </c>
      <c r="F2261" t="s">
        <v>16</v>
      </c>
      <c r="H2261">
        <v>-0.07</v>
      </c>
      <c r="I2261">
        <v>-7.33</v>
      </c>
      <c r="J2261">
        <v>-2.27</v>
      </c>
      <c r="L2261">
        <v>-0.69</v>
      </c>
      <c r="M2261">
        <v>6.37</v>
      </c>
      <c r="N2261">
        <v>0.01</v>
      </c>
      <c r="O2261">
        <v>0.74</v>
      </c>
    </row>
    <row r="2262" spans="1:15">
      <c r="A2262" t="str">
        <f>"300823"</f>
        <v>300823</v>
      </c>
      <c r="B2262" t="s">
        <v>2300</v>
      </c>
      <c r="C2262">
        <v>-1.34</v>
      </c>
      <c r="D2262">
        <v>15.47</v>
      </c>
      <c r="E2262" t="s">
        <v>16</v>
      </c>
      <c r="F2262" t="s">
        <v>16</v>
      </c>
      <c r="H2262">
        <v>0.32</v>
      </c>
      <c r="I2262">
        <v>-4.86</v>
      </c>
      <c r="J2262">
        <v>-1.84</v>
      </c>
      <c r="L2262">
        <v>-0.77</v>
      </c>
      <c r="M2262">
        <v>44.19</v>
      </c>
      <c r="N2262">
        <v>0.05</v>
      </c>
      <c r="O2262">
        <v>0.52</v>
      </c>
    </row>
    <row r="2263" spans="1:15">
      <c r="A2263" t="str">
        <f>"300824"</f>
        <v>300824</v>
      </c>
      <c r="B2263" t="s">
        <v>2301</v>
      </c>
      <c r="C2263">
        <v>-1.27</v>
      </c>
      <c r="D2263">
        <v>7.77</v>
      </c>
      <c r="E2263" t="s">
        <v>16</v>
      </c>
      <c r="F2263" t="s">
        <v>16</v>
      </c>
      <c r="H2263">
        <v>0</v>
      </c>
      <c r="I2263">
        <v>-5.01</v>
      </c>
      <c r="J2263">
        <v>-1.52</v>
      </c>
      <c r="L2263">
        <v>-0.89</v>
      </c>
      <c r="M2263">
        <v>3.51</v>
      </c>
      <c r="N2263">
        <v>0</v>
      </c>
      <c r="O2263">
        <v>1.05</v>
      </c>
    </row>
    <row r="2264" spans="1:15">
      <c r="A2264" t="str">
        <f>"300825"</f>
        <v>300825</v>
      </c>
      <c r="B2264" t="s">
        <v>2302</v>
      </c>
      <c r="C2264">
        <v>0.54</v>
      </c>
      <c r="D2264">
        <v>16.9</v>
      </c>
      <c r="E2264" t="s">
        <v>16</v>
      </c>
      <c r="F2264" t="s">
        <v>16</v>
      </c>
      <c r="H2264">
        <v>-0.34</v>
      </c>
      <c r="I2264">
        <v>19.18</v>
      </c>
      <c r="J2264">
        <v>-3.21</v>
      </c>
      <c r="L2264">
        <v>-0.36</v>
      </c>
      <c r="M2264">
        <v>316.24</v>
      </c>
      <c r="N2264">
        <v>0.04</v>
      </c>
      <c r="O2264">
        <v>0.61</v>
      </c>
    </row>
    <row r="2265" spans="1:15">
      <c r="A2265" t="str">
        <f>"300826"</f>
        <v>300826</v>
      </c>
      <c r="B2265" t="s">
        <v>2303</v>
      </c>
      <c r="C2265">
        <v>2.11</v>
      </c>
      <c r="D2265">
        <v>15.02</v>
      </c>
      <c r="E2265" t="s">
        <v>16</v>
      </c>
      <c r="F2265" t="s">
        <v>16</v>
      </c>
      <c r="H2265">
        <v>0.33</v>
      </c>
      <c r="I2265">
        <v>1.9</v>
      </c>
      <c r="J2265">
        <v>-0.33</v>
      </c>
      <c r="L2265">
        <v>-1.09</v>
      </c>
      <c r="M2265">
        <v>47.16</v>
      </c>
      <c r="N2265">
        <v>0.03</v>
      </c>
      <c r="O2265">
        <v>0.94</v>
      </c>
    </row>
    <row r="2266" spans="1:15">
      <c r="A2266" t="str">
        <f>"300827"</f>
        <v>300827</v>
      </c>
      <c r="B2266" t="s">
        <v>2304</v>
      </c>
      <c r="C2266">
        <v>-0.76</v>
      </c>
      <c r="D2266">
        <v>30.1</v>
      </c>
      <c r="E2266" t="s">
        <v>16</v>
      </c>
      <c r="F2266" t="s">
        <v>16</v>
      </c>
      <c r="H2266">
        <v>-0.09</v>
      </c>
      <c r="I2266">
        <v>-2.78</v>
      </c>
      <c r="J2266">
        <v>-0.76</v>
      </c>
      <c r="L2266">
        <v>-0.49</v>
      </c>
      <c r="M2266">
        <v>188.02</v>
      </c>
      <c r="N2266">
        <v>0.02</v>
      </c>
      <c r="O2266">
        <v>0.88</v>
      </c>
    </row>
    <row r="2267" spans="1:15">
      <c r="A2267" t="str">
        <f>"300828"</f>
        <v>300828</v>
      </c>
      <c r="B2267" t="s">
        <v>2305</v>
      </c>
      <c r="C2267">
        <v>8.92</v>
      </c>
      <c r="D2267">
        <v>21.62</v>
      </c>
      <c r="E2267" t="s">
        <v>16</v>
      </c>
      <c r="F2267" t="s">
        <v>16</v>
      </c>
      <c r="H2267">
        <v>0.19</v>
      </c>
      <c r="I2267">
        <v>10.48</v>
      </c>
      <c r="J2267">
        <v>-0.73</v>
      </c>
      <c r="L2267">
        <v>0</v>
      </c>
      <c r="M2267">
        <v>83.37</v>
      </c>
      <c r="N2267">
        <v>0.05</v>
      </c>
      <c r="O2267">
        <v>0.53</v>
      </c>
    </row>
    <row r="2268" spans="1:15">
      <c r="A2268" t="str">
        <f>"300829"</f>
        <v>300829</v>
      </c>
      <c r="B2268" t="s">
        <v>2306</v>
      </c>
      <c r="C2268">
        <v>0</v>
      </c>
      <c r="D2268">
        <v>15.1</v>
      </c>
      <c r="E2268" t="s">
        <v>16</v>
      </c>
      <c r="F2268" t="s">
        <v>16</v>
      </c>
      <c r="H2268">
        <v>0.6</v>
      </c>
      <c r="I2268">
        <v>-12.67</v>
      </c>
      <c r="J2268">
        <v>-0.53</v>
      </c>
      <c r="L2268">
        <v>-0.66</v>
      </c>
      <c r="M2268">
        <v>9.9</v>
      </c>
      <c r="N2268">
        <v>0</v>
      </c>
      <c r="O2268">
        <v>2.13</v>
      </c>
    </row>
    <row r="2269" spans="1:15">
      <c r="A2269" t="str">
        <f>"300830"</f>
        <v>300830</v>
      </c>
      <c r="B2269" t="s">
        <v>2307</v>
      </c>
      <c r="C2269">
        <v>0.23</v>
      </c>
      <c r="D2269">
        <v>8.85</v>
      </c>
      <c r="E2269" t="s">
        <v>16</v>
      </c>
      <c r="F2269" t="s">
        <v>16</v>
      </c>
      <c r="H2269">
        <v>0</v>
      </c>
      <c r="I2269">
        <v>-1.34</v>
      </c>
      <c r="J2269">
        <v>-0.78</v>
      </c>
      <c r="L2269">
        <v>-0.23</v>
      </c>
      <c r="M2269">
        <v>176.29</v>
      </c>
      <c r="N2269">
        <v>0.07</v>
      </c>
      <c r="O2269">
        <v>2.26</v>
      </c>
    </row>
    <row r="2270" spans="1:15">
      <c r="A2270" t="str">
        <f>"300831"</f>
        <v>300831</v>
      </c>
      <c r="B2270" t="s">
        <v>2308</v>
      </c>
      <c r="C2270">
        <v>1.65</v>
      </c>
      <c r="D2270">
        <v>19.73</v>
      </c>
      <c r="E2270" t="s">
        <v>16</v>
      </c>
      <c r="F2270" t="s">
        <v>16</v>
      </c>
      <c r="H2270">
        <v>0.31</v>
      </c>
      <c r="I2270">
        <v>-3.62</v>
      </c>
      <c r="J2270">
        <v>-0.6</v>
      </c>
      <c r="L2270">
        <v>0.52</v>
      </c>
      <c r="M2270">
        <v>127.4</v>
      </c>
      <c r="N2270">
        <v>0.04</v>
      </c>
      <c r="O2270">
        <v>0.97</v>
      </c>
    </row>
    <row r="2271" spans="1:15">
      <c r="A2271" t="str">
        <f>"300832"</f>
        <v>300832</v>
      </c>
      <c r="B2271" t="s">
        <v>2309</v>
      </c>
      <c r="C2271">
        <v>-1.64</v>
      </c>
      <c r="D2271">
        <v>42</v>
      </c>
      <c r="E2271" t="s">
        <v>16</v>
      </c>
      <c r="F2271" t="s">
        <v>16</v>
      </c>
      <c r="H2271">
        <v>-0.51</v>
      </c>
      <c r="I2271">
        <v>-3.43</v>
      </c>
      <c r="J2271">
        <v>-2.53</v>
      </c>
      <c r="L2271">
        <v>0.56</v>
      </c>
      <c r="M2271">
        <v>19.32</v>
      </c>
      <c r="N2271">
        <v>0</v>
      </c>
      <c r="O2271">
        <v>1.73</v>
      </c>
    </row>
    <row r="2272" spans="1:15">
      <c r="A2272" t="str">
        <f>"300833"</f>
        <v>300833</v>
      </c>
      <c r="B2272" t="s">
        <v>2310</v>
      </c>
      <c r="C2272">
        <v>-1.95</v>
      </c>
      <c r="D2272">
        <v>32.2</v>
      </c>
      <c r="E2272" t="s">
        <v>16</v>
      </c>
      <c r="F2272" t="s">
        <v>16</v>
      </c>
      <c r="H2272">
        <v>-0.18</v>
      </c>
      <c r="I2272">
        <v>-2.01</v>
      </c>
      <c r="J2272">
        <v>-1.95</v>
      </c>
      <c r="L2272">
        <v>-1</v>
      </c>
      <c r="M2272">
        <v>0</v>
      </c>
      <c r="N2272">
        <v>0</v>
      </c>
      <c r="O2272">
        <v>0</v>
      </c>
    </row>
    <row r="2273" spans="1:15">
      <c r="A2273" t="str">
        <f>"300834"</f>
        <v>300834</v>
      </c>
      <c r="B2273" t="s">
        <v>2311</v>
      </c>
      <c r="C2273">
        <v>-6.06</v>
      </c>
      <c r="D2273">
        <v>47.11</v>
      </c>
      <c r="E2273" t="s">
        <v>16</v>
      </c>
      <c r="F2273" t="s">
        <v>16</v>
      </c>
      <c r="H2273">
        <v>-0.39</v>
      </c>
      <c r="I2273">
        <v>-2.69</v>
      </c>
      <c r="J2273">
        <v>-5.99</v>
      </c>
      <c r="L2273">
        <v>-0.34</v>
      </c>
      <c r="M2273">
        <v>96.96</v>
      </c>
      <c r="N2273">
        <v>0.03</v>
      </c>
      <c r="O2273">
        <v>16.17</v>
      </c>
    </row>
    <row r="2274" spans="1:15">
      <c r="A2274" t="str">
        <f>"300835"</f>
        <v>300835</v>
      </c>
      <c r="B2274" t="s">
        <v>2312</v>
      </c>
      <c r="C2274">
        <v>7.7</v>
      </c>
      <c r="D2274">
        <v>208.08</v>
      </c>
      <c r="E2274" t="s">
        <v>16</v>
      </c>
      <c r="F2274" t="s">
        <v>16</v>
      </c>
      <c r="H2274">
        <v>0.28</v>
      </c>
      <c r="I2274">
        <v>10.98</v>
      </c>
      <c r="J2274">
        <v>-1.85</v>
      </c>
      <c r="L2274">
        <v>-0.48</v>
      </c>
      <c r="M2274">
        <v>538.38</v>
      </c>
      <c r="N2274">
        <v>0.04</v>
      </c>
      <c r="O2274">
        <v>0.8</v>
      </c>
    </row>
    <row r="2275" spans="1:15">
      <c r="A2275" t="str">
        <f>"300836"</f>
        <v>300836</v>
      </c>
      <c r="B2275" t="s">
        <v>2313</v>
      </c>
      <c r="C2275">
        <v>0.55</v>
      </c>
      <c r="D2275">
        <v>75.44</v>
      </c>
      <c r="E2275" t="s">
        <v>16</v>
      </c>
      <c r="F2275" t="s">
        <v>16</v>
      </c>
      <c r="H2275">
        <v>0.35</v>
      </c>
      <c r="I2275">
        <v>9.49</v>
      </c>
      <c r="J2275">
        <v>-0.08</v>
      </c>
      <c r="L2275">
        <v>-1.19</v>
      </c>
      <c r="M2275">
        <v>14.09</v>
      </c>
      <c r="N2275">
        <v>0</v>
      </c>
      <c r="O2275">
        <v>0.19</v>
      </c>
    </row>
    <row r="2276" spans="1:15">
      <c r="A2276" t="str">
        <f>"300837"</f>
        <v>300837</v>
      </c>
      <c r="B2276" t="s">
        <v>2314</v>
      </c>
      <c r="C2276">
        <v>-0.64</v>
      </c>
      <c r="D2276">
        <v>26.24</v>
      </c>
      <c r="E2276" t="s">
        <v>16</v>
      </c>
      <c r="F2276" t="s">
        <v>16</v>
      </c>
      <c r="H2276">
        <v>-0.22</v>
      </c>
      <c r="I2276">
        <v>-6.08</v>
      </c>
      <c r="J2276">
        <v>-1.24</v>
      </c>
      <c r="L2276">
        <v>0.34</v>
      </c>
      <c r="M2276">
        <v>6.63</v>
      </c>
      <c r="N2276">
        <v>0.01</v>
      </c>
      <c r="O2276">
        <v>0.25</v>
      </c>
    </row>
    <row r="2277" spans="1:15">
      <c r="A2277" t="str">
        <f>"300838"</f>
        <v>300838</v>
      </c>
      <c r="B2277" t="s">
        <v>2315</v>
      </c>
      <c r="C2277">
        <v>-2.39</v>
      </c>
      <c r="D2277">
        <v>14.31</v>
      </c>
      <c r="E2277" t="s">
        <v>16</v>
      </c>
      <c r="F2277" t="s">
        <v>16</v>
      </c>
      <c r="H2277">
        <v>0</v>
      </c>
      <c r="I2277">
        <v>-11.78</v>
      </c>
      <c r="J2277">
        <v>-2.59</v>
      </c>
      <c r="L2277">
        <v>0.2</v>
      </c>
      <c r="M2277">
        <v>26.44</v>
      </c>
      <c r="N2277">
        <v>0.03</v>
      </c>
      <c r="O2277">
        <v>0.67</v>
      </c>
    </row>
    <row r="2278" spans="1:15">
      <c r="A2278" t="str">
        <f>"300839"</f>
        <v>300839</v>
      </c>
      <c r="B2278" t="s">
        <v>2316</v>
      </c>
      <c r="C2278">
        <v>0.28</v>
      </c>
      <c r="D2278">
        <v>14.12</v>
      </c>
      <c r="E2278" t="s">
        <v>16</v>
      </c>
      <c r="F2278" t="s">
        <v>16</v>
      </c>
      <c r="H2278">
        <v>-0.06</v>
      </c>
      <c r="I2278">
        <v>-9.25</v>
      </c>
      <c r="J2278">
        <v>-2.62</v>
      </c>
      <c r="L2278">
        <v>0.14</v>
      </c>
      <c r="M2278">
        <v>18.47</v>
      </c>
      <c r="N2278">
        <v>0.01</v>
      </c>
      <c r="O2278">
        <v>0.23</v>
      </c>
    </row>
    <row r="2279" spans="1:15">
      <c r="A2279" t="str">
        <f>"300840"</f>
        <v>300840</v>
      </c>
      <c r="B2279" t="s">
        <v>2317</v>
      </c>
      <c r="C2279">
        <v>0.99</v>
      </c>
      <c r="D2279">
        <v>21.51</v>
      </c>
      <c r="E2279" t="s">
        <v>16</v>
      </c>
      <c r="F2279" t="s">
        <v>16</v>
      </c>
      <c r="H2279">
        <v>0.23</v>
      </c>
      <c r="I2279">
        <v>-1.6</v>
      </c>
      <c r="J2279">
        <v>-0.88</v>
      </c>
      <c r="L2279">
        <v>-1.13</v>
      </c>
      <c r="M2279">
        <v>13.9</v>
      </c>
      <c r="N2279">
        <v>0</v>
      </c>
      <c r="O2279">
        <v>0.57</v>
      </c>
    </row>
    <row r="2280" spans="1:15">
      <c r="A2280" t="str">
        <f>"300841"</f>
        <v>300841</v>
      </c>
      <c r="B2280" t="s">
        <v>2318</v>
      </c>
      <c r="C2280">
        <v>0.56</v>
      </c>
      <c r="D2280">
        <v>46.34</v>
      </c>
      <c r="E2280" t="s">
        <v>16</v>
      </c>
      <c r="F2280" t="s">
        <v>16</v>
      </c>
      <c r="H2280">
        <v>0.35</v>
      </c>
      <c r="I2280">
        <v>1.82</v>
      </c>
      <c r="J2280">
        <v>-0.88</v>
      </c>
      <c r="L2280">
        <v>-0.59</v>
      </c>
      <c r="M2280">
        <v>4.12</v>
      </c>
      <c r="N2280">
        <v>0</v>
      </c>
      <c r="O2280">
        <v>1</v>
      </c>
    </row>
    <row r="2281" spans="1:15">
      <c r="A2281" t="str">
        <f>"300842"</f>
        <v>300842</v>
      </c>
      <c r="B2281" t="s">
        <v>2319</v>
      </c>
      <c r="C2281">
        <v>10.43</v>
      </c>
      <c r="D2281">
        <v>86.2</v>
      </c>
      <c r="E2281" t="s">
        <v>16</v>
      </c>
      <c r="F2281" t="s">
        <v>16</v>
      </c>
      <c r="H2281">
        <v>-0.26</v>
      </c>
      <c r="I2281">
        <v>4.11</v>
      </c>
      <c r="J2281">
        <v>-4.78</v>
      </c>
      <c r="L2281">
        <v>0.86</v>
      </c>
      <c r="M2281">
        <v>149.59</v>
      </c>
      <c r="N2281">
        <v>0.02</v>
      </c>
      <c r="O2281">
        <v>1.56</v>
      </c>
    </row>
    <row r="2282" spans="1:15">
      <c r="A2282" t="str">
        <f>"300843"</f>
        <v>300843</v>
      </c>
      <c r="B2282" t="s">
        <v>2320</v>
      </c>
      <c r="C2282">
        <v>5.14</v>
      </c>
      <c r="D2282">
        <v>126.8</v>
      </c>
      <c r="E2282" t="s">
        <v>16</v>
      </c>
      <c r="F2282" t="s">
        <v>16</v>
      </c>
      <c r="H2282">
        <v>0.26</v>
      </c>
      <c r="I2282">
        <v>40.31</v>
      </c>
      <c r="J2282">
        <v>-1.61</v>
      </c>
      <c r="K2282" t="s">
        <v>26</v>
      </c>
      <c r="L2282">
        <v>0.85</v>
      </c>
      <c r="M2282">
        <v>503.55</v>
      </c>
      <c r="N2282">
        <v>0.06</v>
      </c>
      <c r="O2282">
        <v>0.38</v>
      </c>
    </row>
    <row r="2283" spans="1:15">
      <c r="A2283" t="str">
        <f>"300844"</f>
        <v>300844</v>
      </c>
      <c r="B2283" t="s">
        <v>2321</v>
      </c>
      <c r="C2283">
        <v>-4.03</v>
      </c>
      <c r="D2283">
        <v>23.83</v>
      </c>
      <c r="E2283" t="s">
        <v>16</v>
      </c>
      <c r="F2283" t="s">
        <v>16</v>
      </c>
      <c r="H2283">
        <v>-1.76</v>
      </c>
      <c r="I2283">
        <v>-6.77</v>
      </c>
      <c r="J2283">
        <v>-4.49</v>
      </c>
      <c r="L2283">
        <v>-1.25</v>
      </c>
      <c r="M2283">
        <v>25.75</v>
      </c>
      <c r="N2283">
        <v>0.04</v>
      </c>
      <c r="O2283">
        <v>0.18</v>
      </c>
    </row>
    <row r="2284" spans="1:15">
      <c r="A2284" t="str">
        <f>"300845"</f>
        <v>300845</v>
      </c>
      <c r="B2284" t="s">
        <v>2322</v>
      </c>
      <c r="C2284">
        <v>3.91</v>
      </c>
      <c r="D2284">
        <v>13.55</v>
      </c>
      <c r="E2284" t="s">
        <v>16</v>
      </c>
      <c r="F2284" t="s">
        <v>16</v>
      </c>
      <c r="H2284">
        <v>0.74</v>
      </c>
      <c r="I2284">
        <v>-4.24</v>
      </c>
      <c r="J2284">
        <v>-0.44</v>
      </c>
      <c r="L2284">
        <v>-1.07</v>
      </c>
      <c r="M2284">
        <v>29.03</v>
      </c>
      <c r="N2284">
        <v>0.02</v>
      </c>
      <c r="O2284">
        <v>2.89</v>
      </c>
    </row>
    <row r="2285" spans="1:15">
      <c r="A2285" t="str">
        <f>"300846"</f>
        <v>300846</v>
      </c>
      <c r="B2285" t="s">
        <v>2323</v>
      </c>
      <c r="C2285">
        <v>1.92</v>
      </c>
      <c r="D2285">
        <v>22.82</v>
      </c>
      <c r="E2285" t="s">
        <v>16</v>
      </c>
      <c r="F2285" t="s">
        <v>16</v>
      </c>
      <c r="H2285">
        <v>-0.03</v>
      </c>
      <c r="I2285">
        <v>-4.96</v>
      </c>
      <c r="J2285">
        <v>-1.43</v>
      </c>
      <c r="L2285">
        <v>-0.18</v>
      </c>
      <c r="M2285">
        <v>197.57</v>
      </c>
      <c r="N2285">
        <v>0.02</v>
      </c>
      <c r="O2285">
        <v>1.96</v>
      </c>
    </row>
    <row r="2286" spans="1:15">
      <c r="A2286" t="str">
        <f>"300847"</f>
        <v>300847</v>
      </c>
      <c r="B2286" t="s">
        <v>2324</v>
      </c>
      <c r="C2286">
        <v>-2.77</v>
      </c>
      <c r="D2286">
        <v>14.03</v>
      </c>
      <c r="E2286" t="s">
        <v>16</v>
      </c>
      <c r="F2286" t="s">
        <v>16</v>
      </c>
      <c r="H2286">
        <v>0.14</v>
      </c>
      <c r="I2286">
        <v>-7.21</v>
      </c>
      <c r="J2286">
        <v>-2.23</v>
      </c>
      <c r="L2286">
        <v>-0.55</v>
      </c>
      <c r="M2286">
        <v>19.8</v>
      </c>
      <c r="N2286">
        <v>0.01</v>
      </c>
      <c r="O2286">
        <v>6.57</v>
      </c>
    </row>
    <row r="2287" spans="1:15">
      <c r="A2287" t="str">
        <f>"300848"</f>
        <v>300848</v>
      </c>
      <c r="B2287" t="s">
        <v>2325</v>
      </c>
      <c r="C2287">
        <v>1.92</v>
      </c>
      <c r="D2287">
        <v>14.88</v>
      </c>
      <c r="E2287" t="s">
        <v>16</v>
      </c>
      <c r="F2287" t="s">
        <v>16</v>
      </c>
      <c r="H2287">
        <v>-0.12</v>
      </c>
      <c r="I2287">
        <v>5.98</v>
      </c>
      <c r="J2287">
        <v>-2.11</v>
      </c>
      <c r="L2287">
        <v>-0.21</v>
      </c>
      <c r="M2287">
        <v>21.56</v>
      </c>
      <c r="N2287">
        <v>0.01</v>
      </c>
      <c r="O2287">
        <v>0.35</v>
      </c>
    </row>
    <row r="2288" spans="1:15">
      <c r="A2288" t="str">
        <f>"300849"</f>
        <v>300849</v>
      </c>
      <c r="B2288" t="s">
        <v>2326</v>
      </c>
      <c r="C2288">
        <v>-0.63</v>
      </c>
      <c r="D2288">
        <v>22.2</v>
      </c>
      <c r="E2288" t="s">
        <v>16</v>
      </c>
      <c r="F2288" t="s">
        <v>16</v>
      </c>
      <c r="H2288">
        <v>-0.35</v>
      </c>
      <c r="I2288">
        <v>-14.62</v>
      </c>
      <c r="J2288">
        <v>-2.72</v>
      </c>
      <c r="L2288">
        <v>-0.81</v>
      </c>
      <c r="M2288">
        <v>0.66</v>
      </c>
      <c r="N2288">
        <v>0</v>
      </c>
      <c r="O2288">
        <v>0.19</v>
      </c>
    </row>
    <row r="2289" spans="1:15">
      <c r="A2289" t="str">
        <f>"300850"</f>
        <v>300850</v>
      </c>
      <c r="B2289" t="s">
        <v>2327</v>
      </c>
      <c r="C2289">
        <v>-2.32</v>
      </c>
      <c r="D2289">
        <v>28.2</v>
      </c>
      <c r="E2289" t="s">
        <v>16</v>
      </c>
      <c r="F2289" t="s">
        <v>16</v>
      </c>
      <c r="H2289">
        <v>-0.17</v>
      </c>
      <c r="I2289">
        <v>-9.27</v>
      </c>
      <c r="J2289">
        <v>-3.66</v>
      </c>
      <c r="L2289">
        <v>0.03</v>
      </c>
      <c r="M2289">
        <v>59.2</v>
      </c>
      <c r="N2289">
        <v>0.01</v>
      </c>
      <c r="O2289">
        <v>1.45</v>
      </c>
    </row>
    <row r="2290" spans="1:15">
      <c r="A2290" t="str">
        <f>"300851"</f>
        <v>300851</v>
      </c>
      <c r="B2290" t="s">
        <v>2328</v>
      </c>
      <c r="C2290">
        <v>-0.59</v>
      </c>
      <c r="D2290">
        <v>23.7</v>
      </c>
      <c r="E2290" t="s">
        <v>16</v>
      </c>
      <c r="F2290" t="s">
        <v>16</v>
      </c>
      <c r="H2290">
        <v>-0.03</v>
      </c>
      <c r="I2290">
        <v>-7.57</v>
      </c>
      <c r="J2290">
        <v>-1.62</v>
      </c>
      <c r="L2290">
        <v>-0.46</v>
      </c>
      <c r="M2290">
        <v>8.78</v>
      </c>
      <c r="N2290">
        <v>0.01</v>
      </c>
      <c r="O2290">
        <v>0.26</v>
      </c>
    </row>
    <row r="2291" spans="1:15">
      <c r="A2291" t="str">
        <f>"300852"</f>
        <v>300852</v>
      </c>
      <c r="B2291" t="s">
        <v>2329</v>
      </c>
      <c r="C2291">
        <v>3.77</v>
      </c>
      <c r="D2291">
        <v>62.28</v>
      </c>
      <c r="E2291" t="s">
        <v>16</v>
      </c>
      <c r="F2291" t="s">
        <v>16</v>
      </c>
      <c r="H2291">
        <v>0.29</v>
      </c>
      <c r="I2291">
        <v>20.96</v>
      </c>
      <c r="J2291">
        <v>-0.86</v>
      </c>
      <c r="L2291">
        <v>-0.87</v>
      </c>
      <c r="M2291">
        <v>359.98</v>
      </c>
      <c r="N2291">
        <v>0.08</v>
      </c>
      <c r="O2291">
        <v>1.27</v>
      </c>
    </row>
    <row r="2292" spans="1:15">
      <c r="A2292" t="str">
        <f>"300853"</f>
        <v>300853</v>
      </c>
      <c r="B2292" t="s">
        <v>2330</v>
      </c>
      <c r="C2292">
        <v>3</v>
      </c>
      <c r="D2292">
        <v>30.19</v>
      </c>
      <c r="E2292" t="s">
        <v>16</v>
      </c>
      <c r="F2292" t="s">
        <v>16</v>
      </c>
      <c r="H2292">
        <v>-0.25</v>
      </c>
      <c r="I2292">
        <v>-19.75</v>
      </c>
      <c r="J2292">
        <v>-4.7</v>
      </c>
      <c r="L2292">
        <v>-0.14</v>
      </c>
      <c r="M2292">
        <v>96.59</v>
      </c>
      <c r="N2292">
        <v>0.03</v>
      </c>
      <c r="O2292">
        <v>0.29</v>
      </c>
    </row>
    <row r="2293" spans="1:15">
      <c r="A2293" t="str">
        <f>"300854"</f>
        <v>300854</v>
      </c>
      <c r="B2293" t="s">
        <v>2331</v>
      </c>
      <c r="C2293">
        <v>-1.53</v>
      </c>
      <c r="D2293">
        <v>25.8</v>
      </c>
      <c r="E2293" t="s">
        <v>16</v>
      </c>
      <c r="F2293" t="s">
        <v>16</v>
      </c>
      <c r="H2293">
        <v>0.82</v>
      </c>
      <c r="I2293">
        <v>-12.69</v>
      </c>
      <c r="J2293">
        <v>-2.27</v>
      </c>
      <c r="L2293">
        <v>-3.7</v>
      </c>
      <c r="M2293">
        <v>121.86</v>
      </c>
      <c r="N2293">
        <v>0.07</v>
      </c>
      <c r="O2293">
        <v>1.82</v>
      </c>
    </row>
    <row r="2294" spans="1:15">
      <c r="A2294" t="str">
        <f>"300855"</f>
        <v>300855</v>
      </c>
      <c r="B2294" t="s">
        <v>2332</v>
      </c>
      <c r="C2294">
        <v>4.43</v>
      </c>
      <c r="D2294">
        <v>33.73</v>
      </c>
      <c r="E2294" t="s">
        <v>16</v>
      </c>
      <c r="F2294" t="s">
        <v>16</v>
      </c>
      <c r="H2294">
        <v>0.24</v>
      </c>
      <c r="I2294">
        <v>0.57</v>
      </c>
      <c r="J2294">
        <v>-0.91</v>
      </c>
      <c r="L2294">
        <v>0.03</v>
      </c>
      <c r="M2294">
        <v>29.4</v>
      </c>
      <c r="N2294">
        <v>0</v>
      </c>
      <c r="O2294">
        <v>1.3</v>
      </c>
    </row>
    <row r="2295" spans="1:15">
      <c r="A2295" t="str">
        <f>"300856"</f>
        <v>300856</v>
      </c>
      <c r="B2295" t="s">
        <v>2333</v>
      </c>
      <c r="C2295">
        <v>-2.99</v>
      </c>
      <c r="D2295">
        <v>11.04</v>
      </c>
      <c r="E2295" t="s">
        <v>16</v>
      </c>
      <c r="F2295" t="s">
        <v>16</v>
      </c>
      <c r="H2295">
        <v>-0.17</v>
      </c>
      <c r="I2295">
        <v>-4.17</v>
      </c>
      <c r="J2295">
        <v>-4.08</v>
      </c>
      <c r="L2295">
        <v>0.18</v>
      </c>
      <c r="M2295">
        <v>19.15</v>
      </c>
      <c r="N2295">
        <v>0.01</v>
      </c>
      <c r="O2295">
        <v>1.63</v>
      </c>
    </row>
    <row r="2296" spans="1:15">
      <c r="A2296" t="str">
        <f>"300857"</f>
        <v>300857</v>
      </c>
      <c r="B2296" t="s">
        <v>2334</v>
      </c>
      <c r="C2296">
        <v>4.03</v>
      </c>
      <c r="D2296">
        <v>277.76</v>
      </c>
      <c r="E2296" t="s">
        <v>16</v>
      </c>
      <c r="F2296" t="s">
        <v>16</v>
      </c>
      <c r="H2296">
        <v>-0.11</v>
      </c>
      <c r="I2296">
        <v>13.68</v>
      </c>
      <c r="J2296">
        <v>-1.71</v>
      </c>
      <c r="L2296">
        <v>0.38</v>
      </c>
      <c r="M2296">
        <v>6005.88</v>
      </c>
      <c r="N2296">
        <v>0.07</v>
      </c>
      <c r="O2296">
        <v>1.47</v>
      </c>
    </row>
    <row r="2297" spans="1:15">
      <c r="A2297" t="str">
        <f>"300858"</f>
        <v>300858</v>
      </c>
      <c r="B2297" t="s">
        <v>2335</v>
      </c>
      <c r="C2297">
        <v>3.59</v>
      </c>
      <c r="D2297">
        <v>15.6</v>
      </c>
      <c r="E2297" t="s">
        <v>16</v>
      </c>
      <c r="F2297" t="s">
        <v>16</v>
      </c>
      <c r="H2297">
        <v>-0.25</v>
      </c>
      <c r="I2297">
        <v>1.5</v>
      </c>
      <c r="J2297">
        <v>-2.32</v>
      </c>
      <c r="L2297">
        <v>0.13</v>
      </c>
      <c r="M2297">
        <v>10.86</v>
      </c>
      <c r="N2297">
        <v>0</v>
      </c>
      <c r="O2297">
        <v>1.76</v>
      </c>
    </row>
    <row r="2298" spans="1:15">
      <c r="A2298" t="str">
        <f>"300859"</f>
        <v>300859</v>
      </c>
      <c r="B2298" t="s">
        <v>2336</v>
      </c>
      <c r="C2298">
        <v>-0.74</v>
      </c>
      <c r="D2298">
        <v>28.12</v>
      </c>
      <c r="E2298" t="s">
        <v>16</v>
      </c>
      <c r="F2298" t="s">
        <v>16</v>
      </c>
      <c r="H2298">
        <v>-0.27</v>
      </c>
      <c r="I2298">
        <v>-3.93</v>
      </c>
      <c r="J2298">
        <v>-1.78</v>
      </c>
      <c r="L2298">
        <v>0.49</v>
      </c>
      <c r="M2298">
        <v>109.32</v>
      </c>
      <c r="N2298">
        <v>0.04</v>
      </c>
      <c r="O2298">
        <v>2.63</v>
      </c>
    </row>
    <row r="2299" spans="1:15">
      <c r="A2299" t="str">
        <f>"300860"</f>
        <v>300860</v>
      </c>
      <c r="B2299" t="s">
        <v>2337</v>
      </c>
      <c r="C2299">
        <v>4.25</v>
      </c>
      <c r="D2299">
        <v>26.5</v>
      </c>
      <c r="E2299" t="s">
        <v>16</v>
      </c>
      <c r="F2299" t="s">
        <v>16</v>
      </c>
      <c r="H2299">
        <v>0</v>
      </c>
      <c r="I2299">
        <v>1.42</v>
      </c>
      <c r="J2299">
        <v>-0.86</v>
      </c>
      <c r="L2299">
        <v>-0.87</v>
      </c>
      <c r="M2299">
        <v>8.82</v>
      </c>
      <c r="N2299">
        <v>0.01</v>
      </c>
      <c r="O2299">
        <v>0.59</v>
      </c>
    </row>
    <row r="2300" spans="1:15">
      <c r="A2300" t="str">
        <f>"300861"</f>
        <v>300861</v>
      </c>
      <c r="B2300" t="s">
        <v>2338</v>
      </c>
      <c r="C2300">
        <v>19.98</v>
      </c>
      <c r="D2300">
        <v>24.32</v>
      </c>
      <c r="E2300">
        <v>3781.76</v>
      </c>
      <c r="F2300">
        <v>1</v>
      </c>
      <c r="H2300">
        <v>0</v>
      </c>
      <c r="I2300">
        <v>31.6</v>
      </c>
      <c r="J2300">
        <v>0</v>
      </c>
      <c r="K2300" t="s">
        <v>140</v>
      </c>
      <c r="L2300">
        <v>0</v>
      </c>
      <c r="M2300">
        <v>70.54</v>
      </c>
      <c r="N2300">
        <v>0.01</v>
      </c>
      <c r="O2300">
        <v>0.44</v>
      </c>
    </row>
    <row r="2301" spans="1:15">
      <c r="A2301" t="str">
        <f>"300862"</f>
        <v>300862</v>
      </c>
      <c r="B2301" t="s">
        <v>2339</v>
      </c>
      <c r="C2301">
        <v>-1.87</v>
      </c>
      <c r="D2301">
        <v>21.57</v>
      </c>
      <c r="E2301" t="s">
        <v>16</v>
      </c>
      <c r="F2301" t="s">
        <v>16</v>
      </c>
      <c r="H2301">
        <v>-0.31</v>
      </c>
      <c r="I2301">
        <v>-4.89</v>
      </c>
      <c r="J2301">
        <v>-3.62</v>
      </c>
      <c r="L2301">
        <v>-1</v>
      </c>
      <c r="M2301">
        <v>27.64</v>
      </c>
      <c r="N2301">
        <v>0.01</v>
      </c>
      <c r="O2301">
        <v>5.52</v>
      </c>
    </row>
    <row r="2302" spans="1:15">
      <c r="A2302" t="str">
        <f>"300863"</f>
        <v>300863</v>
      </c>
      <c r="B2302" t="s">
        <v>2340</v>
      </c>
      <c r="C2302">
        <v>-2.18</v>
      </c>
      <c r="D2302">
        <v>67.35</v>
      </c>
      <c r="E2302" t="s">
        <v>16</v>
      </c>
      <c r="F2302" t="s">
        <v>16</v>
      </c>
      <c r="H2302">
        <v>0</v>
      </c>
      <c r="I2302">
        <v>-7.42</v>
      </c>
      <c r="J2302">
        <v>-3.76</v>
      </c>
      <c r="L2302">
        <v>-0.12</v>
      </c>
      <c r="M2302">
        <v>170.55</v>
      </c>
      <c r="N2302">
        <v>0.02</v>
      </c>
      <c r="O2302">
        <v>1.08</v>
      </c>
    </row>
    <row r="2303" spans="1:15">
      <c r="A2303" t="str">
        <f>"300864"</f>
        <v>300864</v>
      </c>
      <c r="B2303" t="s">
        <v>2341</v>
      </c>
      <c r="C2303">
        <v>-6.98</v>
      </c>
      <c r="D2303">
        <v>20.52</v>
      </c>
      <c r="E2303" t="s">
        <v>16</v>
      </c>
      <c r="F2303" t="s">
        <v>16</v>
      </c>
      <c r="H2303">
        <v>-0.23</v>
      </c>
      <c r="I2303">
        <v>-5.74</v>
      </c>
      <c r="J2303">
        <v>-5.26</v>
      </c>
      <c r="L2303">
        <v>-2.99</v>
      </c>
      <c r="M2303">
        <v>609.47</v>
      </c>
      <c r="N2303">
        <v>0.64</v>
      </c>
      <c r="O2303">
        <v>1.95</v>
      </c>
    </row>
    <row r="2304" spans="1:15">
      <c r="A2304" t="str">
        <f>"300865"</f>
        <v>300865</v>
      </c>
      <c r="B2304" t="s">
        <v>2342</v>
      </c>
      <c r="C2304">
        <v>-1.42</v>
      </c>
      <c r="D2304">
        <v>24.3</v>
      </c>
      <c r="E2304" t="s">
        <v>16</v>
      </c>
      <c r="F2304" t="s">
        <v>16</v>
      </c>
      <c r="H2304">
        <v>0</v>
      </c>
      <c r="I2304">
        <v>-4.63</v>
      </c>
      <c r="J2304">
        <v>-2.92</v>
      </c>
      <c r="L2304">
        <v>-0.28</v>
      </c>
      <c r="M2304">
        <v>31.71</v>
      </c>
      <c r="N2304">
        <v>0.04</v>
      </c>
      <c r="O2304">
        <v>0.95</v>
      </c>
    </row>
    <row r="2305" spans="1:15">
      <c r="A2305" t="str">
        <f>"300866"</f>
        <v>300866</v>
      </c>
      <c r="B2305" t="s">
        <v>2343</v>
      </c>
      <c r="C2305">
        <v>3.06</v>
      </c>
      <c r="D2305">
        <v>117.11</v>
      </c>
      <c r="E2305" t="s">
        <v>16</v>
      </c>
      <c r="F2305" t="s">
        <v>16</v>
      </c>
      <c r="H2305">
        <v>-0.48</v>
      </c>
      <c r="I2305">
        <v>1.44</v>
      </c>
      <c r="J2305">
        <v>-0.75</v>
      </c>
      <c r="L2305">
        <v>-0.24</v>
      </c>
      <c r="M2305">
        <v>66.88</v>
      </c>
      <c r="N2305">
        <v>0</v>
      </c>
      <c r="O2305">
        <v>0.59</v>
      </c>
    </row>
    <row r="2306" spans="1:15">
      <c r="A2306" t="str">
        <f>"300867"</f>
        <v>300867</v>
      </c>
      <c r="B2306" t="s">
        <v>2344</v>
      </c>
      <c r="C2306">
        <v>-0.76</v>
      </c>
      <c r="D2306">
        <v>19.68</v>
      </c>
      <c r="E2306" t="s">
        <v>16</v>
      </c>
      <c r="F2306" t="s">
        <v>16</v>
      </c>
      <c r="H2306">
        <v>-0.34</v>
      </c>
      <c r="I2306">
        <v>-10.38</v>
      </c>
      <c r="J2306">
        <v>-1.85</v>
      </c>
      <c r="L2306">
        <v>-0.15</v>
      </c>
      <c r="M2306">
        <v>18.41</v>
      </c>
      <c r="N2306">
        <v>0.01</v>
      </c>
      <c r="O2306">
        <v>0.81</v>
      </c>
    </row>
    <row r="2307" spans="1:15">
      <c r="A2307" t="str">
        <f>"300868"</f>
        <v>300868</v>
      </c>
      <c r="B2307" t="s">
        <v>2345</v>
      </c>
      <c r="C2307">
        <v>4.78</v>
      </c>
      <c r="D2307">
        <v>145.75</v>
      </c>
      <c r="E2307" t="s">
        <v>16</v>
      </c>
      <c r="F2307" t="s">
        <v>16</v>
      </c>
      <c r="H2307">
        <v>0.03</v>
      </c>
      <c r="I2307">
        <v>13.03</v>
      </c>
      <c r="J2307">
        <v>-1.45</v>
      </c>
      <c r="L2307">
        <v>-0.92</v>
      </c>
      <c r="M2307">
        <v>249.81</v>
      </c>
      <c r="N2307">
        <v>0.03</v>
      </c>
      <c r="O2307">
        <v>0.69</v>
      </c>
    </row>
    <row r="2308" spans="1:15">
      <c r="A2308" t="str">
        <f>"300869"</f>
        <v>300869</v>
      </c>
      <c r="B2308" t="s">
        <v>2346</v>
      </c>
      <c r="C2308">
        <v>5.56</v>
      </c>
      <c r="D2308">
        <v>11.4</v>
      </c>
      <c r="E2308" t="s">
        <v>16</v>
      </c>
      <c r="F2308" t="s">
        <v>16</v>
      </c>
      <c r="H2308">
        <v>0</v>
      </c>
      <c r="I2308">
        <v>1.88</v>
      </c>
      <c r="J2308">
        <v>-6.94</v>
      </c>
      <c r="L2308">
        <v>-0.74</v>
      </c>
      <c r="M2308">
        <v>18.33</v>
      </c>
      <c r="N2308">
        <v>0.01</v>
      </c>
      <c r="O2308">
        <v>3.98</v>
      </c>
    </row>
    <row r="2309" spans="1:15">
      <c r="A2309" t="str">
        <f>"300870"</f>
        <v>300870</v>
      </c>
      <c r="B2309" t="s">
        <v>2347</v>
      </c>
      <c r="C2309">
        <v>1.62</v>
      </c>
      <c r="D2309">
        <v>380.06</v>
      </c>
      <c r="E2309" t="s">
        <v>16</v>
      </c>
      <c r="F2309" t="s">
        <v>16</v>
      </c>
      <c r="H2309">
        <v>-0.04</v>
      </c>
      <c r="I2309">
        <v>38.2</v>
      </c>
      <c r="J2309">
        <v>-1.79</v>
      </c>
      <c r="L2309">
        <v>0</v>
      </c>
      <c r="M2309">
        <v>445.08</v>
      </c>
      <c r="N2309">
        <v>0.02</v>
      </c>
      <c r="O2309">
        <v>0.37</v>
      </c>
    </row>
    <row r="2310" spans="1:15">
      <c r="A2310" t="str">
        <f>"300871"</f>
        <v>300871</v>
      </c>
      <c r="B2310" t="s">
        <v>2348</v>
      </c>
      <c r="C2310">
        <v>1.8</v>
      </c>
      <c r="D2310">
        <v>23.23</v>
      </c>
      <c r="E2310" t="s">
        <v>16</v>
      </c>
      <c r="F2310" t="s">
        <v>16</v>
      </c>
      <c r="H2310">
        <v>0.91</v>
      </c>
      <c r="I2310">
        <v>15</v>
      </c>
      <c r="J2310">
        <v>-1.27</v>
      </c>
      <c r="L2310">
        <v>-0.57</v>
      </c>
      <c r="M2310">
        <v>48.78</v>
      </c>
      <c r="N2310">
        <v>0.02</v>
      </c>
      <c r="O2310">
        <v>1.3</v>
      </c>
    </row>
    <row r="2311" spans="1:15">
      <c r="A2311" t="str">
        <f>"300872"</f>
        <v>300872</v>
      </c>
      <c r="B2311" t="s">
        <v>2349</v>
      </c>
      <c r="C2311">
        <v>0.26</v>
      </c>
      <c r="D2311">
        <v>19.63</v>
      </c>
      <c r="E2311" t="s">
        <v>16</v>
      </c>
      <c r="F2311" t="s">
        <v>16</v>
      </c>
      <c r="H2311">
        <v>-0.19</v>
      </c>
      <c r="I2311">
        <v>3.26</v>
      </c>
      <c r="J2311">
        <v>-0.61</v>
      </c>
      <c r="L2311">
        <v>-0.56</v>
      </c>
      <c r="M2311">
        <v>50.43</v>
      </c>
      <c r="N2311">
        <v>0.01</v>
      </c>
      <c r="O2311">
        <v>0.32</v>
      </c>
    </row>
    <row r="2312" spans="1:15">
      <c r="A2312" t="str">
        <f>"300873"</f>
        <v>300873</v>
      </c>
      <c r="B2312" t="s">
        <v>2350</v>
      </c>
      <c r="C2312">
        <v>7.49</v>
      </c>
      <c r="D2312">
        <v>26.68</v>
      </c>
      <c r="E2312" t="s">
        <v>16</v>
      </c>
      <c r="F2312" t="s">
        <v>16</v>
      </c>
      <c r="H2312">
        <v>-0.18</v>
      </c>
      <c r="I2312">
        <v>27.72</v>
      </c>
      <c r="J2312">
        <v>-0.63</v>
      </c>
      <c r="L2312">
        <v>-0.08</v>
      </c>
      <c r="M2312">
        <v>49.1</v>
      </c>
      <c r="N2312">
        <v>0.02</v>
      </c>
      <c r="O2312">
        <v>0.73</v>
      </c>
    </row>
    <row r="2313" spans="1:15">
      <c r="A2313" t="str">
        <f>"300875"</f>
        <v>300875</v>
      </c>
      <c r="B2313" t="s">
        <v>2351</v>
      </c>
      <c r="C2313">
        <v>-0.68</v>
      </c>
      <c r="D2313">
        <v>30.68</v>
      </c>
      <c r="E2313" t="s">
        <v>16</v>
      </c>
      <c r="F2313" t="s">
        <v>16</v>
      </c>
      <c r="H2313">
        <v>-0.12</v>
      </c>
      <c r="I2313">
        <v>-6.43</v>
      </c>
      <c r="J2313">
        <v>-1.92</v>
      </c>
      <c r="L2313">
        <v>-1.1</v>
      </c>
      <c r="M2313">
        <v>5.5</v>
      </c>
      <c r="N2313">
        <v>0</v>
      </c>
      <c r="O2313">
        <v>0.31</v>
      </c>
    </row>
    <row r="2314" spans="1:15">
      <c r="A2314" t="str">
        <f>"300876"</f>
        <v>300876</v>
      </c>
      <c r="B2314" t="s">
        <v>2352</v>
      </c>
      <c r="C2314">
        <v>-1.62</v>
      </c>
      <c r="D2314">
        <v>16.4</v>
      </c>
      <c r="E2314" t="s">
        <v>16</v>
      </c>
      <c r="F2314" t="s">
        <v>16</v>
      </c>
      <c r="H2314">
        <v>-0.35</v>
      </c>
      <c r="I2314">
        <v>-8.94</v>
      </c>
      <c r="J2314">
        <v>-4.65</v>
      </c>
      <c r="L2314">
        <v>1.02</v>
      </c>
      <c r="M2314">
        <v>47.32</v>
      </c>
      <c r="N2314">
        <v>0.04</v>
      </c>
      <c r="O2314">
        <v>1.99</v>
      </c>
    </row>
    <row r="2315" spans="1:15">
      <c r="A2315" t="str">
        <f>"300877"</f>
        <v>300877</v>
      </c>
      <c r="B2315" t="s">
        <v>2353</v>
      </c>
      <c r="C2315">
        <v>8.08</v>
      </c>
      <c r="D2315">
        <v>28.49</v>
      </c>
      <c r="E2315" t="s">
        <v>16</v>
      </c>
      <c r="F2315" t="s">
        <v>16</v>
      </c>
      <c r="H2315">
        <v>-0.1</v>
      </c>
      <c r="I2315">
        <v>-2.66</v>
      </c>
      <c r="J2315">
        <v>-0.97</v>
      </c>
      <c r="L2315">
        <v>-0.3</v>
      </c>
      <c r="M2315">
        <v>2.1</v>
      </c>
      <c r="N2315">
        <v>0</v>
      </c>
      <c r="O2315">
        <v>0.12</v>
      </c>
    </row>
    <row r="2316" spans="1:15">
      <c r="A2316" t="str">
        <f>"300878"</f>
        <v>300878</v>
      </c>
      <c r="B2316" t="s">
        <v>2354</v>
      </c>
      <c r="C2316">
        <v>-2.27</v>
      </c>
      <c r="D2316">
        <v>30.5</v>
      </c>
      <c r="E2316" t="s">
        <v>16</v>
      </c>
      <c r="F2316" t="s">
        <v>16</v>
      </c>
      <c r="H2316">
        <v>0.4</v>
      </c>
      <c r="I2316">
        <v>5.68</v>
      </c>
      <c r="J2316">
        <v>-3.39</v>
      </c>
      <c r="L2316">
        <v>-0.83</v>
      </c>
      <c r="M2316">
        <v>32.81</v>
      </c>
      <c r="N2316">
        <v>0.03</v>
      </c>
      <c r="O2316">
        <v>1.74</v>
      </c>
    </row>
    <row r="2317" spans="1:15">
      <c r="A2317" t="str">
        <f>"300879"</f>
        <v>300879</v>
      </c>
      <c r="B2317" t="s">
        <v>2355</v>
      </c>
      <c r="C2317">
        <v>-2.46</v>
      </c>
      <c r="D2317">
        <v>17.43</v>
      </c>
      <c r="E2317" t="s">
        <v>16</v>
      </c>
      <c r="F2317" t="s">
        <v>16</v>
      </c>
      <c r="H2317">
        <v>-0.22</v>
      </c>
      <c r="I2317">
        <v>-6.99</v>
      </c>
      <c r="J2317">
        <v>-3.06</v>
      </c>
      <c r="L2317">
        <v>0.17</v>
      </c>
      <c r="M2317">
        <v>5.37</v>
      </c>
      <c r="N2317">
        <v>0</v>
      </c>
      <c r="O2317">
        <v>0.28</v>
      </c>
    </row>
    <row r="2318" spans="1:15">
      <c r="A2318" t="str">
        <f>"300880"</f>
        <v>300880</v>
      </c>
      <c r="B2318" t="s">
        <v>2356</v>
      </c>
      <c r="C2318">
        <v>-5.41</v>
      </c>
      <c r="D2318">
        <v>24.11</v>
      </c>
      <c r="E2318" t="s">
        <v>16</v>
      </c>
      <c r="F2318" t="s">
        <v>16</v>
      </c>
      <c r="H2318">
        <v>0.12</v>
      </c>
      <c r="I2318">
        <v>12.66</v>
      </c>
      <c r="J2318">
        <v>-8.12</v>
      </c>
      <c r="L2318">
        <v>-0.55</v>
      </c>
      <c r="M2318">
        <v>79.09</v>
      </c>
      <c r="N2318">
        <v>0.04</v>
      </c>
      <c r="O2318">
        <v>1.75</v>
      </c>
    </row>
    <row r="2319" spans="1:15">
      <c r="A2319" t="str">
        <f>"300881"</f>
        <v>300881</v>
      </c>
      <c r="B2319" t="s">
        <v>2357</v>
      </c>
      <c r="C2319">
        <v>2.29</v>
      </c>
      <c r="D2319">
        <v>42.97</v>
      </c>
      <c r="E2319" t="s">
        <v>16</v>
      </c>
      <c r="F2319" t="s">
        <v>16</v>
      </c>
      <c r="H2319">
        <v>0.12</v>
      </c>
      <c r="I2319">
        <v>-13.1</v>
      </c>
      <c r="J2319">
        <v>-8.9</v>
      </c>
      <c r="L2319">
        <v>-0.02</v>
      </c>
      <c r="M2319">
        <v>10.92</v>
      </c>
      <c r="N2319">
        <v>0.01</v>
      </c>
      <c r="O2319">
        <v>0.79</v>
      </c>
    </row>
    <row r="2320" spans="1:15">
      <c r="A2320" t="str">
        <f>"300882"</f>
        <v>300882</v>
      </c>
      <c r="B2320" t="s">
        <v>2358</v>
      </c>
      <c r="C2320">
        <v>-1.38</v>
      </c>
      <c r="D2320">
        <v>15.03</v>
      </c>
      <c r="E2320" t="s">
        <v>16</v>
      </c>
      <c r="F2320" t="s">
        <v>16</v>
      </c>
      <c r="H2320">
        <v>-0.12</v>
      </c>
      <c r="I2320">
        <v>-4.63</v>
      </c>
      <c r="J2320">
        <v>-2.02</v>
      </c>
      <c r="L2320">
        <v>0.59</v>
      </c>
      <c r="M2320">
        <v>50.9</v>
      </c>
      <c r="N2320">
        <v>0.04</v>
      </c>
      <c r="O2320">
        <v>3.61</v>
      </c>
    </row>
    <row r="2321" spans="1:15">
      <c r="A2321" t="str">
        <f>"300883"</f>
        <v>300883</v>
      </c>
      <c r="B2321" t="s">
        <v>2359</v>
      </c>
      <c r="C2321">
        <v>-2.02</v>
      </c>
      <c r="D2321">
        <v>6.32</v>
      </c>
      <c r="E2321" t="s">
        <v>16</v>
      </c>
      <c r="F2321" t="s">
        <v>16</v>
      </c>
      <c r="H2321">
        <v>-0.31</v>
      </c>
      <c r="I2321">
        <v>-3.51</v>
      </c>
      <c r="J2321">
        <v>-3.07</v>
      </c>
      <c r="L2321">
        <v>-0.78</v>
      </c>
      <c r="M2321">
        <v>30.66</v>
      </c>
      <c r="N2321">
        <v>0.02</v>
      </c>
      <c r="O2321">
        <v>0.33</v>
      </c>
    </row>
    <row r="2322" spans="1:15">
      <c r="A2322" t="str">
        <f>"300884"</f>
        <v>300884</v>
      </c>
      <c r="B2322" t="s">
        <v>2360</v>
      </c>
      <c r="C2322">
        <v>0.57</v>
      </c>
      <c r="D2322">
        <v>10.65</v>
      </c>
      <c r="E2322" t="s">
        <v>16</v>
      </c>
      <c r="F2322" t="s">
        <v>16</v>
      </c>
      <c r="H2322">
        <v>-0.18</v>
      </c>
      <c r="I2322">
        <v>-1.21</v>
      </c>
      <c r="J2322">
        <v>-2.65</v>
      </c>
      <c r="L2322">
        <v>0</v>
      </c>
      <c r="M2322">
        <v>20.12</v>
      </c>
      <c r="N2322">
        <v>0.01</v>
      </c>
      <c r="O2322">
        <v>1.28</v>
      </c>
    </row>
    <row r="2323" spans="1:15">
      <c r="A2323" t="str">
        <f>"300885"</f>
        <v>300885</v>
      </c>
      <c r="B2323" t="s">
        <v>2361</v>
      </c>
      <c r="C2323">
        <v>2.97</v>
      </c>
      <c r="D2323">
        <v>26.33</v>
      </c>
      <c r="E2323" t="s">
        <v>16</v>
      </c>
      <c r="F2323" t="s">
        <v>16</v>
      </c>
      <c r="H2323">
        <v>0.15</v>
      </c>
      <c r="I2323">
        <v>0.38</v>
      </c>
      <c r="J2323">
        <v>-0.87</v>
      </c>
      <c r="L2323">
        <v>-1.02</v>
      </c>
      <c r="M2323">
        <v>105.8</v>
      </c>
      <c r="N2323">
        <v>0.05</v>
      </c>
      <c r="O2323">
        <v>1.26</v>
      </c>
    </row>
    <row r="2324" spans="1:15">
      <c r="A2324" t="str">
        <f>"300886"</f>
        <v>300886</v>
      </c>
      <c r="B2324" t="s">
        <v>2362</v>
      </c>
      <c r="C2324">
        <v>-1.42</v>
      </c>
      <c r="D2324">
        <v>21.5</v>
      </c>
      <c r="E2324" t="s">
        <v>16</v>
      </c>
      <c r="F2324" t="s">
        <v>16</v>
      </c>
      <c r="H2324">
        <v>0</v>
      </c>
      <c r="I2324">
        <v>-8.39</v>
      </c>
      <c r="J2324">
        <v>-2.18</v>
      </c>
      <c r="L2324">
        <v>-0.05</v>
      </c>
      <c r="M2324">
        <v>20.71</v>
      </c>
      <c r="N2324">
        <v>0.03</v>
      </c>
      <c r="O2324">
        <v>1.46</v>
      </c>
    </row>
    <row r="2325" spans="1:15">
      <c r="A2325" t="str">
        <f>"300887"</f>
        <v>300887</v>
      </c>
      <c r="B2325" t="s">
        <v>2363</v>
      </c>
      <c r="C2325">
        <v>-0.63</v>
      </c>
      <c r="D2325">
        <v>7.83</v>
      </c>
      <c r="E2325" t="s">
        <v>16</v>
      </c>
      <c r="F2325" t="s">
        <v>16</v>
      </c>
      <c r="H2325">
        <v>-0.24</v>
      </c>
      <c r="I2325">
        <v>-5.89</v>
      </c>
      <c r="J2325">
        <v>-2.25</v>
      </c>
      <c r="L2325">
        <v>-0.51</v>
      </c>
      <c r="M2325">
        <v>8</v>
      </c>
      <c r="N2325">
        <v>0</v>
      </c>
      <c r="O2325">
        <v>0.7</v>
      </c>
    </row>
    <row r="2326" spans="1:15">
      <c r="A2326" t="str">
        <f>"300888"</f>
        <v>300888</v>
      </c>
      <c r="B2326" t="s">
        <v>2364</v>
      </c>
      <c r="C2326">
        <v>0.4</v>
      </c>
      <c r="D2326">
        <v>27.43</v>
      </c>
      <c r="E2326" t="s">
        <v>16</v>
      </c>
      <c r="F2326" t="s">
        <v>16</v>
      </c>
      <c r="H2326">
        <v>-0.17</v>
      </c>
      <c r="I2326">
        <v>-2.21</v>
      </c>
      <c r="J2326">
        <v>-1.33</v>
      </c>
      <c r="L2326">
        <v>0.04</v>
      </c>
      <c r="M2326">
        <v>24.05</v>
      </c>
      <c r="N2326">
        <v>0.01</v>
      </c>
      <c r="O2326">
        <v>1.13</v>
      </c>
    </row>
    <row r="2327" spans="1:15">
      <c r="A2327" t="str">
        <f>"300889"</f>
        <v>300889</v>
      </c>
      <c r="B2327" t="s">
        <v>2365</v>
      </c>
      <c r="C2327">
        <v>-1.16</v>
      </c>
      <c r="D2327">
        <v>23.93</v>
      </c>
      <c r="E2327" t="s">
        <v>16</v>
      </c>
      <c r="F2327" t="s">
        <v>16</v>
      </c>
      <c r="H2327">
        <v>-0.28</v>
      </c>
      <c r="I2327">
        <v>-0.75</v>
      </c>
      <c r="J2327">
        <v>-1.24</v>
      </c>
      <c r="L2327">
        <v>-0.45</v>
      </c>
      <c r="M2327">
        <v>16.39</v>
      </c>
      <c r="N2327">
        <v>0.01</v>
      </c>
      <c r="O2327">
        <v>2.35</v>
      </c>
    </row>
    <row r="2328" spans="1:15">
      <c r="A2328" t="str">
        <f>"300890"</f>
        <v>300890</v>
      </c>
      <c r="B2328" t="s">
        <v>2366</v>
      </c>
      <c r="C2328">
        <v>-1.67</v>
      </c>
      <c r="D2328">
        <v>34.25</v>
      </c>
      <c r="E2328" t="s">
        <v>16</v>
      </c>
      <c r="F2328" t="s">
        <v>16</v>
      </c>
      <c r="H2328">
        <v>0.09</v>
      </c>
      <c r="I2328">
        <v>0.44</v>
      </c>
      <c r="J2328">
        <v>-1.92</v>
      </c>
      <c r="L2328">
        <v>-1.06</v>
      </c>
      <c r="M2328">
        <v>202.28</v>
      </c>
      <c r="N2328">
        <v>0.06</v>
      </c>
      <c r="O2328">
        <v>1.3</v>
      </c>
    </row>
    <row r="2329" spans="1:15">
      <c r="A2329" t="str">
        <f>"300891"</f>
        <v>300891</v>
      </c>
      <c r="B2329" t="s">
        <v>2367</v>
      </c>
      <c r="C2329">
        <v>0</v>
      </c>
      <c r="D2329">
        <v>6.76</v>
      </c>
      <c r="E2329" t="s">
        <v>16</v>
      </c>
      <c r="F2329" t="s">
        <v>16</v>
      </c>
      <c r="H2329">
        <v>0.15</v>
      </c>
      <c r="I2329">
        <v>-1.89</v>
      </c>
      <c r="J2329">
        <v>-2.45</v>
      </c>
      <c r="L2329">
        <v>-0.89</v>
      </c>
      <c r="M2329">
        <v>26.2</v>
      </c>
      <c r="N2329">
        <v>0.02</v>
      </c>
      <c r="O2329">
        <v>1.55</v>
      </c>
    </row>
    <row r="2330" spans="1:15">
      <c r="A2330" t="str">
        <f>"300892"</f>
        <v>300892</v>
      </c>
      <c r="B2330" t="s">
        <v>2368</v>
      </c>
      <c r="C2330">
        <v>-1.53</v>
      </c>
      <c r="D2330">
        <v>20.65</v>
      </c>
      <c r="E2330" t="s">
        <v>16</v>
      </c>
      <c r="F2330" t="s">
        <v>16</v>
      </c>
      <c r="H2330">
        <v>-0.18</v>
      </c>
      <c r="I2330">
        <v>-7.27</v>
      </c>
      <c r="J2330">
        <v>-1.67</v>
      </c>
      <c r="L2330">
        <v>-0.95</v>
      </c>
      <c r="M2330">
        <v>1.04</v>
      </c>
      <c r="N2330">
        <v>0</v>
      </c>
      <c r="O2330">
        <v>0.09</v>
      </c>
    </row>
    <row r="2331" spans="1:15">
      <c r="A2331" t="str">
        <f>"300893"</f>
        <v>300893</v>
      </c>
      <c r="B2331" t="s">
        <v>2369</v>
      </c>
      <c r="C2331">
        <v>-4.43</v>
      </c>
      <c r="D2331">
        <v>18.35</v>
      </c>
      <c r="E2331" t="s">
        <v>16</v>
      </c>
      <c r="F2331" t="s">
        <v>16</v>
      </c>
      <c r="H2331">
        <v>0.33</v>
      </c>
      <c r="I2331">
        <v>-11.82</v>
      </c>
      <c r="J2331">
        <v>-4.92</v>
      </c>
      <c r="L2331">
        <v>0.52</v>
      </c>
      <c r="M2331">
        <v>11.39</v>
      </c>
      <c r="N2331">
        <v>0</v>
      </c>
      <c r="O2331" t="s">
        <v>16</v>
      </c>
    </row>
    <row r="2332" spans="1:15">
      <c r="A2332" t="str">
        <f>"300894"</f>
        <v>300894</v>
      </c>
      <c r="B2332" t="s">
        <v>2370</v>
      </c>
      <c r="C2332">
        <v>1.6</v>
      </c>
      <c r="D2332">
        <v>12.04</v>
      </c>
      <c r="E2332" t="s">
        <v>16</v>
      </c>
      <c r="F2332" t="s">
        <v>16</v>
      </c>
      <c r="H2332">
        <v>0.08</v>
      </c>
      <c r="I2332">
        <v>38.07</v>
      </c>
      <c r="J2332">
        <v>-3.6</v>
      </c>
      <c r="L2332">
        <v>-1.27</v>
      </c>
      <c r="M2332">
        <v>195.98</v>
      </c>
      <c r="N2332">
        <v>0.1</v>
      </c>
      <c r="O2332">
        <v>1.95</v>
      </c>
    </row>
    <row r="2333" spans="1:15">
      <c r="A2333" t="str">
        <f>"300895"</f>
        <v>300895</v>
      </c>
      <c r="B2333" t="s">
        <v>2371</v>
      </c>
      <c r="C2333">
        <v>0.78</v>
      </c>
      <c r="D2333">
        <v>56.53</v>
      </c>
      <c r="E2333" t="s">
        <v>16</v>
      </c>
      <c r="F2333" t="s">
        <v>16</v>
      </c>
      <c r="H2333">
        <v>0.11</v>
      </c>
      <c r="I2333">
        <v>-2.8</v>
      </c>
      <c r="J2333">
        <v>-1.99</v>
      </c>
      <c r="L2333">
        <v>0.39</v>
      </c>
      <c r="M2333">
        <v>149.22</v>
      </c>
      <c r="N2333">
        <v>0.04</v>
      </c>
      <c r="O2333">
        <v>2.3</v>
      </c>
    </row>
    <row r="2334" spans="1:15">
      <c r="A2334" t="str">
        <f>"300896"</f>
        <v>300896</v>
      </c>
      <c r="B2334" t="s">
        <v>2372</v>
      </c>
      <c r="C2334">
        <v>0.48</v>
      </c>
      <c r="D2334">
        <v>91.36</v>
      </c>
      <c r="E2334" t="s">
        <v>16</v>
      </c>
      <c r="F2334" t="s">
        <v>16</v>
      </c>
      <c r="H2334">
        <v>0</v>
      </c>
      <c r="I2334">
        <v>-6.49</v>
      </c>
      <c r="J2334">
        <v>-1.67</v>
      </c>
      <c r="L2334">
        <v>-0.41</v>
      </c>
      <c r="M2334">
        <v>76.06</v>
      </c>
      <c r="N2334">
        <v>0.01</v>
      </c>
      <c r="O2334">
        <v>1.87</v>
      </c>
    </row>
    <row r="2335" spans="1:15">
      <c r="A2335" t="str">
        <f>"300897"</f>
        <v>300897</v>
      </c>
      <c r="B2335" t="s">
        <v>2373</v>
      </c>
      <c r="C2335">
        <v>-3.5</v>
      </c>
      <c r="D2335">
        <v>15.15</v>
      </c>
      <c r="E2335" t="s">
        <v>16</v>
      </c>
      <c r="F2335" t="s">
        <v>16</v>
      </c>
      <c r="H2335">
        <v>-0.12</v>
      </c>
      <c r="I2335">
        <v>-32.31</v>
      </c>
      <c r="J2335">
        <v>-4.72</v>
      </c>
      <c r="L2335">
        <v>1.27</v>
      </c>
      <c r="M2335">
        <v>26.87</v>
      </c>
      <c r="N2335">
        <v>0.02</v>
      </c>
      <c r="O2335">
        <v>2.56</v>
      </c>
    </row>
    <row r="2336" spans="1:15">
      <c r="A2336" t="str">
        <f>"300898"</f>
        <v>300898</v>
      </c>
      <c r="B2336" t="s">
        <v>2374</v>
      </c>
      <c r="C2336">
        <v>-1.81</v>
      </c>
      <c r="D2336">
        <v>19.52</v>
      </c>
      <c r="E2336" t="s">
        <v>16</v>
      </c>
      <c r="F2336" t="s">
        <v>16</v>
      </c>
      <c r="H2336">
        <v>-0.19</v>
      </c>
      <c r="I2336">
        <v>-5.01</v>
      </c>
      <c r="J2336">
        <v>-2.2</v>
      </c>
      <c r="L2336">
        <v>-1.31</v>
      </c>
      <c r="M2336">
        <v>7.46</v>
      </c>
      <c r="N2336">
        <v>0.01</v>
      </c>
      <c r="O2336">
        <v>1.15</v>
      </c>
    </row>
    <row r="2337" spans="1:15">
      <c r="A2337" t="str">
        <f>"300899"</f>
        <v>300899</v>
      </c>
      <c r="B2337" t="s">
        <v>2375</v>
      </c>
      <c r="C2337">
        <v>-0.23</v>
      </c>
      <c r="D2337">
        <v>29.75</v>
      </c>
      <c r="E2337" t="s">
        <v>16</v>
      </c>
      <c r="F2337" t="s">
        <v>16</v>
      </c>
      <c r="H2337">
        <v>-0.26</v>
      </c>
      <c r="I2337">
        <v>-4.77</v>
      </c>
      <c r="J2337">
        <v>-2.14</v>
      </c>
      <c r="L2337">
        <v>-0.64</v>
      </c>
      <c r="M2337">
        <v>0</v>
      </c>
      <c r="N2337">
        <v>0</v>
      </c>
      <c r="O2337">
        <v>0</v>
      </c>
    </row>
    <row r="2338" spans="1:15">
      <c r="A2338" t="str">
        <f>"300900"</f>
        <v>300900</v>
      </c>
      <c r="B2338" t="s">
        <v>2376</v>
      </c>
      <c r="C2338">
        <v>3.93</v>
      </c>
      <c r="D2338">
        <v>35.18</v>
      </c>
      <c r="E2338" t="s">
        <v>16</v>
      </c>
      <c r="F2338" t="s">
        <v>16</v>
      </c>
      <c r="H2338">
        <v>0.14</v>
      </c>
      <c r="I2338">
        <v>0.63</v>
      </c>
      <c r="J2338">
        <v>-1.01</v>
      </c>
      <c r="L2338">
        <v>-1.77</v>
      </c>
      <c r="M2338">
        <v>674.31</v>
      </c>
      <c r="N2338">
        <v>0.08</v>
      </c>
      <c r="O2338">
        <v>1.73</v>
      </c>
    </row>
    <row r="2339" spans="1:15">
      <c r="A2339" t="str">
        <f>"300901"</f>
        <v>300901</v>
      </c>
      <c r="B2339" t="s">
        <v>2377</v>
      </c>
      <c r="C2339">
        <v>-0.47</v>
      </c>
      <c r="D2339">
        <v>14.78</v>
      </c>
      <c r="E2339" t="s">
        <v>16</v>
      </c>
      <c r="F2339" t="s">
        <v>16</v>
      </c>
      <c r="H2339">
        <v>-0.33</v>
      </c>
      <c r="I2339">
        <v>0.07</v>
      </c>
      <c r="J2339">
        <v>-2.12</v>
      </c>
      <c r="L2339">
        <v>0</v>
      </c>
      <c r="M2339">
        <v>0</v>
      </c>
      <c r="N2339">
        <v>0</v>
      </c>
      <c r="O2339" t="s">
        <v>16</v>
      </c>
    </row>
    <row r="2340" spans="1:15">
      <c r="A2340" t="str">
        <f>"300902"</f>
        <v>300902</v>
      </c>
      <c r="B2340" t="s">
        <v>2378</v>
      </c>
      <c r="C2340">
        <v>5.09</v>
      </c>
      <c r="D2340">
        <v>17.95</v>
      </c>
      <c r="E2340" t="s">
        <v>16</v>
      </c>
      <c r="F2340" t="s">
        <v>16</v>
      </c>
      <c r="H2340">
        <v>0.11</v>
      </c>
      <c r="I2340">
        <v>20.23</v>
      </c>
      <c r="J2340">
        <v>-1.16</v>
      </c>
      <c r="L2340">
        <v>0.82</v>
      </c>
      <c r="M2340">
        <v>89.2</v>
      </c>
      <c r="N2340">
        <v>0.06</v>
      </c>
      <c r="O2340">
        <v>0.7</v>
      </c>
    </row>
    <row r="2341" spans="1:15">
      <c r="A2341" t="str">
        <f>"300903"</f>
        <v>300903</v>
      </c>
      <c r="B2341" t="s">
        <v>2379</v>
      </c>
      <c r="C2341">
        <v>3.48</v>
      </c>
      <c r="D2341">
        <v>101.58</v>
      </c>
      <c r="E2341" t="s">
        <v>16</v>
      </c>
      <c r="F2341" t="s">
        <v>16</v>
      </c>
      <c r="H2341">
        <v>0.04</v>
      </c>
      <c r="I2341">
        <v>37.74</v>
      </c>
      <c r="J2341">
        <v>-3.26</v>
      </c>
      <c r="K2341" t="s">
        <v>54</v>
      </c>
      <c r="L2341">
        <v>1.79</v>
      </c>
      <c r="M2341">
        <v>7429.05</v>
      </c>
      <c r="N2341">
        <v>0.27</v>
      </c>
      <c r="O2341">
        <v>4.46</v>
      </c>
    </row>
    <row r="2342" spans="1:15">
      <c r="A2342" t="str">
        <f>"300904"</f>
        <v>300904</v>
      </c>
      <c r="B2342" t="s">
        <v>2380</v>
      </c>
      <c r="C2342">
        <v>-1.19</v>
      </c>
      <c r="D2342">
        <v>44.8</v>
      </c>
      <c r="E2342" t="s">
        <v>16</v>
      </c>
      <c r="F2342" t="s">
        <v>16</v>
      </c>
      <c r="H2342">
        <v>-0.08</v>
      </c>
      <c r="I2342">
        <v>-8.96</v>
      </c>
      <c r="J2342">
        <v>-1.6</v>
      </c>
      <c r="L2342">
        <v>-0.75</v>
      </c>
      <c r="M2342">
        <v>15.3</v>
      </c>
      <c r="N2342">
        <v>0.02</v>
      </c>
      <c r="O2342">
        <v>0.77</v>
      </c>
    </row>
    <row r="2343" spans="1:15">
      <c r="A2343" t="str">
        <f>"300905"</f>
        <v>300905</v>
      </c>
      <c r="B2343" t="s">
        <v>2381</v>
      </c>
      <c r="C2343">
        <v>-0.27</v>
      </c>
      <c r="D2343">
        <v>59.09</v>
      </c>
      <c r="E2343" t="s">
        <v>16</v>
      </c>
      <c r="F2343" t="s">
        <v>16</v>
      </c>
      <c r="H2343">
        <v>0.17</v>
      </c>
      <c r="I2343">
        <v>-3.12</v>
      </c>
      <c r="J2343">
        <v>-0.66</v>
      </c>
      <c r="L2343">
        <v>-0.44</v>
      </c>
      <c r="M2343">
        <v>142.17</v>
      </c>
      <c r="N2343">
        <v>0.03</v>
      </c>
      <c r="O2343">
        <v>0.79</v>
      </c>
    </row>
    <row r="2344" spans="1:15">
      <c r="A2344" t="str">
        <f>"300906"</f>
        <v>300906</v>
      </c>
      <c r="B2344" t="s">
        <v>2382</v>
      </c>
      <c r="C2344">
        <v>-0.37</v>
      </c>
      <c r="D2344">
        <v>27.23</v>
      </c>
      <c r="E2344" t="s">
        <v>16</v>
      </c>
      <c r="F2344" t="s">
        <v>16</v>
      </c>
      <c r="H2344">
        <v>-0.17</v>
      </c>
      <c r="I2344">
        <v>-7.88</v>
      </c>
      <c r="J2344">
        <v>-1.87</v>
      </c>
      <c r="L2344">
        <v>-0.99</v>
      </c>
      <c r="M2344">
        <v>13.8</v>
      </c>
      <c r="N2344">
        <v>0.01</v>
      </c>
      <c r="O2344">
        <v>0.46</v>
      </c>
    </row>
    <row r="2345" spans="1:15">
      <c r="A2345" t="str">
        <f>"300907"</f>
        <v>300907</v>
      </c>
      <c r="B2345" t="s">
        <v>2383</v>
      </c>
      <c r="C2345">
        <v>-4.24</v>
      </c>
      <c r="D2345">
        <v>44.06</v>
      </c>
      <c r="E2345" t="s">
        <v>16</v>
      </c>
      <c r="F2345" t="s">
        <v>16</v>
      </c>
      <c r="H2345">
        <v>-0.24</v>
      </c>
      <c r="I2345">
        <v>-9.49</v>
      </c>
      <c r="J2345">
        <v>-5.92</v>
      </c>
      <c r="L2345">
        <v>-0.78</v>
      </c>
      <c r="M2345">
        <v>42.45</v>
      </c>
      <c r="N2345">
        <v>0.03</v>
      </c>
      <c r="O2345">
        <v>0.6</v>
      </c>
    </row>
    <row r="2346" spans="1:15">
      <c r="A2346" t="str">
        <f>"300908"</f>
        <v>300908</v>
      </c>
      <c r="B2346" t="s">
        <v>2384</v>
      </c>
      <c r="C2346">
        <v>0.53</v>
      </c>
      <c r="D2346">
        <v>22.89</v>
      </c>
      <c r="E2346" t="s">
        <v>16</v>
      </c>
      <c r="F2346" t="s">
        <v>16</v>
      </c>
      <c r="H2346">
        <v>-0.21</v>
      </c>
      <c r="I2346">
        <v>-1.68</v>
      </c>
      <c r="J2346">
        <v>-0.69</v>
      </c>
      <c r="L2346">
        <v>0.13</v>
      </c>
      <c r="M2346">
        <v>9.12</v>
      </c>
      <c r="N2346">
        <v>0.01</v>
      </c>
      <c r="O2346">
        <v>3.08</v>
      </c>
    </row>
    <row r="2347" spans="1:15">
      <c r="A2347" t="str">
        <f>"300909"</f>
        <v>300909</v>
      </c>
      <c r="B2347" t="s">
        <v>2385</v>
      </c>
      <c r="C2347">
        <v>5.87</v>
      </c>
      <c r="D2347">
        <v>54.14</v>
      </c>
      <c r="E2347" t="s">
        <v>16</v>
      </c>
      <c r="F2347" t="s">
        <v>16</v>
      </c>
      <c r="H2347">
        <v>-0.06</v>
      </c>
      <c r="I2347">
        <v>18.94</v>
      </c>
      <c r="J2347">
        <v>-2.42</v>
      </c>
      <c r="L2347">
        <v>0</v>
      </c>
      <c r="M2347">
        <v>35.8</v>
      </c>
      <c r="N2347">
        <v>0.01</v>
      </c>
      <c r="O2347">
        <v>0.27</v>
      </c>
    </row>
    <row r="2348" spans="1:15">
      <c r="A2348" t="str">
        <f>"300910"</f>
        <v>300910</v>
      </c>
      <c r="B2348" t="s">
        <v>2386</v>
      </c>
      <c r="C2348">
        <v>-0.89</v>
      </c>
      <c r="D2348">
        <v>29.04</v>
      </c>
      <c r="E2348" t="s">
        <v>16</v>
      </c>
      <c r="F2348" t="s">
        <v>16</v>
      </c>
      <c r="H2348">
        <v>-0.23</v>
      </c>
      <c r="I2348">
        <v>-9.7</v>
      </c>
      <c r="J2348">
        <v>-1.63</v>
      </c>
      <c r="L2348">
        <v>-0.65</v>
      </c>
      <c r="M2348">
        <v>127.5</v>
      </c>
      <c r="N2348">
        <v>0.02</v>
      </c>
      <c r="O2348">
        <v>0.16</v>
      </c>
    </row>
    <row r="2349" spans="1:15">
      <c r="A2349" t="str">
        <f>"300911"</f>
        <v>300911</v>
      </c>
      <c r="B2349" t="s">
        <v>2387</v>
      </c>
      <c r="C2349">
        <v>-1.57</v>
      </c>
      <c r="D2349">
        <v>21.27</v>
      </c>
      <c r="E2349" t="s">
        <v>16</v>
      </c>
      <c r="F2349" t="s">
        <v>16</v>
      </c>
      <c r="H2349">
        <v>-0.32</v>
      </c>
      <c r="I2349">
        <v>-10.52</v>
      </c>
      <c r="J2349">
        <v>-4.62</v>
      </c>
      <c r="L2349">
        <v>-0.32</v>
      </c>
      <c r="M2349">
        <v>50.4</v>
      </c>
      <c r="N2349">
        <v>0.03</v>
      </c>
      <c r="O2349">
        <v>0.4</v>
      </c>
    </row>
    <row r="2350" spans="1:15">
      <c r="A2350" t="str">
        <f>"300912"</f>
        <v>300912</v>
      </c>
      <c r="B2350" t="s">
        <v>2388</v>
      </c>
      <c r="C2350">
        <v>-1.09</v>
      </c>
      <c r="D2350">
        <v>27.34</v>
      </c>
      <c r="E2350" t="s">
        <v>16</v>
      </c>
      <c r="F2350" t="s">
        <v>16</v>
      </c>
      <c r="H2350">
        <v>0.07</v>
      </c>
      <c r="I2350">
        <v>3.36</v>
      </c>
      <c r="J2350">
        <v>-4.24</v>
      </c>
      <c r="L2350">
        <v>-0.07</v>
      </c>
      <c r="M2350">
        <v>20.44</v>
      </c>
      <c r="N2350">
        <v>0.01</v>
      </c>
      <c r="O2350">
        <v>0.77</v>
      </c>
    </row>
    <row r="2351" spans="1:15">
      <c r="A2351" t="str">
        <f>"300913"</f>
        <v>300913</v>
      </c>
      <c r="B2351" t="s">
        <v>2389</v>
      </c>
      <c r="C2351">
        <v>3.42</v>
      </c>
      <c r="D2351">
        <v>58.93</v>
      </c>
      <c r="E2351" t="s">
        <v>16</v>
      </c>
      <c r="F2351" t="s">
        <v>16</v>
      </c>
      <c r="H2351">
        <v>1.31</v>
      </c>
      <c r="I2351">
        <v>-7.14</v>
      </c>
      <c r="J2351">
        <v>-0.36</v>
      </c>
      <c r="L2351">
        <v>-0.05</v>
      </c>
      <c r="M2351">
        <v>259.69</v>
      </c>
      <c r="N2351">
        <v>0.05</v>
      </c>
      <c r="O2351">
        <v>0.65</v>
      </c>
    </row>
    <row r="2352" spans="1:15">
      <c r="A2352" t="str">
        <f>"300915"</f>
        <v>300915</v>
      </c>
      <c r="B2352" t="s">
        <v>2390</v>
      </c>
      <c r="C2352">
        <v>-0.77</v>
      </c>
      <c r="D2352">
        <v>20.75</v>
      </c>
      <c r="E2352" t="s">
        <v>16</v>
      </c>
      <c r="F2352" t="s">
        <v>16</v>
      </c>
      <c r="H2352">
        <v>1.02</v>
      </c>
      <c r="I2352">
        <v>-6.57</v>
      </c>
      <c r="J2352">
        <v>-1.61</v>
      </c>
      <c r="L2352">
        <v>0.05</v>
      </c>
      <c r="M2352">
        <v>37.24</v>
      </c>
      <c r="N2352">
        <v>0.05</v>
      </c>
      <c r="O2352">
        <v>89.01</v>
      </c>
    </row>
    <row r="2353" spans="1:15">
      <c r="A2353" t="str">
        <f>"300916"</f>
        <v>300916</v>
      </c>
      <c r="B2353" t="s">
        <v>2391</v>
      </c>
      <c r="C2353">
        <v>2.63</v>
      </c>
      <c r="D2353">
        <v>25.41</v>
      </c>
      <c r="E2353" t="s">
        <v>16</v>
      </c>
      <c r="F2353" t="s">
        <v>16</v>
      </c>
      <c r="H2353">
        <v>-0.03</v>
      </c>
      <c r="I2353">
        <v>-9.93</v>
      </c>
      <c r="J2353">
        <v>-1.09</v>
      </c>
      <c r="L2353">
        <v>-1.05</v>
      </c>
      <c r="M2353">
        <v>19.11</v>
      </c>
      <c r="N2353">
        <v>0.01</v>
      </c>
      <c r="O2353">
        <v>0.12</v>
      </c>
    </row>
    <row r="2354" spans="1:15">
      <c r="A2354" t="str">
        <f>"300917"</f>
        <v>300917</v>
      </c>
      <c r="B2354" t="s">
        <v>2392</v>
      </c>
      <c r="C2354">
        <v>-0.27</v>
      </c>
      <c r="D2354">
        <v>25.53</v>
      </c>
      <c r="E2354" t="s">
        <v>16</v>
      </c>
      <c r="F2354" t="s">
        <v>16</v>
      </c>
      <c r="H2354">
        <v>0.12</v>
      </c>
      <c r="I2354">
        <v>-9.24</v>
      </c>
      <c r="J2354">
        <v>-1.24</v>
      </c>
      <c r="L2354">
        <v>-0.39</v>
      </c>
      <c r="M2354">
        <v>79.31</v>
      </c>
      <c r="N2354">
        <v>0.04</v>
      </c>
      <c r="O2354">
        <v>2.83</v>
      </c>
    </row>
    <row r="2355" spans="1:15">
      <c r="A2355" t="str">
        <f>"300918"</f>
        <v>300918</v>
      </c>
      <c r="B2355" t="s">
        <v>2393</v>
      </c>
      <c r="C2355">
        <v>-1.94</v>
      </c>
      <c r="D2355">
        <v>12.16</v>
      </c>
      <c r="E2355" t="s">
        <v>16</v>
      </c>
      <c r="F2355" t="s">
        <v>16</v>
      </c>
      <c r="H2355">
        <v>0</v>
      </c>
      <c r="I2355">
        <v>-8.78</v>
      </c>
      <c r="J2355">
        <v>-2.72</v>
      </c>
      <c r="L2355">
        <v>-0.81</v>
      </c>
      <c r="M2355">
        <v>6.52</v>
      </c>
      <c r="N2355">
        <v>0</v>
      </c>
      <c r="O2355">
        <v>0.26</v>
      </c>
    </row>
    <row r="2356" spans="1:15">
      <c r="A2356" t="str">
        <f>"300919"</f>
        <v>300919</v>
      </c>
      <c r="B2356" t="s">
        <v>2394</v>
      </c>
      <c r="C2356">
        <v>-1.28</v>
      </c>
      <c r="D2356">
        <v>48.64</v>
      </c>
      <c r="E2356" t="s">
        <v>16</v>
      </c>
      <c r="F2356" t="s">
        <v>16</v>
      </c>
      <c r="H2356">
        <v>-0.28</v>
      </c>
      <c r="I2356">
        <v>-0.67</v>
      </c>
      <c r="J2356">
        <v>-1.98</v>
      </c>
      <c r="L2356">
        <v>-0.59</v>
      </c>
      <c r="M2356">
        <v>146.45</v>
      </c>
      <c r="N2356">
        <v>0.01</v>
      </c>
      <c r="O2356">
        <v>0.57</v>
      </c>
    </row>
    <row r="2357" spans="1:15">
      <c r="A2357" t="str">
        <f>"300920"</f>
        <v>300920</v>
      </c>
      <c r="B2357" t="s">
        <v>2395</v>
      </c>
      <c r="C2357">
        <v>2.27</v>
      </c>
      <c r="D2357">
        <v>39.12</v>
      </c>
      <c r="E2357" t="s">
        <v>16</v>
      </c>
      <c r="F2357" t="s">
        <v>16</v>
      </c>
      <c r="H2357">
        <v>0.2</v>
      </c>
      <c r="I2357">
        <v>7.15</v>
      </c>
      <c r="J2357">
        <v>-3</v>
      </c>
      <c r="L2357">
        <v>-0.63</v>
      </c>
      <c r="M2357">
        <v>7.22</v>
      </c>
      <c r="N2357">
        <v>0</v>
      </c>
      <c r="O2357">
        <v>0.16</v>
      </c>
    </row>
    <row r="2358" spans="1:15">
      <c r="A2358" t="str">
        <f>"300921"</f>
        <v>300921</v>
      </c>
      <c r="B2358" t="s">
        <v>2396</v>
      </c>
      <c r="C2358">
        <v>3.68</v>
      </c>
      <c r="D2358">
        <v>22.26</v>
      </c>
      <c r="E2358" t="s">
        <v>16</v>
      </c>
      <c r="F2358" t="s">
        <v>16</v>
      </c>
      <c r="H2358">
        <v>-0.08</v>
      </c>
      <c r="I2358">
        <v>21.77</v>
      </c>
      <c r="J2358">
        <v>-1.94</v>
      </c>
      <c r="L2358">
        <v>1.3</v>
      </c>
      <c r="M2358">
        <v>325.95</v>
      </c>
      <c r="N2358">
        <v>0.11</v>
      </c>
      <c r="O2358">
        <v>1.11</v>
      </c>
    </row>
    <row r="2359" spans="1:15">
      <c r="A2359" t="str">
        <f>"300922"</f>
        <v>300922</v>
      </c>
      <c r="B2359" t="s">
        <v>2397</v>
      </c>
      <c r="C2359">
        <v>-4.58</v>
      </c>
      <c r="D2359">
        <v>21.03</v>
      </c>
      <c r="E2359" t="s">
        <v>16</v>
      </c>
      <c r="F2359" t="s">
        <v>16</v>
      </c>
      <c r="H2359">
        <v>-0.18</v>
      </c>
      <c r="I2359">
        <v>-13.14</v>
      </c>
      <c r="J2359">
        <v>-4.67</v>
      </c>
      <c r="L2359">
        <v>-0.45</v>
      </c>
      <c r="M2359">
        <v>32.03</v>
      </c>
      <c r="N2359">
        <v>0.01</v>
      </c>
      <c r="O2359">
        <v>5.03</v>
      </c>
    </row>
    <row r="2360" spans="1:15">
      <c r="A2360" t="str">
        <f>"300923"</f>
        <v>300923</v>
      </c>
      <c r="B2360" t="s">
        <v>2398</v>
      </c>
      <c r="C2360">
        <v>-2.8</v>
      </c>
      <c r="D2360">
        <v>23.24</v>
      </c>
      <c r="E2360" t="s">
        <v>16</v>
      </c>
      <c r="F2360" t="s">
        <v>16</v>
      </c>
      <c r="H2360">
        <v>1.26</v>
      </c>
      <c r="I2360">
        <v>3.84</v>
      </c>
      <c r="J2360">
        <v>-3.53</v>
      </c>
      <c r="L2360">
        <v>-0.13</v>
      </c>
      <c r="M2360">
        <v>68.54</v>
      </c>
      <c r="N2360">
        <v>0.07</v>
      </c>
      <c r="O2360">
        <v>2.63</v>
      </c>
    </row>
    <row r="2361" spans="1:15">
      <c r="A2361" t="str">
        <f>"300925"</f>
        <v>300925</v>
      </c>
      <c r="B2361" t="s">
        <v>2399</v>
      </c>
      <c r="C2361">
        <v>-1.78</v>
      </c>
      <c r="D2361">
        <v>17.64</v>
      </c>
      <c r="E2361" t="s">
        <v>16</v>
      </c>
      <c r="F2361" t="s">
        <v>16</v>
      </c>
      <c r="H2361">
        <v>-0.22</v>
      </c>
      <c r="I2361">
        <v>3.28</v>
      </c>
      <c r="J2361">
        <v>-2.33</v>
      </c>
      <c r="L2361">
        <v>-0.72</v>
      </c>
      <c r="M2361">
        <v>90.58</v>
      </c>
      <c r="N2361">
        <v>0.02</v>
      </c>
      <c r="O2361">
        <v>0.35</v>
      </c>
    </row>
    <row r="2362" spans="1:15">
      <c r="A2362" t="str">
        <f>"300926"</f>
        <v>300926</v>
      </c>
      <c r="B2362" t="s">
        <v>2400</v>
      </c>
      <c r="C2362">
        <v>-3.04</v>
      </c>
      <c r="D2362">
        <v>19.43</v>
      </c>
      <c r="E2362" t="s">
        <v>16</v>
      </c>
      <c r="F2362" t="s">
        <v>16</v>
      </c>
      <c r="H2362">
        <v>0</v>
      </c>
      <c r="I2362">
        <v>-2.36</v>
      </c>
      <c r="J2362">
        <v>-2.9</v>
      </c>
      <c r="L2362">
        <v>-0.15</v>
      </c>
      <c r="M2362">
        <v>20.81</v>
      </c>
      <c r="N2362">
        <v>0.01</v>
      </c>
      <c r="O2362">
        <v>0.54</v>
      </c>
    </row>
    <row r="2363" spans="1:15">
      <c r="A2363" t="str">
        <f>"300927"</f>
        <v>300927</v>
      </c>
      <c r="B2363" t="s">
        <v>2401</v>
      </c>
      <c r="C2363">
        <v>-4.14</v>
      </c>
      <c r="D2363">
        <v>22.95</v>
      </c>
      <c r="E2363" t="s">
        <v>16</v>
      </c>
      <c r="F2363" t="s">
        <v>16</v>
      </c>
      <c r="H2363">
        <v>-0.25</v>
      </c>
      <c r="I2363">
        <v>-2.55</v>
      </c>
      <c r="J2363">
        <v>-4.37</v>
      </c>
      <c r="L2363">
        <v>0.25</v>
      </c>
      <c r="M2363">
        <v>51.6</v>
      </c>
      <c r="N2363">
        <v>0.04</v>
      </c>
      <c r="O2363">
        <v>0.57</v>
      </c>
    </row>
    <row r="2364" spans="1:15">
      <c r="A2364" t="str">
        <f>"300928"</f>
        <v>300928</v>
      </c>
      <c r="B2364" t="s">
        <v>2402</v>
      </c>
      <c r="C2364">
        <v>2.92</v>
      </c>
      <c r="D2364">
        <v>31.01</v>
      </c>
      <c r="E2364" t="s">
        <v>16</v>
      </c>
      <c r="F2364" t="s">
        <v>16</v>
      </c>
      <c r="H2364">
        <v>0.23</v>
      </c>
      <c r="I2364">
        <v>-3.28</v>
      </c>
      <c r="J2364">
        <v>-0.13</v>
      </c>
      <c r="L2364">
        <v>-0.56</v>
      </c>
      <c r="M2364">
        <v>14.08</v>
      </c>
      <c r="N2364">
        <v>0.01</v>
      </c>
      <c r="O2364">
        <v>0.96</v>
      </c>
    </row>
    <row r="2365" spans="1:15">
      <c r="A2365" t="str">
        <f>"300929"</f>
        <v>300929</v>
      </c>
      <c r="B2365" t="s">
        <v>2403</v>
      </c>
      <c r="C2365">
        <v>0.19</v>
      </c>
      <c r="D2365">
        <v>10.62</v>
      </c>
      <c r="E2365" t="s">
        <v>16</v>
      </c>
      <c r="F2365" t="s">
        <v>16</v>
      </c>
      <c r="H2365">
        <v>-0.08</v>
      </c>
      <c r="I2365">
        <v>-8.53</v>
      </c>
      <c r="J2365">
        <v>-1.21</v>
      </c>
      <c r="L2365">
        <v>0</v>
      </c>
      <c r="M2365">
        <v>16.54</v>
      </c>
      <c r="N2365">
        <v>0.02</v>
      </c>
      <c r="O2365">
        <v>0.75</v>
      </c>
    </row>
    <row r="2366" spans="1:15">
      <c r="A2366" t="str">
        <f>"300930"</f>
        <v>300930</v>
      </c>
      <c r="B2366" t="s">
        <v>2404</v>
      </c>
      <c r="C2366">
        <v>6.15</v>
      </c>
      <c r="D2366">
        <v>35.4</v>
      </c>
      <c r="E2366" t="s">
        <v>16</v>
      </c>
      <c r="F2366" t="s">
        <v>16</v>
      </c>
      <c r="H2366">
        <v>0.14</v>
      </c>
      <c r="I2366">
        <v>-4.27</v>
      </c>
      <c r="J2366">
        <v>-1.67</v>
      </c>
      <c r="L2366">
        <v>-1.02</v>
      </c>
      <c r="M2366">
        <v>18.82</v>
      </c>
      <c r="N2366">
        <v>0.02</v>
      </c>
      <c r="O2366">
        <v>0.13</v>
      </c>
    </row>
    <row r="2367" spans="1:15">
      <c r="A2367" t="str">
        <f>"300931"</f>
        <v>300931</v>
      </c>
      <c r="B2367" t="s">
        <v>2405</v>
      </c>
      <c r="C2367">
        <v>-3.1</v>
      </c>
      <c r="D2367">
        <v>16.25</v>
      </c>
      <c r="E2367" t="s">
        <v>16</v>
      </c>
      <c r="F2367" t="s">
        <v>16</v>
      </c>
      <c r="H2367">
        <v>0</v>
      </c>
      <c r="I2367">
        <v>7.97</v>
      </c>
      <c r="J2367">
        <v>-2.64</v>
      </c>
      <c r="K2367" t="s">
        <v>26</v>
      </c>
      <c r="L2367">
        <v>-0.48</v>
      </c>
      <c r="M2367">
        <v>77.94</v>
      </c>
      <c r="N2367">
        <v>0.03</v>
      </c>
      <c r="O2367">
        <v>0.14</v>
      </c>
    </row>
    <row r="2368" spans="1:15">
      <c r="A2368" t="str">
        <f>"300932"</f>
        <v>300932</v>
      </c>
      <c r="B2368" t="s">
        <v>2406</v>
      </c>
      <c r="C2368">
        <v>-0.65</v>
      </c>
      <c r="D2368">
        <v>9.13</v>
      </c>
      <c r="E2368" t="s">
        <v>16</v>
      </c>
      <c r="F2368" t="s">
        <v>16</v>
      </c>
      <c r="H2368">
        <v>0</v>
      </c>
      <c r="I2368">
        <v>-5.39</v>
      </c>
      <c r="J2368">
        <v>-1.08</v>
      </c>
      <c r="L2368">
        <v>-0.11</v>
      </c>
      <c r="M2368">
        <v>13.77</v>
      </c>
      <c r="N2368">
        <v>0.01</v>
      </c>
      <c r="O2368">
        <v>0.16</v>
      </c>
    </row>
    <row r="2369" spans="1:15">
      <c r="A2369" t="str">
        <f>"300933"</f>
        <v>300933</v>
      </c>
      <c r="B2369" t="s">
        <v>2407</v>
      </c>
      <c r="C2369">
        <v>-1.51</v>
      </c>
      <c r="D2369">
        <v>6.53</v>
      </c>
      <c r="E2369" t="s">
        <v>16</v>
      </c>
      <c r="F2369" t="s">
        <v>16</v>
      </c>
      <c r="H2369">
        <v>0</v>
      </c>
      <c r="I2369">
        <v>-6.85</v>
      </c>
      <c r="J2369">
        <v>-1.36</v>
      </c>
      <c r="L2369">
        <v>-0.45</v>
      </c>
      <c r="M2369">
        <v>68.9</v>
      </c>
      <c r="N2369">
        <v>0.03</v>
      </c>
      <c r="O2369">
        <v>4.79</v>
      </c>
    </row>
    <row r="2370" spans="1:15">
      <c r="A2370" t="str">
        <f>"300935"</f>
        <v>300935</v>
      </c>
      <c r="B2370" t="s">
        <v>2408</v>
      </c>
      <c r="C2370">
        <v>1.8</v>
      </c>
      <c r="D2370">
        <v>32.77</v>
      </c>
      <c r="E2370" t="s">
        <v>16</v>
      </c>
      <c r="F2370" t="s">
        <v>16</v>
      </c>
      <c r="H2370">
        <v>0.18</v>
      </c>
      <c r="I2370">
        <v>-4.21</v>
      </c>
      <c r="J2370">
        <v>-4.32</v>
      </c>
      <c r="L2370">
        <v>-1.12</v>
      </c>
      <c r="M2370">
        <v>12.1</v>
      </c>
      <c r="N2370">
        <v>0.01</v>
      </c>
      <c r="O2370">
        <v>0.35</v>
      </c>
    </row>
    <row r="2371" spans="1:15">
      <c r="A2371" t="str">
        <f>"300936"</f>
        <v>300936</v>
      </c>
      <c r="B2371" t="s">
        <v>2409</v>
      </c>
      <c r="C2371">
        <v>0</v>
      </c>
      <c r="D2371">
        <v>124.1</v>
      </c>
      <c r="E2371" t="s">
        <v>16</v>
      </c>
      <c r="F2371" t="s">
        <v>16</v>
      </c>
      <c r="H2371">
        <v>0.25</v>
      </c>
      <c r="I2371">
        <v>9.92</v>
      </c>
      <c r="J2371">
        <v>-1.51</v>
      </c>
      <c r="L2371">
        <v>-2.33</v>
      </c>
      <c r="M2371">
        <v>293.33</v>
      </c>
      <c r="N2371">
        <v>0.08</v>
      </c>
      <c r="O2371">
        <v>0.54</v>
      </c>
    </row>
    <row r="2372" spans="1:15">
      <c r="A2372" t="str">
        <f>"300937"</f>
        <v>300937</v>
      </c>
      <c r="B2372" t="s">
        <v>2410</v>
      </c>
      <c r="C2372">
        <v>-0.91</v>
      </c>
      <c r="D2372">
        <v>20.61</v>
      </c>
      <c r="E2372" t="s">
        <v>16</v>
      </c>
      <c r="F2372" t="s">
        <v>16</v>
      </c>
      <c r="H2372">
        <v>-0.23</v>
      </c>
      <c r="I2372">
        <v>-6.99</v>
      </c>
      <c r="J2372">
        <v>-1.76</v>
      </c>
      <c r="L2372">
        <v>0</v>
      </c>
      <c r="M2372">
        <v>9.57</v>
      </c>
      <c r="N2372">
        <v>0.01</v>
      </c>
      <c r="O2372">
        <v>0.3</v>
      </c>
    </row>
    <row r="2373" spans="1:15">
      <c r="A2373" t="str">
        <f>"300938"</f>
        <v>300938</v>
      </c>
      <c r="B2373" t="s">
        <v>2411</v>
      </c>
      <c r="C2373">
        <v>1.98</v>
      </c>
      <c r="D2373">
        <v>45.4</v>
      </c>
      <c r="E2373" t="s">
        <v>16</v>
      </c>
      <c r="F2373" t="s">
        <v>16</v>
      </c>
      <c r="H2373">
        <v>0.02</v>
      </c>
      <c r="I2373">
        <v>21.65</v>
      </c>
      <c r="J2373">
        <v>-4.1</v>
      </c>
      <c r="L2373">
        <v>-0.76</v>
      </c>
      <c r="M2373">
        <v>260.22</v>
      </c>
      <c r="N2373">
        <v>0.03</v>
      </c>
      <c r="O2373">
        <v>2.17</v>
      </c>
    </row>
    <row r="2374" spans="1:15">
      <c r="A2374" t="str">
        <f>"300939"</f>
        <v>300939</v>
      </c>
      <c r="B2374" t="s">
        <v>2412</v>
      </c>
      <c r="C2374">
        <v>-2.4</v>
      </c>
      <c r="D2374">
        <v>69.82</v>
      </c>
      <c r="E2374" t="s">
        <v>16</v>
      </c>
      <c r="F2374" t="s">
        <v>16</v>
      </c>
      <c r="H2374">
        <v>-0.1</v>
      </c>
      <c r="I2374">
        <v>9.42</v>
      </c>
      <c r="J2374">
        <v>-4.36</v>
      </c>
      <c r="L2374">
        <v>-2.7</v>
      </c>
      <c r="M2374">
        <v>645.98</v>
      </c>
      <c r="N2374">
        <v>0.14</v>
      </c>
      <c r="O2374">
        <v>1.03</v>
      </c>
    </row>
    <row r="2375" spans="1:15">
      <c r="A2375" t="str">
        <f>"300940"</f>
        <v>300940</v>
      </c>
      <c r="B2375" t="s">
        <v>2413</v>
      </c>
      <c r="C2375">
        <v>-3.55</v>
      </c>
      <c r="D2375">
        <v>16.05</v>
      </c>
      <c r="E2375" t="s">
        <v>16</v>
      </c>
      <c r="F2375" t="s">
        <v>16</v>
      </c>
      <c r="H2375">
        <v>0.06</v>
      </c>
      <c r="I2375">
        <v>-5.87</v>
      </c>
      <c r="J2375">
        <v>-2.9</v>
      </c>
      <c r="L2375">
        <v>-0.96</v>
      </c>
      <c r="M2375">
        <v>25.38</v>
      </c>
      <c r="N2375">
        <v>0.01</v>
      </c>
      <c r="O2375">
        <v>0.97</v>
      </c>
    </row>
    <row r="2376" spans="1:15">
      <c r="A2376" t="str">
        <f>"300941"</f>
        <v>300941</v>
      </c>
      <c r="B2376" t="s">
        <v>2414</v>
      </c>
      <c r="C2376">
        <v>-0.86</v>
      </c>
      <c r="D2376">
        <v>14.92</v>
      </c>
      <c r="E2376" t="s">
        <v>16</v>
      </c>
      <c r="F2376" t="s">
        <v>16</v>
      </c>
      <c r="H2376">
        <v>0.13</v>
      </c>
      <c r="I2376">
        <v>-3.74</v>
      </c>
      <c r="J2376">
        <v>-2.16</v>
      </c>
      <c r="L2376">
        <v>1</v>
      </c>
      <c r="M2376">
        <v>29.94</v>
      </c>
      <c r="N2376">
        <v>0.02</v>
      </c>
      <c r="O2376">
        <v>1.15</v>
      </c>
    </row>
    <row r="2377" spans="1:15">
      <c r="A2377" t="str">
        <f>"300942"</f>
        <v>300942</v>
      </c>
      <c r="B2377" t="s">
        <v>2415</v>
      </c>
      <c r="C2377">
        <v>0.49</v>
      </c>
      <c r="D2377">
        <v>6.12</v>
      </c>
      <c r="E2377" t="s">
        <v>16</v>
      </c>
      <c r="F2377" t="s">
        <v>16</v>
      </c>
      <c r="H2377">
        <v>-0.32</v>
      </c>
      <c r="I2377">
        <v>-4.82</v>
      </c>
      <c r="J2377">
        <v>-0.97</v>
      </c>
      <c r="L2377">
        <v>0</v>
      </c>
      <c r="M2377">
        <v>7.92</v>
      </c>
      <c r="N2377">
        <v>0.01</v>
      </c>
      <c r="O2377">
        <v>0.27</v>
      </c>
    </row>
    <row r="2378" spans="1:15">
      <c r="A2378" t="str">
        <f>"300943"</f>
        <v>300943</v>
      </c>
      <c r="B2378" t="s">
        <v>2416</v>
      </c>
      <c r="C2378">
        <v>20</v>
      </c>
      <c r="D2378">
        <v>41.4</v>
      </c>
      <c r="E2378" t="s">
        <v>16</v>
      </c>
      <c r="F2378" t="s">
        <v>16</v>
      </c>
      <c r="H2378">
        <v>0.02</v>
      </c>
      <c r="I2378">
        <v>5.67</v>
      </c>
      <c r="J2378">
        <v>0</v>
      </c>
      <c r="L2378">
        <v>-0.81</v>
      </c>
      <c r="M2378">
        <v>35.93</v>
      </c>
      <c r="N2378">
        <v>0.01</v>
      </c>
      <c r="O2378">
        <v>0.31</v>
      </c>
    </row>
    <row r="2379" spans="1:15">
      <c r="A2379" t="str">
        <f>"300945"</f>
        <v>300945</v>
      </c>
      <c r="B2379" t="s">
        <v>2417</v>
      </c>
      <c r="C2379">
        <v>-0.92</v>
      </c>
      <c r="D2379">
        <v>11.85</v>
      </c>
      <c r="E2379" t="s">
        <v>16</v>
      </c>
      <c r="F2379" t="s">
        <v>16</v>
      </c>
      <c r="H2379">
        <v>-0.24</v>
      </c>
      <c r="I2379">
        <v>-3.19</v>
      </c>
      <c r="J2379">
        <v>-2.71</v>
      </c>
      <c r="L2379">
        <v>-0.92</v>
      </c>
      <c r="M2379">
        <v>36.5</v>
      </c>
      <c r="N2379">
        <v>0.02</v>
      </c>
      <c r="O2379">
        <v>0.61</v>
      </c>
    </row>
    <row r="2380" spans="1:15">
      <c r="A2380" t="str">
        <f>"300946"</f>
        <v>300946</v>
      </c>
      <c r="B2380" t="s">
        <v>2418</v>
      </c>
      <c r="C2380">
        <v>-0.55</v>
      </c>
      <c r="D2380">
        <v>46.65</v>
      </c>
      <c r="E2380" t="s">
        <v>16</v>
      </c>
      <c r="F2380" t="s">
        <v>16</v>
      </c>
      <c r="H2380">
        <v>0</v>
      </c>
      <c r="I2380">
        <v>-1.06</v>
      </c>
      <c r="J2380">
        <v>-1.75</v>
      </c>
      <c r="L2380">
        <v>1</v>
      </c>
      <c r="M2380">
        <v>10.42</v>
      </c>
      <c r="N2380">
        <v>0</v>
      </c>
      <c r="O2380">
        <v>1.83</v>
      </c>
    </row>
    <row r="2381" spans="1:15">
      <c r="A2381" t="str">
        <f>"300947"</f>
        <v>300947</v>
      </c>
      <c r="B2381" t="s">
        <v>2419</v>
      </c>
      <c r="C2381">
        <v>-0.66</v>
      </c>
      <c r="D2381">
        <v>13.52</v>
      </c>
      <c r="E2381" t="s">
        <v>16</v>
      </c>
      <c r="F2381" t="s">
        <v>16</v>
      </c>
      <c r="H2381">
        <v>-0.06</v>
      </c>
      <c r="I2381">
        <v>-5.26</v>
      </c>
      <c r="J2381">
        <v>-1.53</v>
      </c>
      <c r="L2381">
        <v>-1.25</v>
      </c>
      <c r="M2381">
        <v>12.1</v>
      </c>
      <c r="N2381">
        <v>0.01</v>
      </c>
      <c r="O2381">
        <v>3.91</v>
      </c>
    </row>
    <row r="2382" spans="1:15">
      <c r="A2382" t="str">
        <f>"300948"</f>
        <v>300948</v>
      </c>
      <c r="B2382" t="s">
        <v>2420</v>
      </c>
      <c r="C2382">
        <v>-1.51</v>
      </c>
      <c r="D2382">
        <v>25.49</v>
      </c>
      <c r="E2382" t="s">
        <v>16</v>
      </c>
      <c r="F2382" t="s">
        <v>16</v>
      </c>
      <c r="H2382">
        <v>0</v>
      </c>
      <c r="I2382">
        <v>-14.26</v>
      </c>
      <c r="J2382">
        <v>-3.26</v>
      </c>
      <c r="L2382">
        <v>-1.47</v>
      </c>
      <c r="M2382">
        <v>86.19</v>
      </c>
      <c r="N2382">
        <v>0.03</v>
      </c>
      <c r="O2382">
        <v>1.08</v>
      </c>
    </row>
    <row r="2383" spans="1:15">
      <c r="A2383" t="str">
        <f>"300949"</f>
        <v>300949</v>
      </c>
      <c r="B2383" t="s">
        <v>2421</v>
      </c>
      <c r="C2383">
        <v>-0.23</v>
      </c>
      <c r="D2383">
        <v>21.93</v>
      </c>
      <c r="E2383" t="s">
        <v>16</v>
      </c>
      <c r="F2383" t="s">
        <v>16</v>
      </c>
      <c r="H2383">
        <v>-0.13</v>
      </c>
      <c r="I2383">
        <v>-7.47</v>
      </c>
      <c r="J2383">
        <v>-1.22</v>
      </c>
      <c r="L2383">
        <v>-1.14</v>
      </c>
      <c r="M2383">
        <v>19.97</v>
      </c>
      <c r="N2383">
        <v>0.04</v>
      </c>
      <c r="O2383">
        <v>1.28</v>
      </c>
    </row>
    <row r="2384" spans="1:15">
      <c r="A2384" t="str">
        <f>"300950"</f>
        <v>300950</v>
      </c>
      <c r="B2384" t="s">
        <v>2422</v>
      </c>
      <c r="C2384">
        <v>0.63</v>
      </c>
      <c r="D2384">
        <v>17.52</v>
      </c>
      <c r="E2384" t="s">
        <v>16</v>
      </c>
      <c r="F2384" t="s">
        <v>16</v>
      </c>
      <c r="H2384">
        <v>0.06</v>
      </c>
      <c r="I2384">
        <v>-2.45</v>
      </c>
      <c r="J2384">
        <v>-0.68</v>
      </c>
      <c r="L2384">
        <v>0</v>
      </c>
      <c r="M2384">
        <v>3.83</v>
      </c>
      <c r="N2384">
        <v>0</v>
      </c>
      <c r="O2384">
        <v>0.44</v>
      </c>
    </row>
    <row r="2385" spans="1:15">
      <c r="A2385" t="str">
        <f>"300951"</f>
        <v>300951</v>
      </c>
      <c r="B2385" t="s">
        <v>2423</v>
      </c>
      <c r="C2385">
        <v>9.88</v>
      </c>
      <c r="D2385">
        <v>49.5</v>
      </c>
      <c r="E2385" t="s">
        <v>16</v>
      </c>
      <c r="F2385" t="s">
        <v>16</v>
      </c>
      <c r="H2385">
        <v>-0.25</v>
      </c>
      <c r="I2385">
        <v>17.44</v>
      </c>
      <c r="J2385">
        <v>-5.26</v>
      </c>
      <c r="L2385">
        <v>0</v>
      </c>
      <c r="M2385">
        <v>76.13</v>
      </c>
      <c r="N2385">
        <v>0.03</v>
      </c>
      <c r="O2385">
        <v>1.17</v>
      </c>
    </row>
    <row r="2386" spans="1:15">
      <c r="A2386" t="str">
        <f>"300952"</f>
        <v>300952</v>
      </c>
      <c r="B2386" t="s">
        <v>2424</v>
      </c>
      <c r="C2386">
        <v>-2.78</v>
      </c>
      <c r="D2386">
        <v>19.2</v>
      </c>
      <c r="E2386" t="s">
        <v>16</v>
      </c>
      <c r="F2386" t="s">
        <v>16</v>
      </c>
      <c r="H2386">
        <v>0.1</v>
      </c>
      <c r="I2386">
        <v>-14.48</v>
      </c>
      <c r="J2386">
        <v>-3.57</v>
      </c>
      <c r="L2386">
        <v>0.15</v>
      </c>
      <c r="M2386">
        <v>48.7</v>
      </c>
      <c r="N2386">
        <v>0.02</v>
      </c>
      <c r="O2386">
        <v>1.29</v>
      </c>
    </row>
    <row r="2387" spans="1:15">
      <c r="A2387" t="str">
        <f>"300953"</f>
        <v>300953</v>
      </c>
      <c r="B2387" t="s">
        <v>2425</v>
      </c>
      <c r="C2387">
        <v>1.14</v>
      </c>
      <c r="D2387">
        <v>145</v>
      </c>
      <c r="E2387" t="s">
        <v>16</v>
      </c>
      <c r="F2387" t="s">
        <v>16</v>
      </c>
      <c r="H2387">
        <v>0.05</v>
      </c>
      <c r="I2387">
        <v>-0.38</v>
      </c>
      <c r="J2387">
        <v>-1.06</v>
      </c>
      <c r="L2387">
        <v>-0.3</v>
      </c>
      <c r="M2387">
        <v>100.05</v>
      </c>
      <c r="N2387">
        <v>0.01</v>
      </c>
      <c r="O2387">
        <v>0.59</v>
      </c>
    </row>
    <row r="2388" spans="1:15">
      <c r="A2388" t="str">
        <f>"300955"</f>
        <v>300955</v>
      </c>
      <c r="B2388" t="s">
        <v>2426</v>
      </c>
      <c r="C2388">
        <v>-4.07</v>
      </c>
      <c r="D2388">
        <v>40.04</v>
      </c>
      <c r="E2388" t="s">
        <v>16</v>
      </c>
      <c r="F2388" t="s">
        <v>16</v>
      </c>
      <c r="H2388">
        <v>0.35</v>
      </c>
      <c r="I2388">
        <v>-0.35</v>
      </c>
      <c r="J2388">
        <v>-5.1</v>
      </c>
      <c r="L2388">
        <v>-0.1</v>
      </c>
      <c r="M2388">
        <v>11.26</v>
      </c>
      <c r="N2388">
        <v>0.01</v>
      </c>
      <c r="O2388">
        <v>0.45</v>
      </c>
    </row>
    <row r="2389" spans="1:15">
      <c r="A2389" t="str">
        <f>"300956"</f>
        <v>300956</v>
      </c>
      <c r="B2389" t="s">
        <v>2427</v>
      </c>
      <c r="C2389">
        <v>2.2</v>
      </c>
      <c r="D2389">
        <v>12.57</v>
      </c>
      <c r="E2389" t="s">
        <v>16</v>
      </c>
      <c r="F2389" t="s">
        <v>16</v>
      </c>
      <c r="H2389">
        <v>0.08</v>
      </c>
      <c r="I2389">
        <v>-20.14</v>
      </c>
      <c r="J2389">
        <v>-0.95</v>
      </c>
      <c r="L2389">
        <v>-0.57</v>
      </c>
      <c r="M2389">
        <v>71.51</v>
      </c>
      <c r="N2389">
        <v>0.05</v>
      </c>
      <c r="O2389">
        <v>0.59</v>
      </c>
    </row>
    <row r="2390" spans="1:15">
      <c r="A2390" t="str">
        <f>"300957"</f>
        <v>300957</v>
      </c>
      <c r="B2390" t="s">
        <v>2428</v>
      </c>
      <c r="C2390">
        <v>-0.89</v>
      </c>
      <c r="D2390">
        <v>33.28</v>
      </c>
      <c r="E2390" t="s">
        <v>16</v>
      </c>
      <c r="F2390" t="s">
        <v>16</v>
      </c>
      <c r="H2390">
        <v>0.03</v>
      </c>
      <c r="I2390">
        <v>-2.66</v>
      </c>
      <c r="J2390">
        <v>-1.39</v>
      </c>
      <c r="L2390">
        <v>-0.6</v>
      </c>
      <c r="M2390">
        <v>72.43</v>
      </c>
      <c r="N2390">
        <v>0.01</v>
      </c>
      <c r="O2390">
        <v>1.58</v>
      </c>
    </row>
    <row r="2391" spans="1:15">
      <c r="A2391" t="str">
        <f>"300958"</f>
        <v>300958</v>
      </c>
      <c r="B2391" t="s">
        <v>2429</v>
      </c>
      <c r="C2391">
        <v>-1.98</v>
      </c>
      <c r="D2391">
        <v>11.37</v>
      </c>
      <c r="E2391" t="s">
        <v>16</v>
      </c>
      <c r="F2391" t="s">
        <v>16</v>
      </c>
      <c r="H2391">
        <v>0.8</v>
      </c>
      <c r="I2391">
        <v>-7.79</v>
      </c>
      <c r="J2391">
        <v>-1.81</v>
      </c>
      <c r="L2391">
        <v>-0.6</v>
      </c>
      <c r="M2391">
        <v>13.03</v>
      </c>
      <c r="N2391">
        <v>0.01</v>
      </c>
      <c r="O2391">
        <v>1.03</v>
      </c>
    </row>
    <row r="2392" spans="1:15">
      <c r="A2392" t="str">
        <f>"300959"</f>
        <v>300959</v>
      </c>
      <c r="B2392" t="s">
        <v>2430</v>
      </c>
      <c r="C2392">
        <v>1.88</v>
      </c>
      <c r="D2392">
        <v>159.8</v>
      </c>
      <c r="E2392" t="s">
        <v>16</v>
      </c>
      <c r="F2392" t="s">
        <v>16</v>
      </c>
      <c r="H2392">
        <v>0.38</v>
      </c>
      <c r="I2392">
        <v>-19.05</v>
      </c>
      <c r="J2392">
        <v>-3.59</v>
      </c>
      <c r="L2392">
        <v>-0.75</v>
      </c>
      <c r="M2392">
        <v>407.88</v>
      </c>
      <c r="N2392">
        <v>0.07</v>
      </c>
      <c r="O2392">
        <v>0.87</v>
      </c>
    </row>
    <row r="2393" spans="1:15">
      <c r="A2393" t="str">
        <f>"300960"</f>
        <v>300960</v>
      </c>
      <c r="B2393" t="s">
        <v>2431</v>
      </c>
      <c r="C2393">
        <v>-1.3</v>
      </c>
      <c r="D2393">
        <v>16.65</v>
      </c>
      <c r="E2393" t="s">
        <v>16</v>
      </c>
      <c r="F2393" t="s">
        <v>16</v>
      </c>
      <c r="H2393">
        <v>-0.23</v>
      </c>
      <c r="I2393">
        <v>-6.62</v>
      </c>
      <c r="J2393">
        <v>-2.17</v>
      </c>
      <c r="L2393">
        <v>-0.47</v>
      </c>
      <c r="M2393">
        <v>11.08</v>
      </c>
      <c r="N2393">
        <v>0.02</v>
      </c>
      <c r="O2393">
        <v>0.24</v>
      </c>
    </row>
    <row r="2394" spans="1:15">
      <c r="A2394" t="str">
        <f>"300961"</f>
        <v>300961</v>
      </c>
      <c r="B2394" t="s">
        <v>2432</v>
      </c>
      <c r="C2394">
        <v>-1.55</v>
      </c>
      <c r="D2394">
        <v>10.83</v>
      </c>
      <c r="E2394" t="s">
        <v>16</v>
      </c>
      <c r="F2394" t="s">
        <v>16</v>
      </c>
      <c r="H2394">
        <v>-0.17</v>
      </c>
      <c r="I2394">
        <v>-6.4</v>
      </c>
      <c r="J2394">
        <v>-2.26</v>
      </c>
      <c r="L2394">
        <v>-0.09</v>
      </c>
      <c r="M2394">
        <v>45.5</v>
      </c>
      <c r="N2394">
        <v>0.03</v>
      </c>
      <c r="O2394">
        <v>1.4</v>
      </c>
    </row>
    <row r="2395" spans="1:15">
      <c r="A2395" t="str">
        <f>"300962"</f>
        <v>300962</v>
      </c>
      <c r="B2395" t="s">
        <v>2433</v>
      </c>
      <c r="C2395">
        <v>-2.28</v>
      </c>
      <c r="D2395">
        <v>12.86</v>
      </c>
      <c r="E2395" t="s">
        <v>16</v>
      </c>
      <c r="F2395" t="s">
        <v>16</v>
      </c>
      <c r="H2395">
        <v>0</v>
      </c>
      <c r="I2395">
        <v>-2.21</v>
      </c>
      <c r="J2395">
        <v>-1.91</v>
      </c>
      <c r="L2395">
        <v>-1.29</v>
      </c>
      <c r="M2395">
        <v>41.31</v>
      </c>
      <c r="N2395">
        <v>0.03</v>
      </c>
      <c r="O2395">
        <v>4.82</v>
      </c>
    </row>
    <row r="2396" spans="1:15">
      <c r="A2396" t="str">
        <f>"300963"</f>
        <v>300963</v>
      </c>
      <c r="B2396" t="s">
        <v>2434</v>
      </c>
      <c r="C2396">
        <v>0.14</v>
      </c>
      <c r="D2396">
        <v>14.24</v>
      </c>
      <c r="E2396" t="s">
        <v>16</v>
      </c>
      <c r="F2396" t="s">
        <v>16</v>
      </c>
      <c r="H2396">
        <v>0.07</v>
      </c>
      <c r="I2396">
        <v>-1.11</v>
      </c>
      <c r="J2396">
        <v>-1.59</v>
      </c>
      <c r="L2396">
        <v>0</v>
      </c>
      <c r="M2396">
        <v>25.31</v>
      </c>
      <c r="N2396">
        <v>0.01</v>
      </c>
      <c r="O2396">
        <v>0.15</v>
      </c>
    </row>
    <row r="2397" spans="1:15">
      <c r="A2397" t="str">
        <f>"300964"</f>
        <v>300964</v>
      </c>
      <c r="B2397" t="s">
        <v>2435</v>
      </c>
      <c r="C2397">
        <v>1.17</v>
      </c>
      <c r="D2397">
        <v>115.25</v>
      </c>
      <c r="E2397" t="s">
        <v>16</v>
      </c>
      <c r="F2397" t="s">
        <v>16</v>
      </c>
      <c r="H2397">
        <v>0.08</v>
      </c>
      <c r="I2397">
        <v>5.01</v>
      </c>
      <c r="J2397">
        <v>-1.23</v>
      </c>
      <c r="K2397" t="s">
        <v>26</v>
      </c>
      <c r="L2397">
        <v>-0.61</v>
      </c>
      <c r="M2397">
        <v>649.94</v>
      </c>
      <c r="N2397">
        <v>0.16</v>
      </c>
      <c r="O2397">
        <v>0.25</v>
      </c>
    </row>
    <row r="2398" spans="1:15">
      <c r="A2398" t="str">
        <f>"300965"</f>
        <v>300965</v>
      </c>
      <c r="B2398" t="s">
        <v>2436</v>
      </c>
      <c r="C2398">
        <v>0.43</v>
      </c>
      <c r="D2398">
        <v>46.76</v>
      </c>
      <c r="E2398" t="s">
        <v>16</v>
      </c>
      <c r="F2398" t="s">
        <v>16</v>
      </c>
      <c r="H2398">
        <v>0.11</v>
      </c>
      <c r="I2398">
        <v>-4.2</v>
      </c>
      <c r="J2398">
        <v>-1.91</v>
      </c>
      <c r="L2398">
        <v>-0.24</v>
      </c>
      <c r="M2398">
        <v>25.55</v>
      </c>
      <c r="N2398">
        <v>0.03</v>
      </c>
      <c r="O2398">
        <v>0.79</v>
      </c>
    </row>
    <row r="2399" spans="1:15">
      <c r="A2399" t="str">
        <f>"300966"</f>
        <v>300966</v>
      </c>
      <c r="B2399" t="s">
        <v>2437</v>
      </c>
      <c r="C2399">
        <v>1.6</v>
      </c>
      <c r="D2399">
        <v>26.69</v>
      </c>
      <c r="E2399" t="s">
        <v>16</v>
      </c>
      <c r="F2399" t="s">
        <v>16</v>
      </c>
      <c r="H2399">
        <v>-0.03</v>
      </c>
      <c r="I2399">
        <v>3.41</v>
      </c>
      <c r="J2399">
        <v>-1.98</v>
      </c>
      <c r="L2399">
        <v>-1.18</v>
      </c>
      <c r="M2399">
        <v>4.93</v>
      </c>
      <c r="N2399">
        <v>0</v>
      </c>
      <c r="O2399">
        <v>0.41</v>
      </c>
    </row>
    <row r="2400" spans="1:15">
      <c r="A2400" t="str">
        <f>"300967"</f>
        <v>300967</v>
      </c>
      <c r="B2400" t="s">
        <v>2438</v>
      </c>
      <c r="C2400">
        <v>-6.88</v>
      </c>
      <c r="D2400">
        <v>16.5</v>
      </c>
      <c r="E2400" t="s">
        <v>16</v>
      </c>
      <c r="F2400" t="s">
        <v>16</v>
      </c>
      <c r="H2400">
        <v>0.67</v>
      </c>
      <c r="I2400">
        <v>-13.48</v>
      </c>
      <c r="J2400">
        <v>-6.62</v>
      </c>
      <c r="L2400">
        <v>-0.85</v>
      </c>
      <c r="M2400">
        <v>99.45</v>
      </c>
      <c r="N2400">
        <v>0.07</v>
      </c>
      <c r="O2400">
        <v>0.57</v>
      </c>
    </row>
    <row r="2401" spans="1:15">
      <c r="A2401" t="str">
        <f>"300968"</f>
        <v>300968</v>
      </c>
      <c r="B2401" t="s">
        <v>2439</v>
      </c>
      <c r="C2401">
        <v>-2.44</v>
      </c>
      <c r="D2401">
        <v>10.8</v>
      </c>
      <c r="E2401" t="s">
        <v>16</v>
      </c>
      <c r="F2401" t="s">
        <v>16</v>
      </c>
      <c r="H2401">
        <v>0</v>
      </c>
      <c r="I2401">
        <v>-3.66</v>
      </c>
      <c r="J2401">
        <v>-2.44</v>
      </c>
      <c r="L2401">
        <v>-0.81</v>
      </c>
      <c r="M2401">
        <v>15.59</v>
      </c>
      <c r="N2401">
        <v>0.01</v>
      </c>
      <c r="O2401">
        <v>2.54</v>
      </c>
    </row>
    <row r="2402" spans="1:15">
      <c r="A2402" t="str">
        <f>"300969"</f>
        <v>300969</v>
      </c>
      <c r="B2402" t="s">
        <v>2440</v>
      </c>
      <c r="C2402">
        <v>1.71</v>
      </c>
      <c r="D2402">
        <v>101.2</v>
      </c>
      <c r="E2402" t="s">
        <v>16</v>
      </c>
      <c r="F2402" t="s">
        <v>16</v>
      </c>
      <c r="H2402">
        <v>0.18</v>
      </c>
      <c r="I2402">
        <v>-6.12</v>
      </c>
      <c r="J2402">
        <v>-3.6</v>
      </c>
      <c r="L2402">
        <v>0.5</v>
      </c>
      <c r="M2402">
        <v>84</v>
      </c>
      <c r="N2402">
        <v>0.02</v>
      </c>
      <c r="O2402">
        <v>1.25</v>
      </c>
    </row>
    <row r="2403" spans="1:15">
      <c r="A2403" t="str">
        <f>"300970"</f>
        <v>300970</v>
      </c>
      <c r="B2403" t="s">
        <v>2441</v>
      </c>
      <c r="C2403">
        <v>-0.38</v>
      </c>
      <c r="D2403">
        <v>20.75</v>
      </c>
      <c r="E2403" t="s">
        <v>16</v>
      </c>
      <c r="F2403" t="s">
        <v>16</v>
      </c>
      <c r="H2403">
        <v>0.05</v>
      </c>
      <c r="I2403">
        <v>-1.61</v>
      </c>
      <c r="J2403">
        <v>-1.24</v>
      </c>
      <c r="L2403">
        <v>-0.77</v>
      </c>
      <c r="M2403">
        <v>77.31</v>
      </c>
      <c r="N2403">
        <v>0.04</v>
      </c>
      <c r="O2403">
        <v>2.86</v>
      </c>
    </row>
    <row r="2404" spans="1:15">
      <c r="A2404" t="str">
        <f>"300971"</f>
        <v>300971</v>
      </c>
      <c r="B2404" t="s">
        <v>2442</v>
      </c>
      <c r="C2404">
        <v>-0.15</v>
      </c>
      <c r="D2404">
        <v>20.11</v>
      </c>
      <c r="E2404" t="s">
        <v>16</v>
      </c>
      <c r="F2404" t="s">
        <v>16</v>
      </c>
      <c r="H2404">
        <v>0.05</v>
      </c>
      <c r="I2404">
        <v>-3.18</v>
      </c>
      <c r="J2404">
        <v>-0.35</v>
      </c>
      <c r="L2404">
        <v>-1.09</v>
      </c>
      <c r="M2404">
        <v>50.6</v>
      </c>
      <c r="N2404">
        <v>0.03</v>
      </c>
      <c r="O2404">
        <v>2.49</v>
      </c>
    </row>
    <row r="2405" spans="1:15">
      <c r="A2405" t="str">
        <f>"300972"</f>
        <v>300972</v>
      </c>
      <c r="B2405" t="s">
        <v>2443</v>
      </c>
      <c r="C2405">
        <v>-1.85</v>
      </c>
      <c r="D2405">
        <v>175.05</v>
      </c>
      <c r="E2405" t="s">
        <v>16</v>
      </c>
      <c r="F2405" t="s">
        <v>16</v>
      </c>
      <c r="H2405">
        <v>0.01</v>
      </c>
      <c r="I2405">
        <v>-7.87</v>
      </c>
      <c r="J2405">
        <v>-3.29</v>
      </c>
      <c r="L2405">
        <v>-0.01</v>
      </c>
      <c r="M2405">
        <v>33.88</v>
      </c>
      <c r="N2405">
        <v>0</v>
      </c>
      <c r="O2405">
        <v>0.36</v>
      </c>
    </row>
    <row r="2406" spans="1:15">
      <c r="A2406" t="str">
        <f>"300973"</f>
        <v>300973</v>
      </c>
      <c r="B2406" t="s">
        <v>2444</v>
      </c>
      <c r="C2406">
        <v>-2.53</v>
      </c>
      <c r="D2406">
        <v>24.3</v>
      </c>
      <c r="E2406" t="s">
        <v>16</v>
      </c>
      <c r="F2406" t="s">
        <v>16</v>
      </c>
      <c r="H2406">
        <v>-0.64</v>
      </c>
      <c r="I2406">
        <v>-6.07</v>
      </c>
      <c r="J2406">
        <v>-2.96</v>
      </c>
      <c r="L2406">
        <v>0</v>
      </c>
      <c r="M2406">
        <v>81.52</v>
      </c>
      <c r="N2406">
        <v>0.04</v>
      </c>
      <c r="O2406">
        <v>3.67</v>
      </c>
    </row>
    <row r="2407" spans="1:15">
      <c r="A2407" t="str">
        <f>"300975"</f>
        <v>300975</v>
      </c>
      <c r="B2407" t="s">
        <v>2445</v>
      </c>
      <c r="C2407">
        <v>4.97</v>
      </c>
      <c r="D2407">
        <v>43.3</v>
      </c>
      <c r="E2407" t="s">
        <v>16</v>
      </c>
      <c r="F2407" t="s">
        <v>16</v>
      </c>
      <c r="H2407">
        <v>0.02</v>
      </c>
      <c r="I2407">
        <v>-0.48</v>
      </c>
      <c r="J2407">
        <v>-2.81</v>
      </c>
      <c r="L2407">
        <v>-1.45</v>
      </c>
      <c r="M2407">
        <v>2802.41</v>
      </c>
      <c r="N2407">
        <v>0.18</v>
      </c>
      <c r="O2407">
        <v>1.18</v>
      </c>
    </row>
    <row r="2408" spans="1:15">
      <c r="A2408" t="str">
        <f>"300976"</f>
        <v>300976</v>
      </c>
      <c r="B2408" t="s">
        <v>2446</v>
      </c>
      <c r="C2408">
        <v>5.77</v>
      </c>
      <c r="D2408">
        <v>94.2</v>
      </c>
      <c r="E2408" t="s">
        <v>16</v>
      </c>
      <c r="F2408" t="s">
        <v>16</v>
      </c>
      <c r="H2408">
        <v>0</v>
      </c>
      <c r="I2408">
        <v>53.67</v>
      </c>
      <c r="J2408">
        <v>-2.89</v>
      </c>
      <c r="L2408">
        <v>-1.3</v>
      </c>
      <c r="M2408">
        <v>1022.28</v>
      </c>
      <c r="N2408">
        <v>0.18</v>
      </c>
      <c r="O2408">
        <v>3.9</v>
      </c>
    </row>
    <row r="2409" spans="1:15">
      <c r="A2409" t="str">
        <f>"300977"</f>
        <v>300977</v>
      </c>
      <c r="B2409" t="s">
        <v>2447</v>
      </c>
      <c r="C2409">
        <v>0.57</v>
      </c>
      <c r="D2409">
        <v>17.58</v>
      </c>
      <c r="E2409" t="s">
        <v>16</v>
      </c>
      <c r="F2409" t="s">
        <v>16</v>
      </c>
      <c r="H2409">
        <v>-0.16</v>
      </c>
      <c r="I2409">
        <v>-2.66</v>
      </c>
      <c r="J2409">
        <v>-2.22</v>
      </c>
      <c r="L2409">
        <v>-0.97</v>
      </c>
      <c r="M2409">
        <v>28.22</v>
      </c>
      <c r="N2409">
        <v>0.04</v>
      </c>
      <c r="O2409">
        <v>0.67</v>
      </c>
    </row>
    <row r="2410" spans="1:15">
      <c r="A2410" t="str">
        <f>"300978"</f>
        <v>300978</v>
      </c>
      <c r="B2410" t="s">
        <v>2448</v>
      </c>
      <c r="C2410">
        <v>-1.36</v>
      </c>
      <c r="D2410">
        <v>8.73</v>
      </c>
      <c r="E2410" t="s">
        <v>16</v>
      </c>
      <c r="F2410" t="s">
        <v>16</v>
      </c>
      <c r="H2410">
        <v>-0.45</v>
      </c>
      <c r="I2410">
        <v>-4.8</v>
      </c>
      <c r="J2410">
        <v>-1.91</v>
      </c>
      <c r="L2410">
        <v>-1.13</v>
      </c>
      <c r="M2410">
        <v>5.69</v>
      </c>
      <c r="N2410">
        <v>0</v>
      </c>
      <c r="O2410">
        <v>0.13</v>
      </c>
    </row>
    <row r="2411" spans="1:15">
      <c r="A2411" t="str">
        <f>"300979"</f>
        <v>300979</v>
      </c>
      <c r="B2411" t="s">
        <v>2449</v>
      </c>
      <c r="C2411">
        <v>-1.2</v>
      </c>
      <c r="D2411">
        <v>31.26</v>
      </c>
      <c r="E2411" t="s">
        <v>16</v>
      </c>
      <c r="F2411" t="s">
        <v>16</v>
      </c>
      <c r="H2411">
        <v>-0.15</v>
      </c>
      <c r="I2411">
        <v>-7.3</v>
      </c>
      <c r="J2411">
        <v>-1.54</v>
      </c>
      <c r="L2411">
        <v>-0.92</v>
      </c>
      <c r="M2411">
        <v>30.72</v>
      </c>
      <c r="N2411">
        <v>0.01</v>
      </c>
      <c r="O2411">
        <v>3.38</v>
      </c>
    </row>
    <row r="2412" spans="1:15">
      <c r="A2412" t="str">
        <f>"300980"</f>
        <v>300980</v>
      </c>
      <c r="B2412" t="s">
        <v>2450</v>
      </c>
      <c r="C2412">
        <v>0.33</v>
      </c>
      <c r="D2412">
        <v>27.31</v>
      </c>
      <c r="E2412" t="s">
        <v>16</v>
      </c>
      <c r="F2412" t="s">
        <v>16</v>
      </c>
      <c r="H2412">
        <v>-0.17</v>
      </c>
      <c r="I2412">
        <v>-0.69</v>
      </c>
      <c r="J2412">
        <v>-1.41</v>
      </c>
      <c r="L2412">
        <v>-0.88</v>
      </c>
      <c r="M2412">
        <v>12.95</v>
      </c>
      <c r="N2412">
        <v>0.01</v>
      </c>
      <c r="O2412">
        <v>0.66</v>
      </c>
    </row>
    <row r="2413" spans="1:15">
      <c r="A2413" t="str">
        <f>"300981"</f>
        <v>300981</v>
      </c>
      <c r="B2413" t="s">
        <v>2451</v>
      </c>
      <c r="C2413">
        <v>-1.51</v>
      </c>
      <c r="D2413">
        <v>10.46</v>
      </c>
      <c r="E2413" t="s">
        <v>16</v>
      </c>
      <c r="F2413" t="s">
        <v>16</v>
      </c>
      <c r="H2413">
        <v>-0.37</v>
      </c>
      <c r="I2413">
        <v>-10.52</v>
      </c>
      <c r="J2413">
        <v>-2.33</v>
      </c>
      <c r="L2413">
        <v>0</v>
      </c>
      <c r="M2413">
        <v>3.19</v>
      </c>
      <c r="N2413">
        <v>0</v>
      </c>
      <c r="O2413">
        <v>0.88</v>
      </c>
    </row>
    <row r="2414" spans="1:15">
      <c r="A2414" t="str">
        <f>"300982"</f>
        <v>300982</v>
      </c>
      <c r="B2414" t="s">
        <v>2452</v>
      </c>
      <c r="C2414">
        <v>-2.09</v>
      </c>
      <c r="D2414">
        <v>16.88</v>
      </c>
      <c r="E2414" t="s">
        <v>16</v>
      </c>
      <c r="F2414" t="s">
        <v>16</v>
      </c>
      <c r="H2414">
        <v>-0.7</v>
      </c>
      <c r="I2414">
        <v>-20.15</v>
      </c>
      <c r="J2414">
        <v>-2.14</v>
      </c>
      <c r="L2414">
        <v>-0.93</v>
      </c>
      <c r="M2414">
        <v>46.63</v>
      </c>
      <c r="N2414">
        <v>0.03</v>
      </c>
      <c r="O2414">
        <v>3.21</v>
      </c>
    </row>
    <row r="2415" spans="1:15">
      <c r="A2415" t="str">
        <f>"300983"</f>
        <v>300983</v>
      </c>
      <c r="B2415" t="s">
        <v>2453</v>
      </c>
      <c r="C2415">
        <v>5.29</v>
      </c>
      <c r="D2415">
        <v>38.6</v>
      </c>
      <c r="E2415" t="s">
        <v>16</v>
      </c>
      <c r="F2415" t="s">
        <v>16</v>
      </c>
      <c r="H2415">
        <v>-0.89</v>
      </c>
      <c r="I2415">
        <v>9.47</v>
      </c>
      <c r="J2415">
        <v>-1.25</v>
      </c>
      <c r="L2415">
        <v>0.05</v>
      </c>
      <c r="M2415">
        <v>16.51</v>
      </c>
      <c r="N2415">
        <v>0.01</v>
      </c>
      <c r="O2415">
        <v>3.75</v>
      </c>
    </row>
    <row r="2416" spans="1:15">
      <c r="A2416" t="str">
        <f>"300984"</f>
        <v>300984</v>
      </c>
      <c r="B2416" t="s">
        <v>2454</v>
      </c>
      <c r="C2416">
        <v>-2.93</v>
      </c>
      <c r="D2416">
        <v>57.69</v>
      </c>
      <c r="E2416" t="s">
        <v>16</v>
      </c>
      <c r="F2416" t="s">
        <v>16</v>
      </c>
      <c r="H2416">
        <v>0.16</v>
      </c>
      <c r="I2416">
        <v>-1.35</v>
      </c>
      <c r="J2416">
        <v>-3.06</v>
      </c>
      <c r="L2416">
        <v>0</v>
      </c>
      <c r="M2416">
        <v>21.39</v>
      </c>
      <c r="N2416">
        <v>0.01</v>
      </c>
      <c r="O2416">
        <v>0.64</v>
      </c>
    </row>
    <row r="2417" spans="1:15">
      <c r="A2417" t="str">
        <f>"300985"</f>
        <v>300985</v>
      </c>
      <c r="B2417" t="s">
        <v>2455</v>
      </c>
      <c r="C2417">
        <v>0.75</v>
      </c>
      <c r="D2417">
        <v>33.55</v>
      </c>
      <c r="E2417" t="s">
        <v>16</v>
      </c>
      <c r="F2417" t="s">
        <v>16</v>
      </c>
      <c r="H2417">
        <v>0.18</v>
      </c>
      <c r="I2417">
        <v>37.16</v>
      </c>
      <c r="J2417">
        <v>-1.87</v>
      </c>
      <c r="L2417">
        <v>-0.3</v>
      </c>
      <c r="M2417">
        <v>147.08</v>
      </c>
      <c r="N2417">
        <v>0.08</v>
      </c>
      <c r="O2417">
        <v>1.4</v>
      </c>
    </row>
    <row r="2418" spans="1:15">
      <c r="A2418" t="str">
        <f>"300986"</f>
        <v>300986</v>
      </c>
      <c r="B2418" t="s">
        <v>2456</v>
      </c>
      <c r="C2418">
        <v>-0.79</v>
      </c>
      <c r="D2418">
        <v>18.72</v>
      </c>
      <c r="E2418" t="s">
        <v>16</v>
      </c>
      <c r="F2418" t="s">
        <v>16</v>
      </c>
      <c r="H2418">
        <v>-0.1</v>
      </c>
      <c r="I2418">
        <v>-0.79</v>
      </c>
      <c r="J2418">
        <v>-1.68</v>
      </c>
      <c r="L2418">
        <v>-1.27</v>
      </c>
      <c r="M2418">
        <v>293.99</v>
      </c>
      <c r="N2418">
        <v>0.07</v>
      </c>
      <c r="O2418">
        <v>2.03</v>
      </c>
    </row>
    <row r="2419" spans="1:15">
      <c r="A2419" t="str">
        <f>"300987"</f>
        <v>300987</v>
      </c>
      <c r="B2419" t="s">
        <v>2457</v>
      </c>
      <c r="C2419">
        <v>0.45</v>
      </c>
      <c r="D2419">
        <v>13.4</v>
      </c>
      <c r="E2419" t="s">
        <v>16</v>
      </c>
      <c r="F2419" t="s">
        <v>16</v>
      </c>
      <c r="H2419">
        <v>-0.21</v>
      </c>
      <c r="I2419">
        <v>-2.4</v>
      </c>
      <c r="J2419">
        <v>-1.25</v>
      </c>
      <c r="L2419">
        <v>-0.37</v>
      </c>
      <c r="M2419">
        <v>4.39</v>
      </c>
      <c r="N2419">
        <v>0</v>
      </c>
      <c r="O2419">
        <v>0.09</v>
      </c>
    </row>
    <row r="2420" spans="1:15">
      <c r="A2420" t="str">
        <f>"300988"</f>
        <v>300988</v>
      </c>
      <c r="B2420" t="s">
        <v>2458</v>
      </c>
      <c r="C2420">
        <v>0.17</v>
      </c>
      <c r="D2420">
        <v>17.73</v>
      </c>
      <c r="E2420" t="s">
        <v>16</v>
      </c>
      <c r="F2420" t="s">
        <v>16</v>
      </c>
      <c r="H2420">
        <v>0</v>
      </c>
      <c r="I2420">
        <v>3.08</v>
      </c>
      <c r="J2420">
        <v>-1.28</v>
      </c>
      <c r="L2420">
        <v>-1.02</v>
      </c>
      <c r="M2420">
        <v>5.96</v>
      </c>
      <c r="N2420">
        <v>0</v>
      </c>
      <c r="O2420">
        <v>0.17</v>
      </c>
    </row>
    <row r="2421" spans="1:15">
      <c r="A2421" t="str">
        <f>"300989"</f>
        <v>300989</v>
      </c>
      <c r="B2421" t="s">
        <v>2459</v>
      </c>
      <c r="C2421">
        <v>-0.22</v>
      </c>
      <c r="D2421">
        <v>13.47</v>
      </c>
      <c r="E2421" t="s">
        <v>16</v>
      </c>
      <c r="F2421" t="s">
        <v>16</v>
      </c>
      <c r="H2421">
        <v>-0.06</v>
      </c>
      <c r="I2421">
        <v>-2.25</v>
      </c>
      <c r="J2421">
        <v>-1.32</v>
      </c>
      <c r="L2421">
        <v>-0.96</v>
      </c>
      <c r="M2421">
        <v>10.16</v>
      </c>
      <c r="N2421">
        <v>0.01</v>
      </c>
      <c r="O2421">
        <v>0.13</v>
      </c>
    </row>
    <row r="2422" spans="1:15">
      <c r="A2422" t="str">
        <f>"300990"</f>
        <v>300990</v>
      </c>
      <c r="B2422" t="s">
        <v>2460</v>
      </c>
      <c r="C2422">
        <v>6.04</v>
      </c>
      <c r="D2422">
        <v>99.24</v>
      </c>
      <c r="E2422" t="s">
        <v>16</v>
      </c>
      <c r="F2422" t="s">
        <v>16</v>
      </c>
      <c r="H2422">
        <v>-0.25</v>
      </c>
      <c r="I2422">
        <v>21.1</v>
      </c>
      <c r="J2422">
        <v>-1.16</v>
      </c>
      <c r="L2422">
        <v>-0.34</v>
      </c>
      <c r="M2422">
        <v>107.26</v>
      </c>
      <c r="N2422">
        <v>0.03</v>
      </c>
      <c r="O2422">
        <v>0.49</v>
      </c>
    </row>
    <row r="2423" spans="1:15">
      <c r="A2423" t="str">
        <f>"300991"</f>
        <v>300991</v>
      </c>
      <c r="B2423" t="s">
        <v>2461</v>
      </c>
      <c r="C2423">
        <v>-3.75</v>
      </c>
      <c r="D2423">
        <v>38.5</v>
      </c>
      <c r="E2423" t="s">
        <v>16</v>
      </c>
      <c r="F2423" t="s">
        <v>16</v>
      </c>
      <c r="H2423">
        <v>-0.3</v>
      </c>
      <c r="I2423">
        <v>-3.75</v>
      </c>
      <c r="J2423">
        <v>-3.85</v>
      </c>
      <c r="L2423">
        <v>0.1</v>
      </c>
      <c r="M2423">
        <v>16.02</v>
      </c>
      <c r="N2423">
        <v>0.01</v>
      </c>
      <c r="O2423">
        <v>0.23</v>
      </c>
    </row>
    <row r="2424" spans="1:15">
      <c r="A2424" t="str">
        <f>"300992"</f>
        <v>300992</v>
      </c>
      <c r="B2424" t="s">
        <v>2462</v>
      </c>
      <c r="C2424">
        <v>-0.63</v>
      </c>
      <c r="D2424">
        <v>25.3</v>
      </c>
      <c r="E2424" t="s">
        <v>16</v>
      </c>
      <c r="F2424" t="s">
        <v>16</v>
      </c>
      <c r="H2424">
        <v>-0.38</v>
      </c>
      <c r="I2424">
        <v>-4.74</v>
      </c>
      <c r="J2424">
        <v>-2.43</v>
      </c>
      <c r="L2424">
        <v>-0.98</v>
      </c>
      <c r="M2424">
        <v>9.58</v>
      </c>
      <c r="N2424">
        <v>0.01</v>
      </c>
      <c r="O2424">
        <v>1.81</v>
      </c>
    </row>
    <row r="2425" spans="1:15">
      <c r="A2425" t="str">
        <f>"300993"</f>
        <v>300993</v>
      </c>
      <c r="B2425" t="s">
        <v>2463</v>
      </c>
      <c r="C2425">
        <v>-3.04</v>
      </c>
      <c r="D2425">
        <v>10.54</v>
      </c>
      <c r="E2425" t="s">
        <v>16</v>
      </c>
      <c r="F2425" t="s">
        <v>16</v>
      </c>
      <c r="H2425">
        <v>0</v>
      </c>
      <c r="I2425">
        <v>0.29</v>
      </c>
      <c r="J2425">
        <v>-3.48</v>
      </c>
      <c r="L2425">
        <v>0.09</v>
      </c>
      <c r="M2425">
        <v>20.78</v>
      </c>
      <c r="N2425">
        <v>0.02</v>
      </c>
      <c r="O2425">
        <v>1.68</v>
      </c>
    </row>
    <row r="2426" spans="1:15">
      <c r="A2426" t="str">
        <f>"300994"</f>
        <v>300994</v>
      </c>
      <c r="B2426" t="s">
        <v>2464</v>
      </c>
      <c r="C2426">
        <v>-1.3</v>
      </c>
      <c r="D2426">
        <v>11.37</v>
      </c>
      <c r="E2426" t="s">
        <v>16</v>
      </c>
      <c r="F2426" t="s">
        <v>16</v>
      </c>
      <c r="H2426">
        <v>0.09</v>
      </c>
      <c r="I2426">
        <v>-5.17</v>
      </c>
      <c r="J2426">
        <v>-1.81</v>
      </c>
      <c r="L2426">
        <v>-0.87</v>
      </c>
      <c r="M2426">
        <v>4.45</v>
      </c>
      <c r="N2426">
        <v>0.01</v>
      </c>
      <c r="O2426">
        <v>1.15</v>
      </c>
    </row>
    <row r="2427" spans="1:15">
      <c r="A2427" t="str">
        <f>"300995"</f>
        <v>300995</v>
      </c>
      <c r="B2427" t="s">
        <v>2465</v>
      </c>
      <c r="C2427">
        <v>-1.85</v>
      </c>
      <c r="D2427">
        <v>30.25</v>
      </c>
      <c r="E2427" t="s">
        <v>16</v>
      </c>
      <c r="F2427" t="s">
        <v>16</v>
      </c>
      <c r="H2427">
        <v>0</v>
      </c>
      <c r="I2427">
        <v>-6.64</v>
      </c>
      <c r="J2427">
        <v>-2.7</v>
      </c>
      <c r="L2427">
        <v>-0.71</v>
      </c>
      <c r="M2427">
        <v>9.18</v>
      </c>
      <c r="N2427">
        <v>0.01</v>
      </c>
      <c r="O2427">
        <v>0.75</v>
      </c>
    </row>
    <row r="2428" spans="1:15">
      <c r="A2428" t="str">
        <f>"300996"</f>
        <v>300996</v>
      </c>
      <c r="B2428" t="s">
        <v>2466</v>
      </c>
      <c r="C2428">
        <v>1.99</v>
      </c>
      <c r="D2428">
        <v>11.3</v>
      </c>
      <c r="E2428" t="s">
        <v>16</v>
      </c>
      <c r="F2428" t="s">
        <v>16</v>
      </c>
      <c r="H2428">
        <v>0.36</v>
      </c>
      <c r="I2428">
        <v>-1.22</v>
      </c>
      <c r="J2428">
        <v>-2.75</v>
      </c>
      <c r="L2428">
        <v>0.18</v>
      </c>
      <c r="M2428">
        <v>7.44</v>
      </c>
      <c r="N2428">
        <v>0</v>
      </c>
      <c r="O2428">
        <v>0.11</v>
      </c>
    </row>
    <row r="2429" spans="1:15">
      <c r="A2429" t="str">
        <f>"300997"</f>
        <v>300997</v>
      </c>
      <c r="B2429" t="s">
        <v>2467</v>
      </c>
      <c r="C2429">
        <v>-2.56</v>
      </c>
      <c r="D2429">
        <v>15.61</v>
      </c>
      <c r="E2429" t="s">
        <v>16</v>
      </c>
      <c r="F2429" t="s">
        <v>16</v>
      </c>
      <c r="H2429">
        <v>-0.31</v>
      </c>
      <c r="I2429">
        <v>-12.11</v>
      </c>
      <c r="J2429">
        <v>-2.38</v>
      </c>
      <c r="L2429">
        <v>-0.56</v>
      </c>
      <c r="M2429">
        <v>33.93</v>
      </c>
      <c r="N2429">
        <v>0.02</v>
      </c>
      <c r="O2429">
        <v>0.54</v>
      </c>
    </row>
    <row r="2430" spans="1:15">
      <c r="A2430" t="str">
        <f>"300998"</f>
        <v>300998</v>
      </c>
      <c r="B2430" t="s">
        <v>2468</v>
      </c>
      <c r="C2430">
        <v>-6.12</v>
      </c>
      <c r="D2430">
        <v>29.75</v>
      </c>
      <c r="E2430" t="s">
        <v>16</v>
      </c>
      <c r="F2430" t="s">
        <v>16</v>
      </c>
      <c r="H2430">
        <v>-0.26</v>
      </c>
      <c r="I2430">
        <v>11.59</v>
      </c>
      <c r="J2430">
        <v>-20.56</v>
      </c>
      <c r="L2430">
        <v>2.71</v>
      </c>
      <c r="M2430">
        <v>388.97</v>
      </c>
      <c r="N2430">
        <v>0.17</v>
      </c>
      <c r="O2430">
        <v>5.31</v>
      </c>
    </row>
    <row r="2431" spans="1:15">
      <c r="A2431" t="str">
        <f>"300999"</f>
        <v>300999</v>
      </c>
      <c r="B2431" t="s">
        <v>2469</v>
      </c>
      <c r="C2431">
        <v>-1.26</v>
      </c>
      <c r="D2431">
        <v>24.38</v>
      </c>
      <c r="E2431" t="s">
        <v>16</v>
      </c>
      <c r="F2431" t="s">
        <v>16</v>
      </c>
      <c r="H2431">
        <v>0.08</v>
      </c>
      <c r="I2431">
        <v>-4.84</v>
      </c>
      <c r="J2431">
        <v>-1.14</v>
      </c>
      <c r="L2431">
        <v>-0.45</v>
      </c>
      <c r="M2431">
        <v>110.61</v>
      </c>
      <c r="N2431">
        <v>0.01</v>
      </c>
      <c r="O2431">
        <v>2.13</v>
      </c>
    </row>
    <row r="2432" spans="1:15">
      <c r="A2432" t="str">
        <f>"301000"</f>
        <v>301000</v>
      </c>
      <c r="B2432" t="s">
        <v>2470</v>
      </c>
      <c r="C2432">
        <v>-2.07</v>
      </c>
      <c r="D2432">
        <v>33.55</v>
      </c>
      <c r="E2432" t="s">
        <v>16</v>
      </c>
      <c r="F2432" t="s">
        <v>16</v>
      </c>
      <c r="H2432">
        <v>-0.02</v>
      </c>
      <c r="I2432">
        <v>9</v>
      </c>
      <c r="J2432">
        <v>-2.75</v>
      </c>
      <c r="K2432" t="s">
        <v>26</v>
      </c>
      <c r="L2432">
        <v>-0.99</v>
      </c>
      <c r="M2432">
        <v>172.99</v>
      </c>
      <c r="N2432">
        <v>0.05</v>
      </c>
      <c r="O2432">
        <v>0.39</v>
      </c>
    </row>
    <row r="2433" spans="1:15">
      <c r="A2433" t="str">
        <f>"301001"</f>
        <v>301001</v>
      </c>
      <c r="B2433" t="s">
        <v>2471</v>
      </c>
      <c r="C2433">
        <v>-0.42</v>
      </c>
      <c r="D2433">
        <v>23.68</v>
      </c>
      <c r="E2433" t="s">
        <v>16</v>
      </c>
      <c r="F2433" t="s">
        <v>16</v>
      </c>
      <c r="H2433">
        <v>0</v>
      </c>
      <c r="I2433">
        <v>-5.92</v>
      </c>
      <c r="J2433">
        <v>-1.78</v>
      </c>
      <c r="L2433">
        <v>0.13</v>
      </c>
      <c r="M2433">
        <v>23.33</v>
      </c>
      <c r="N2433">
        <v>0.03</v>
      </c>
      <c r="O2433">
        <v>1.4</v>
      </c>
    </row>
    <row r="2434" spans="1:15">
      <c r="A2434" t="str">
        <f>"301002"</f>
        <v>301002</v>
      </c>
      <c r="B2434" t="s">
        <v>2472</v>
      </c>
      <c r="C2434">
        <v>1.18</v>
      </c>
      <c r="D2434">
        <v>44.41</v>
      </c>
      <c r="E2434" t="s">
        <v>16</v>
      </c>
      <c r="F2434" t="s">
        <v>16</v>
      </c>
      <c r="H2434">
        <v>0.23</v>
      </c>
      <c r="I2434">
        <v>-8.22</v>
      </c>
      <c r="J2434">
        <v>-3.25</v>
      </c>
      <c r="L2434">
        <v>0.71</v>
      </c>
      <c r="M2434">
        <v>74.7</v>
      </c>
      <c r="N2434">
        <v>0.03</v>
      </c>
      <c r="O2434">
        <v>0.92</v>
      </c>
    </row>
    <row r="2435" spans="1:15">
      <c r="A2435" t="str">
        <f>"301003"</f>
        <v>301003</v>
      </c>
      <c r="B2435" t="s">
        <v>2473</v>
      </c>
      <c r="C2435">
        <v>1.83</v>
      </c>
      <c r="D2435">
        <v>57.72</v>
      </c>
      <c r="E2435" t="s">
        <v>16</v>
      </c>
      <c r="F2435" t="s">
        <v>16</v>
      </c>
      <c r="H2435">
        <v>-0.02</v>
      </c>
      <c r="I2435">
        <v>20.48</v>
      </c>
      <c r="J2435">
        <v>-1.47</v>
      </c>
      <c r="L2435">
        <v>-0.32</v>
      </c>
      <c r="M2435">
        <v>63.85</v>
      </c>
      <c r="N2435">
        <v>0.03</v>
      </c>
      <c r="O2435">
        <v>0.78</v>
      </c>
    </row>
    <row r="2436" spans="1:15">
      <c r="A2436" t="str">
        <f>"301004"</f>
        <v>301004</v>
      </c>
      <c r="B2436" t="s">
        <v>2474</v>
      </c>
      <c r="C2436">
        <v>-1.1</v>
      </c>
      <c r="D2436">
        <v>34.31</v>
      </c>
      <c r="E2436" t="s">
        <v>16</v>
      </c>
      <c r="F2436" t="s">
        <v>16</v>
      </c>
      <c r="H2436">
        <v>-0.11</v>
      </c>
      <c r="I2436">
        <v>-4</v>
      </c>
      <c r="J2436">
        <v>-1.55</v>
      </c>
      <c r="L2436">
        <v>-1.15</v>
      </c>
      <c r="M2436">
        <v>2.06</v>
      </c>
      <c r="N2436">
        <v>0</v>
      </c>
      <c r="O2436">
        <v>0.06</v>
      </c>
    </row>
    <row r="2437" spans="1:15">
      <c r="A2437" t="str">
        <f>"301005"</f>
        <v>301005</v>
      </c>
      <c r="B2437" t="s">
        <v>2475</v>
      </c>
      <c r="C2437">
        <v>8.08</v>
      </c>
      <c r="D2437">
        <v>105.35</v>
      </c>
      <c r="E2437" t="s">
        <v>16</v>
      </c>
      <c r="F2437" t="s">
        <v>16</v>
      </c>
      <c r="H2437">
        <v>0.07</v>
      </c>
      <c r="I2437">
        <v>3.89</v>
      </c>
      <c r="J2437">
        <v>-0.44</v>
      </c>
      <c r="L2437">
        <v>-1.29</v>
      </c>
      <c r="M2437">
        <v>807.86</v>
      </c>
      <c r="N2437">
        <v>0.08</v>
      </c>
      <c r="O2437">
        <v>1.35</v>
      </c>
    </row>
    <row r="2438" spans="1:15">
      <c r="A2438" t="str">
        <f>"301006"</f>
        <v>301006</v>
      </c>
      <c r="B2438" t="s">
        <v>2476</v>
      </c>
      <c r="C2438">
        <v>-1.82</v>
      </c>
      <c r="D2438">
        <v>13.45</v>
      </c>
      <c r="E2438" t="s">
        <v>16</v>
      </c>
      <c r="F2438" t="s">
        <v>16</v>
      </c>
      <c r="H2438">
        <v>-1.02</v>
      </c>
      <c r="I2438">
        <v>-8</v>
      </c>
      <c r="J2438">
        <v>-2.32</v>
      </c>
      <c r="L2438">
        <v>-1.02</v>
      </c>
      <c r="M2438">
        <v>68.34</v>
      </c>
      <c r="N2438">
        <v>0.1</v>
      </c>
      <c r="O2438">
        <v>1.53</v>
      </c>
    </row>
    <row r="2439" spans="1:15">
      <c r="A2439" t="str">
        <f>"301007"</f>
        <v>301007</v>
      </c>
      <c r="B2439" t="s">
        <v>2477</v>
      </c>
      <c r="C2439">
        <v>0.67</v>
      </c>
      <c r="D2439">
        <v>34.45</v>
      </c>
      <c r="E2439" t="s">
        <v>16</v>
      </c>
      <c r="F2439" t="s">
        <v>16</v>
      </c>
      <c r="H2439">
        <v>0.12</v>
      </c>
      <c r="I2439">
        <v>1.38</v>
      </c>
      <c r="J2439">
        <v>-1.01</v>
      </c>
      <c r="L2439">
        <v>-0.58</v>
      </c>
      <c r="M2439">
        <v>64.3</v>
      </c>
      <c r="N2439">
        <v>0.02</v>
      </c>
      <c r="O2439">
        <v>4.4</v>
      </c>
    </row>
    <row r="2440" spans="1:15">
      <c r="A2440" t="str">
        <f>"301008"</f>
        <v>301008</v>
      </c>
      <c r="B2440" t="s">
        <v>2478</v>
      </c>
      <c r="C2440">
        <v>-1.59</v>
      </c>
      <c r="D2440">
        <v>24.79</v>
      </c>
      <c r="E2440" t="s">
        <v>16</v>
      </c>
      <c r="F2440" t="s">
        <v>16</v>
      </c>
      <c r="H2440">
        <v>-0.03</v>
      </c>
      <c r="I2440">
        <v>0.32</v>
      </c>
      <c r="J2440">
        <v>-2.52</v>
      </c>
      <c r="L2440">
        <v>-0.44</v>
      </c>
      <c r="M2440">
        <v>6.52</v>
      </c>
      <c r="N2440">
        <v>0</v>
      </c>
      <c r="O2440">
        <v>0.22</v>
      </c>
    </row>
    <row r="2441" spans="1:15">
      <c r="A2441" t="str">
        <f>"301009"</f>
        <v>301009</v>
      </c>
      <c r="B2441" t="s">
        <v>2479</v>
      </c>
      <c r="C2441">
        <v>2.28</v>
      </c>
      <c r="D2441">
        <v>8.96</v>
      </c>
      <c r="E2441" t="s">
        <v>16</v>
      </c>
      <c r="F2441" t="s">
        <v>16</v>
      </c>
      <c r="H2441">
        <v>-0.43</v>
      </c>
      <c r="I2441">
        <v>-1.32</v>
      </c>
      <c r="J2441">
        <v>-5.08</v>
      </c>
      <c r="L2441">
        <v>-0.46</v>
      </c>
      <c r="M2441">
        <v>14.3</v>
      </c>
      <c r="N2441">
        <v>0.02</v>
      </c>
      <c r="O2441">
        <v>5.65</v>
      </c>
    </row>
    <row r="2442" spans="1:15">
      <c r="A2442" t="str">
        <f>"301010"</f>
        <v>301010</v>
      </c>
      <c r="B2442" t="s">
        <v>2480</v>
      </c>
      <c r="C2442">
        <v>-1.99</v>
      </c>
      <c r="D2442">
        <v>17.23</v>
      </c>
      <c r="E2442" t="s">
        <v>16</v>
      </c>
      <c r="F2442" t="s">
        <v>16</v>
      </c>
      <c r="H2442">
        <v>0.23</v>
      </c>
      <c r="I2442">
        <v>-9.27</v>
      </c>
      <c r="J2442">
        <v>-2.82</v>
      </c>
      <c r="L2442">
        <v>-1.71</v>
      </c>
      <c r="M2442">
        <v>121.13</v>
      </c>
      <c r="N2442">
        <v>0.18</v>
      </c>
      <c r="O2442">
        <v>9.74</v>
      </c>
    </row>
    <row r="2443" spans="1:15">
      <c r="A2443" t="str">
        <f>"301011"</f>
        <v>301011</v>
      </c>
      <c r="B2443" t="s">
        <v>2481</v>
      </c>
      <c r="C2443">
        <v>-1.59</v>
      </c>
      <c r="D2443">
        <v>15.43</v>
      </c>
      <c r="E2443" t="s">
        <v>16</v>
      </c>
      <c r="F2443" t="s">
        <v>16</v>
      </c>
      <c r="H2443">
        <v>-0.12</v>
      </c>
      <c r="I2443">
        <v>-3.44</v>
      </c>
      <c r="J2443">
        <v>-2.53</v>
      </c>
      <c r="L2443">
        <v>0.96</v>
      </c>
      <c r="M2443">
        <v>8.07</v>
      </c>
      <c r="N2443">
        <v>0.01</v>
      </c>
      <c r="O2443">
        <v>0.29</v>
      </c>
    </row>
    <row r="2444" spans="1:15">
      <c r="A2444" t="str">
        <f>"301012"</f>
        <v>301012</v>
      </c>
      <c r="B2444" t="s">
        <v>2482</v>
      </c>
      <c r="C2444">
        <v>-1.04</v>
      </c>
      <c r="D2444">
        <v>27.59</v>
      </c>
      <c r="E2444" t="s">
        <v>16</v>
      </c>
      <c r="F2444" t="s">
        <v>16</v>
      </c>
      <c r="H2444">
        <v>-0.03</v>
      </c>
      <c r="I2444">
        <v>-13.1</v>
      </c>
      <c r="J2444">
        <v>-2.37</v>
      </c>
      <c r="L2444">
        <v>0</v>
      </c>
      <c r="M2444">
        <v>17.01</v>
      </c>
      <c r="N2444">
        <v>0</v>
      </c>
      <c r="O2444">
        <v>0.36</v>
      </c>
    </row>
    <row r="2445" spans="1:15">
      <c r="A2445" t="str">
        <f>"301013"</f>
        <v>301013</v>
      </c>
      <c r="B2445" t="s">
        <v>2483</v>
      </c>
      <c r="C2445">
        <v>5.05</v>
      </c>
      <c r="D2445">
        <v>68.62</v>
      </c>
      <c r="E2445" t="s">
        <v>16</v>
      </c>
      <c r="F2445" t="s">
        <v>16</v>
      </c>
      <c r="H2445">
        <v>0.29</v>
      </c>
      <c r="I2445">
        <v>15.6</v>
      </c>
      <c r="J2445">
        <v>-8.73</v>
      </c>
      <c r="L2445">
        <v>-3.55</v>
      </c>
      <c r="M2445">
        <v>2667.36</v>
      </c>
      <c r="N2445">
        <v>0.25</v>
      </c>
      <c r="O2445">
        <v>0.9</v>
      </c>
    </row>
    <row r="2446" spans="1:15">
      <c r="A2446" t="str">
        <f>"301015"</f>
        <v>301015</v>
      </c>
      <c r="B2446" t="s">
        <v>2484</v>
      </c>
      <c r="C2446">
        <v>0.38</v>
      </c>
      <c r="D2446">
        <v>21.28</v>
      </c>
      <c r="E2446" t="s">
        <v>16</v>
      </c>
      <c r="F2446" t="s">
        <v>16</v>
      </c>
      <c r="H2446">
        <v>0.42</v>
      </c>
      <c r="I2446">
        <v>2.65</v>
      </c>
      <c r="J2446">
        <v>-1.71</v>
      </c>
      <c r="L2446">
        <v>-2.08</v>
      </c>
      <c r="M2446">
        <v>63.32</v>
      </c>
      <c r="N2446">
        <v>0.02</v>
      </c>
      <c r="O2446">
        <v>2.46</v>
      </c>
    </row>
    <row r="2447" spans="1:15">
      <c r="A2447" t="str">
        <f>"301016"</f>
        <v>301016</v>
      </c>
      <c r="B2447" t="s">
        <v>2485</v>
      </c>
      <c r="C2447">
        <v>-1.31</v>
      </c>
      <c r="D2447">
        <v>14.26</v>
      </c>
      <c r="E2447" t="s">
        <v>16</v>
      </c>
      <c r="F2447" t="s">
        <v>16</v>
      </c>
      <c r="H2447">
        <v>-0.27</v>
      </c>
      <c r="I2447">
        <v>-7.34</v>
      </c>
      <c r="J2447">
        <v>-2.53</v>
      </c>
      <c r="L2447">
        <v>-0.21</v>
      </c>
      <c r="M2447">
        <v>9.81</v>
      </c>
      <c r="N2447">
        <v>0.01</v>
      </c>
      <c r="O2447">
        <v>0.78</v>
      </c>
    </row>
    <row r="2448" spans="1:15">
      <c r="A2448" t="str">
        <f>"301017"</f>
        <v>301017</v>
      </c>
      <c r="B2448" t="s">
        <v>2486</v>
      </c>
      <c r="C2448">
        <v>-2.24</v>
      </c>
      <c r="D2448">
        <v>13.1</v>
      </c>
      <c r="E2448" t="s">
        <v>16</v>
      </c>
      <c r="F2448" t="s">
        <v>16</v>
      </c>
      <c r="H2448">
        <v>-0.37</v>
      </c>
      <c r="I2448">
        <v>-7.29</v>
      </c>
      <c r="J2448">
        <v>-2.24</v>
      </c>
      <c r="L2448">
        <v>-0.82</v>
      </c>
      <c r="M2448">
        <v>12.76</v>
      </c>
      <c r="N2448">
        <v>0.01</v>
      </c>
      <c r="O2448">
        <v>0.26</v>
      </c>
    </row>
    <row r="2449" spans="1:15">
      <c r="A2449" t="str">
        <f>"301018"</f>
        <v>301018</v>
      </c>
      <c r="B2449" t="s">
        <v>2487</v>
      </c>
      <c r="C2449">
        <v>3.14</v>
      </c>
      <c r="D2449">
        <v>116.31</v>
      </c>
      <c r="E2449" t="s">
        <v>16</v>
      </c>
      <c r="F2449" t="s">
        <v>16</v>
      </c>
      <c r="H2449">
        <v>0.06</v>
      </c>
      <c r="I2449">
        <v>12.93</v>
      </c>
      <c r="J2449">
        <v>-4.55</v>
      </c>
      <c r="L2449">
        <v>1.54</v>
      </c>
      <c r="M2449">
        <v>1737.8</v>
      </c>
      <c r="N2449">
        <v>0.09</v>
      </c>
      <c r="O2449">
        <v>2.04</v>
      </c>
    </row>
    <row r="2450" spans="1:15">
      <c r="A2450" t="str">
        <f>"301019"</f>
        <v>301019</v>
      </c>
      <c r="B2450" t="s">
        <v>2488</v>
      </c>
      <c r="C2450">
        <v>-2.72</v>
      </c>
      <c r="D2450">
        <v>19.68</v>
      </c>
      <c r="E2450" t="s">
        <v>16</v>
      </c>
      <c r="F2450" t="s">
        <v>16</v>
      </c>
      <c r="H2450">
        <v>0</v>
      </c>
      <c r="I2450">
        <v>-3.95</v>
      </c>
      <c r="J2450">
        <v>-2.43</v>
      </c>
      <c r="L2450">
        <v>-0.59</v>
      </c>
      <c r="M2450">
        <v>9.85</v>
      </c>
      <c r="N2450">
        <v>0.01</v>
      </c>
      <c r="O2450">
        <v>0.48</v>
      </c>
    </row>
    <row r="2451" spans="1:15">
      <c r="A2451" t="str">
        <f>"301020"</f>
        <v>301020</v>
      </c>
      <c r="B2451" t="s">
        <v>2489</v>
      </c>
      <c r="C2451">
        <v>-0.62</v>
      </c>
      <c r="D2451">
        <v>25.49</v>
      </c>
      <c r="E2451" t="s">
        <v>16</v>
      </c>
      <c r="F2451" t="s">
        <v>16</v>
      </c>
      <c r="H2451">
        <v>0.16</v>
      </c>
      <c r="I2451">
        <v>5.42</v>
      </c>
      <c r="J2451">
        <v>-2.15</v>
      </c>
      <c r="L2451">
        <v>-1.13</v>
      </c>
      <c r="M2451">
        <v>55.28</v>
      </c>
      <c r="N2451">
        <v>0.05</v>
      </c>
      <c r="O2451">
        <v>2.53</v>
      </c>
    </row>
    <row r="2452" spans="1:15">
      <c r="A2452" t="str">
        <f>"301021"</f>
        <v>301021</v>
      </c>
      <c r="B2452" t="s">
        <v>2490</v>
      </c>
      <c r="C2452">
        <v>7.56</v>
      </c>
      <c r="D2452">
        <v>124.34</v>
      </c>
      <c r="E2452" t="s">
        <v>16</v>
      </c>
      <c r="F2452" t="s">
        <v>16</v>
      </c>
      <c r="H2452">
        <v>0.31</v>
      </c>
      <c r="I2452">
        <v>27.79</v>
      </c>
      <c r="J2452">
        <v>-2.48</v>
      </c>
      <c r="L2452">
        <v>0.06</v>
      </c>
      <c r="M2452">
        <v>606.11</v>
      </c>
      <c r="N2452">
        <v>0.06</v>
      </c>
      <c r="O2452">
        <v>1.41</v>
      </c>
    </row>
    <row r="2453" spans="1:15">
      <c r="A2453" t="str">
        <f>"301022"</f>
        <v>301022</v>
      </c>
      <c r="B2453" t="s">
        <v>2491</v>
      </c>
      <c r="C2453">
        <v>2.36</v>
      </c>
      <c r="D2453">
        <v>25.13</v>
      </c>
      <c r="E2453" t="s">
        <v>16</v>
      </c>
      <c r="F2453" t="s">
        <v>16</v>
      </c>
      <c r="H2453">
        <v>0.04</v>
      </c>
      <c r="I2453">
        <v>-3.72</v>
      </c>
      <c r="J2453">
        <v>-0.4</v>
      </c>
      <c r="L2453">
        <v>0</v>
      </c>
      <c r="M2453">
        <v>1.47</v>
      </c>
      <c r="N2453">
        <v>0</v>
      </c>
      <c r="O2453">
        <v>0.06</v>
      </c>
    </row>
    <row r="2454" spans="1:15">
      <c r="A2454" t="str">
        <f>"301023"</f>
        <v>301023</v>
      </c>
      <c r="B2454" t="s">
        <v>2492</v>
      </c>
      <c r="C2454">
        <v>1.91</v>
      </c>
      <c r="D2454">
        <v>30.99</v>
      </c>
      <c r="E2454" t="s">
        <v>16</v>
      </c>
      <c r="F2454" t="s">
        <v>16</v>
      </c>
      <c r="H2454">
        <v>0</v>
      </c>
      <c r="I2454">
        <v>-0.48</v>
      </c>
      <c r="J2454">
        <v>-0.99</v>
      </c>
      <c r="L2454">
        <v>-0.43</v>
      </c>
      <c r="M2454">
        <v>0.61</v>
      </c>
      <c r="N2454">
        <v>0</v>
      </c>
      <c r="O2454">
        <v>0.13</v>
      </c>
    </row>
    <row r="2455" spans="1:15">
      <c r="A2455" t="str">
        <f>"301024"</f>
        <v>301024</v>
      </c>
      <c r="B2455" t="s">
        <v>2493</v>
      </c>
      <c r="C2455">
        <v>5.51</v>
      </c>
      <c r="D2455">
        <v>45.6</v>
      </c>
      <c r="E2455" t="s">
        <v>16</v>
      </c>
      <c r="F2455" t="s">
        <v>16</v>
      </c>
      <c r="H2455">
        <v>-0.43</v>
      </c>
      <c r="I2455">
        <v>0.31</v>
      </c>
      <c r="J2455">
        <v>-2.98</v>
      </c>
      <c r="L2455">
        <v>-0.51</v>
      </c>
      <c r="M2455">
        <v>9.89</v>
      </c>
      <c r="N2455">
        <v>0.01</v>
      </c>
      <c r="O2455">
        <v>0.96</v>
      </c>
    </row>
    <row r="2456" spans="1:15">
      <c r="A2456" t="str">
        <f>"301025"</f>
        <v>301025</v>
      </c>
      <c r="B2456" t="s">
        <v>2494</v>
      </c>
      <c r="C2456">
        <v>-0.34</v>
      </c>
      <c r="D2456">
        <v>8.68</v>
      </c>
      <c r="E2456" t="s">
        <v>16</v>
      </c>
      <c r="F2456" t="s">
        <v>16</v>
      </c>
      <c r="H2456">
        <v>-0.11</v>
      </c>
      <c r="I2456">
        <v>-2.36</v>
      </c>
      <c r="J2456">
        <v>-1.48</v>
      </c>
      <c r="L2456">
        <v>-0.8</v>
      </c>
      <c r="M2456">
        <v>20.48</v>
      </c>
      <c r="N2456">
        <v>0.02</v>
      </c>
      <c r="O2456">
        <v>0.76</v>
      </c>
    </row>
    <row r="2457" spans="1:15">
      <c r="A2457" t="str">
        <f>"301026"</f>
        <v>301026</v>
      </c>
      <c r="B2457" t="s">
        <v>2495</v>
      </c>
      <c r="C2457">
        <v>-1.21</v>
      </c>
      <c r="D2457">
        <v>23.75</v>
      </c>
      <c r="E2457" t="s">
        <v>16</v>
      </c>
      <c r="F2457" t="s">
        <v>16</v>
      </c>
      <c r="H2457">
        <v>0.04</v>
      </c>
      <c r="I2457">
        <v>2.86</v>
      </c>
      <c r="J2457">
        <v>-3.77</v>
      </c>
      <c r="L2457">
        <v>-1</v>
      </c>
      <c r="M2457">
        <v>106.62</v>
      </c>
      <c r="N2457">
        <v>0.03</v>
      </c>
      <c r="O2457">
        <v>1.08</v>
      </c>
    </row>
    <row r="2458" spans="1:15">
      <c r="A2458" t="str">
        <f>"301027"</f>
        <v>301027</v>
      </c>
      <c r="B2458" t="s">
        <v>2496</v>
      </c>
      <c r="C2458">
        <v>3.64</v>
      </c>
      <c r="D2458">
        <v>19.92</v>
      </c>
      <c r="E2458" t="s">
        <v>16</v>
      </c>
      <c r="F2458" t="s">
        <v>16</v>
      </c>
      <c r="H2458">
        <v>0.35</v>
      </c>
      <c r="I2458">
        <v>2.36</v>
      </c>
      <c r="J2458">
        <v>-2.64</v>
      </c>
      <c r="L2458">
        <v>-0.62</v>
      </c>
      <c r="M2458">
        <v>0.38</v>
      </c>
      <c r="N2458">
        <v>0</v>
      </c>
      <c r="O2458">
        <v>0.03</v>
      </c>
    </row>
    <row r="2459" spans="1:15">
      <c r="A2459" t="str">
        <f>"301028"</f>
        <v>301028</v>
      </c>
      <c r="B2459" t="s">
        <v>2497</v>
      </c>
      <c r="C2459">
        <v>-1.45</v>
      </c>
      <c r="D2459">
        <v>17.62</v>
      </c>
      <c r="E2459" t="s">
        <v>16</v>
      </c>
      <c r="F2459" t="s">
        <v>16</v>
      </c>
      <c r="H2459">
        <v>0</v>
      </c>
      <c r="I2459">
        <v>-3.56</v>
      </c>
      <c r="J2459">
        <v>-1.67</v>
      </c>
      <c r="L2459">
        <v>0</v>
      </c>
      <c r="M2459">
        <v>41.66</v>
      </c>
      <c r="N2459">
        <v>0.02</v>
      </c>
      <c r="O2459">
        <v>2.24</v>
      </c>
    </row>
    <row r="2460" spans="1:15">
      <c r="A2460" t="str">
        <f>"301029"</f>
        <v>301029</v>
      </c>
      <c r="B2460" t="s">
        <v>2498</v>
      </c>
      <c r="C2460">
        <v>1.17</v>
      </c>
      <c r="D2460">
        <v>32.81</v>
      </c>
      <c r="E2460" t="s">
        <v>16</v>
      </c>
      <c r="F2460" t="s">
        <v>16</v>
      </c>
      <c r="H2460">
        <v>0</v>
      </c>
      <c r="I2460">
        <v>14.64</v>
      </c>
      <c r="J2460">
        <v>-1.12</v>
      </c>
      <c r="L2460">
        <v>0.12</v>
      </c>
      <c r="M2460">
        <v>318.86</v>
      </c>
      <c r="N2460">
        <v>0.03</v>
      </c>
      <c r="O2460">
        <v>1</v>
      </c>
    </row>
    <row r="2461" spans="1:15">
      <c r="A2461" t="str">
        <f>"301030"</f>
        <v>301030</v>
      </c>
      <c r="B2461" t="s">
        <v>2499</v>
      </c>
      <c r="C2461">
        <v>-1.4</v>
      </c>
      <c r="D2461">
        <v>10.55</v>
      </c>
      <c r="E2461" t="s">
        <v>16</v>
      </c>
      <c r="F2461" t="s">
        <v>16</v>
      </c>
      <c r="H2461">
        <v>0.09</v>
      </c>
      <c r="I2461">
        <v>-17.19</v>
      </c>
      <c r="J2461">
        <v>-4.35</v>
      </c>
      <c r="L2461">
        <v>0.47</v>
      </c>
      <c r="M2461">
        <v>230.48</v>
      </c>
      <c r="N2461">
        <v>0.15</v>
      </c>
      <c r="O2461">
        <v>2.65</v>
      </c>
    </row>
    <row r="2462" spans="1:15">
      <c r="A2462" t="str">
        <f>"301031"</f>
        <v>301031</v>
      </c>
      <c r="B2462" t="s">
        <v>2500</v>
      </c>
      <c r="C2462">
        <v>3.9</v>
      </c>
      <c r="D2462">
        <v>129.79</v>
      </c>
      <c r="E2462" t="s">
        <v>16</v>
      </c>
      <c r="F2462" t="s">
        <v>16</v>
      </c>
      <c r="H2462">
        <v>0.16</v>
      </c>
      <c r="I2462">
        <v>13.9</v>
      </c>
      <c r="J2462">
        <v>-0.92</v>
      </c>
      <c r="L2462">
        <v>-0.06</v>
      </c>
      <c r="M2462">
        <v>187.28</v>
      </c>
      <c r="N2462">
        <v>0.02</v>
      </c>
      <c r="O2462">
        <v>0.68</v>
      </c>
    </row>
    <row r="2463" spans="1:15">
      <c r="A2463" t="str">
        <f>"301032"</f>
        <v>301032</v>
      </c>
      <c r="B2463" t="s">
        <v>2501</v>
      </c>
      <c r="C2463">
        <v>-1.25</v>
      </c>
      <c r="D2463">
        <v>10.27</v>
      </c>
      <c r="E2463" t="s">
        <v>16</v>
      </c>
      <c r="F2463" t="s">
        <v>16</v>
      </c>
      <c r="H2463">
        <v>0.1</v>
      </c>
      <c r="I2463">
        <v>-5.78</v>
      </c>
      <c r="J2463">
        <v>-1.44</v>
      </c>
      <c r="L2463">
        <v>-0.48</v>
      </c>
      <c r="M2463">
        <v>36.95</v>
      </c>
      <c r="N2463">
        <v>0.04</v>
      </c>
      <c r="O2463">
        <v>5.33</v>
      </c>
    </row>
    <row r="2464" spans="1:15">
      <c r="A2464" t="str">
        <f>"301033"</f>
        <v>301033</v>
      </c>
      <c r="B2464" t="s">
        <v>2502</v>
      </c>
      <c r="C2464">
        <v>1.03</v>
      </c>
      <c r="D2464">
        <v>48.9</v>
      </c>
      <c r="E2464" t="s">
        <v>16</v>
      </c>
      <c r="F2464" t="s">
        <v>16</v>
      </c>
      <c r="H2464">
        <v>0.37</v>
      </c>
      <c r="I2464">
        <v>1.83</v>
      </c>
      <c r="J2464">
        <v>-1.35</v>
      </c>
      <c r="L2464">
        <v>0.66</v>
      </c>
      <c r="M2464">
        <v>16.56</v>
      </c>
      <c r="N2464">
        <v>0.01</v>
      </c>
      <c r="O2464">
        <v>3.4</v>
      </c>
    </row>
    <row r="2465" spans="1:15">
      <c r="A2465" t="str">
        <f>"301035"</f>
        <v>301035</v>
      </c>
      <c r="B2465" t="s">
        <v>2503</v>
      </c>
      <c r="C2465">
        <v>-0.38</v>
      </c>
      <c r="D2465">
        <v>49.81</v>
      </c>
      <c r="E2465" t="s">
        <v>16</v>
      </c>
      <c r="F2465" t="s">
        <v>16</v>
      </c>
      <c r="H2465">
        <v>0.57</v>
      </c>
      <c r="I2465">
        <v>-2.56</v>
      </c>
      <c r="J2465">
        <v>-2.05</v>
      </c>
      <c r="L2465">
        <v>0.98</v>
      </c>
      <c r="M2465">
        <v>72.2</v>
      </c>
      <c r="N2465">
        <v>0.01</v>
      </c>
      <c r="O2465">
        <v>7.53</v>
      </c>
    </row>
    <row r="2466" spans="1:15">
      <c r="A2466" t="str">
        <f>"301036"</f>
        <v>301036</v>
      </c>
      <c r="B2466" t="s">
        <v>2504</v>
      </c>
      <c r="C2466">
        <v>-2.42</v>
      </c>
      <c r="D2466">
        <v>22.6</v>
      </c>
      <c r="E2466" t="s">
        <v>16</v>
      </c>
      <c r="F2466" t="s">
        <v>16</v>
      </c>
      <c r="H2466">
        <v>0</v>
      </c>
      <c r="I2466">
        <v>-2.67</v>
      </c>
      <c r="J2466">
        <v>-3.75</v>
      </c>
      <c r="L2466">
        <v>-0.56</v>
      </c>
      <c r="M2466">
        <v>8.52</v>
      </c>
      <c r="N2466">
        <v>0.01</v>
      </c>
      <c r="O2466">
        <v>1.95</v>
      </c>
    </row>
    <row r="2467" spans="1:15">
      <c r="A2467" t="str">
        <f>"301037"</f>
        <v>301037</v>
      </c>
      <c r="B2467" t="s">
        <v>2505</v>
      </c>
      <c r="C2467">
        <v>-1.91</v>
      </c>
      <c r="D2467">
        <v>12.87</v>
      </c>
      <c r="E2467" t="s">
        <v>16</v>
      </c>
      <c r="F2467" t="s">
        <v>16</v>
      </c>
      <c r="H2467">
        <v>-0.22</v>
      </c>
      <c r="I2467">
        <v>-9.81</v>
      </c>
      <c r="J2467">
        <v>-2.28</v>
      </c>
      <c r="L2467">
        <v>-0.91</v>
      </c>
      <c r="M2467">
        <v>18.98</v>
      </c>
      <c r="N2467">
        <v>0.04</v>
      </c>
      <c r="O2467">
        <v>1.49</v>
      </c>
    </row>
    <row r="2468" spans="1:15">
      <c r="A2468" t="str">
        <f>"301038"</f>
        <v>301038</v>
      </c>
      <c r="B2468" t="s">
        <v>2506</v>
      </c>
      <c r="C2468">
        <v>-1.17</v>
      </c>
      <c r="D2468">
        <v>18.58</v>
      </c>
      <c r="E2468" t="s">
        <v>16</v>
      </c>
      <c r="F2468" t="s">
        <v>16</v>
      </c>
      <c r="H2468">
        <v>0.22</v>
      </c>
      <c r="I2468">
        <v>-4.67</v>
      </c>
      <c r="J2468">
        <v>-1.17</v>
      </c>
      <c r="L2468">
        <v>-1.28</v>
      </c>
      <c r="M2468">
        <v>23.76</v>
      </c>
      <c r="N2468">
        <v>0.02</v>
      </c>
      <c r="O2468">
        <v>0.36</v>
      </c>
    </row>
    <row r="2469" spans="1:15">
      <c r="A2469" t="str">
        <f>"301039"</f>
        <v>301039</v>
      </c>
      <c r="B2469" t="s">
        <v>2507</v>
      </c>
      <c r="C2469">
        <v>-0.82</v>
      </c>
      <c r="D2469">
        <v>7.27</v>
      </c>
      <c r="E2469" t="s">
        <v>16</v>
      </c>
      <c r="F2469" t="s">
        <v>16</v>
      </c>
      <c r="H2469">
        <v>-0.26</v>
      </c>
      <c r="I2469">
        <v>-7.51</v>
      </c>
      <c r="J2469">
        <v>-0.68</v>
      </c>
      <c r="L2469">
        <v>-0.41</v>
      </c>
      <c r="M2469">
        <v>24.31</v>
      </c>
      <c r="N2469">
        <v>0</v>
      </c>
      <c r="O2469">
        <v>0.6</v>
      </c>
    </row>
    <row r="2470" spans="1:15">
      <c r="A2470" t="str">
        <f>"301040"</f>
        <v>301040</v>
      </c>
      <c r="B2470" t="s">
        <v>2508</v>
      </c>
      <c r="C2470">
        <v>-3.31</v>
      </c>
      <c r="D2470">
        <v>27.77</v>
      </c>
      <c r="E2470" t="s">
        <v>16</v>
      </c>
      <c r="F2470" t="s">
        <v>16</v>
      </c>
      <c r="H2470">
        <v>0.07</v>
      </c>
      <c r="I2470">
        <v>-11.16</v>
      </c>
      <c r="J2470">
        <v>-5.22</v>
      </c>
      <c r="L2470">
        <v>1.01</v>
      </c>
      <c r="M2470">
        <v>4.06</v>
      </c>
      <c r="N2470">
        <v>0</v>
      </c>
      <c r="O2470" t="s">
        <v>16</v>
      </c>
    </row>
    <row r="2471" spans="1:15">
      <c r="A2471" t="str">
        <f>"301041"</f>
        <v>301041</v>
      </c>
      <c r="B2471" t="s">
        <v>2509</v>
      </c>
      <c r="C2471">
        <v>2.91</v>
      </c>
      <c r="D2471">
        <v>37.11</v>
      </c>
      <c r="E2471" t="s">
        <v>16</v>
      </c>
      <c r="F2471" t="s">
        <v>16</v>
      </c>
      <c r="H2471">
        <v>0.51</v>
      </c>
      <c r="I2471">
        <v>14.68</v>
      </c>
      <c r="J2471">
        <v>-1.46</v>
      </c>
      <c r="L2471">
        <v>-0.17</v>
      </c>
      <c r="M2471">
        <v>437.4</v>
      </c>
      <c r="N2471">
        <v>0.17</v>
      </c>
      <c r="O2471">
        <v>2.32</v>
      </c>
    </row>
    <row r="2472" spans="1:15">
      <c r="A2472" t="str">
        <f>"301042"</f>
        <v>301042</v>
      </c>
      <c r="B2472" t="s">
        <v>2510</v>
      </c>
      <c r="C2472">
        <v>2.08</v>
      </c>
      <c r="D2472">
        <v>78.08</v>
      </c>
      <c r="E2472" t="s">
        <v>16</v>
      </c>
      <c r="F2472" t="s">
        <v>16</v>
      </c>
      <c r="H2472">
        <v>0.33</v>
      </c>
      <c r="I2472">
        <v>4.51</v>
      </c>
      <c r="J2472">
        <v>-0.79</v>
      </c>
      <c r="L2472">
        <v>0</v>
      </c>
      <c r="M2472">
        <v>47.42</v>
      </c>
      <c r="N2472">
        <v>0.01</v>
      </c>
      <c r="O2472">
        <v>0.95</v>
      </c>
    </row>
    <row r="2473" spans="1:15">
      <c r="A2473" t="str">
        <f>"301043"</f>
        <v>301043</v>
      </c>
      <c r="B2473" t="s">
        <v>2511</v>
      </c>
      <c r="C2473">
        <v>-1.17</v>
      </c>
      <c r="D2473">
        <v>44.68</v>
      </c>
      <c r="E2473" t="s">
        <v>16</v>
      </c>
      <c r="F2473" t="s">
        <v>16</v>
      </c>
      <c r="H2473">
        <v>-0.06</v>
      </c>
      <c r="I2473">
        <v>-0.98</v>
      </c>
      <c r="J2473">
        <v>-2.1</v>
      </c>
      <c r="L2473">
        <v>-0.93</v>
      </c>
      <c r="M2473">
        <v>3.14</v>
      </c>
      <c r="N2473">
        <v>0</v>
      </c>
      <c r="O2473">
        <v>0.18</v>
      </c>
    </row>
    <row r="2474" spans="1:15">
      <c r="A2474" t="str">
        <f>"301045"</f>
        <v>301045</v>
      </c>
      <c r="B2474" t="s">
        <v>2512</v>
      </c>
      <c r="C2474">
        <v>5.34</v>
      </c>
      <c r="D2474">
        <v>64.36</v>
      </c>
      <c r="E2474" t="s">
        <v>16</v>
      </c>
      <c r="F2474" t="s">
        <v>16</v>
      </c>
      <c r="H2474">
        <v>-0.05</v>
      </c>
      <c r="I2474">
        <v>22.66</v>
      </c>
      <c r="J2474">
        <v>-1.74</v>
      </c>
      <c r="L2474">
        <v>1.96</v>
      </c>
      <c r="M2474">
        <v>231.76</v>
      </c>
      <c r="N2474">
        <v>0.06</v>
      </c>
      <c r="O2474">
        <v>6.64</v>
      </c>
    </row>
    <row r="2475" spans="1:15">
      <c r="A2475" t="str">
        <f>"301046"</f>
        <v>301046</v>
      </c>
      <c r="B2475" t="s">
        <v>2513</v>
      </c>
      <c r="C2475">
        <v>-0.97</v>
      </c>
      <c r="D2475">
        <v>28.7</v>
      </c>
      <c r="E2475" t="s">
        <v>16</v>
      </c>
      <c r="F2475" t="s">
        <v>16</v>
      </c>
      <c r="H2475">
        <v>0</v>
      </c>
      <c r="I2475">
        <v>12.37</v>
      </c>
      <c r="J2475">
        <v>-2.48</v>
      </c>
      <c r="L2475">
        <v>1.55</v>
      </c>
      <c r="M2475">
        <v>186</v>
      </c>
      <c r="N2475">
        <v>0.08</v>
      </c>
      <c r="O2475">
        <v>0.97</v>
      </c>
    </row>
    <row r="2476" spans="1:15">
      <c r="A2476" t="str">
        <f>"301047"</f>
        <v>301047</v>
      </c>
      <c r="B2476" t="s">
        <v>2514</v>
      </c>
      <c r="C2476">
        <v>1.76</v>
      </c>
      <c r="D2476">
        <v>60.59</v>
      </c>
      <c r="E2476" t="s">
        <v>16</v>
      </c>
      <c r="F2476" t="s">
        <v>16</v>
      </c>
      <c r="H2476">
        <v>-0.07</v>
      </c>
      <c r="I2476">
        <v>-0.3</v>
      </c>
      <c r="J2476">
        <v>-1.42</v>
      </c>
      <c r="L2476">
        <v>0</v>
      </c>
      <c r="M2476">
        <v>6.55</v>
      </c>
      <c r="N2476">
        <v>0</v>
      </c>
      <c r="O2476">
        <v>0.92</v>
      </c>
    </row>
    <row r="2477" spans="1:15">
      <c r="A2477" t="str">
        <f>"301048"</f>
        <v>301048</v>
      </c>
      <c r="B2477" t="s">
        <v>2515</v>
      </c>
      <c r="C2477">
        <v>-0.55</v>
      </c>
      <c r="D2477">
        <v>8.99</v>
      </c>
      <c r="E2477" t="s">
        <v>16</v>
      </c>
      <c r="F2477" t="s">
        <v>16</v>
      </c>
      <c r="H2477">
        <v>0</v>
      </c>
      <c r="I2477">
        <v>-4.26</v>
      </c>
      <c r="J2477">
        <v>-0.44</v>
      </c>
      <c r="L2477">
        <v>-0.44</v>
      </c>
      <c r="M2477">
        <v>1.53</v>
      </c>
      <c r="N2477">
        <v>0</v>
      </c>
      <c r="O2477">
        <v>0.34</v>
      </c>
    </row>
    <row r="2478" spans="1:15">
      <c r="A2478" t="str">
        <f>"301049"</f>
        <v>301049</v>
      </c>
      <c r="B2478" t="s">
        <v>2516</v>
      </c>
      <c r="C2478">
        <v>-1.39</v>
      </c>
      <c r="D2478">
        <v>19.1</v>
      </c>
      <c r="E2478" t="s">
        <v>16</v>
      </c>
      <c r="F2478" t="s">
        <v>16</v>
      </c>
      <c r="H2478">
        <v>-0.09</v>
      </c>
      <c r="I2478">
        <v>-6.83</v>
      </c>
      <c r="J2478">
        <v>-2.2</v>
      </c>
      <c r="L2478">
        <v>-0.46</v>
      </c>
      <c r="M2478">
        <v>1.93</v>
      </c>
      <c r="N2478">
        <v>0</v>
      </c>
      <c r="O2478">
        <v>0.05</v>
      </c>
    </row>
    <row r="2479" spans="1:15">
      <c r="A2479" t="str">
        <f>"301050"</f>
        <v>301050</v>
      </c>
      <c r="B2479" t="s">
        <v>2517</v>
      </c>
      <c r="C2479">
        <v>-0.54</v>
      </c>
      <c r="D2479">
        <v>34.99</v>
      </c>
      <c r="E2479" t="s">
        <v>16</v>
      </c>
      <c r="F2479" t="s">
        <v>16</v>
      </c>
      <c r="H2479">
        <v>-0.08</v>
      </c>
      <c r="I2479">
        <v>-0.71</v>
      </c>
      <c r="J2479">
        <v>-1.88</v>
      </c>
      <c r="L2479">
        <v>-0.8</v>
      </c>
      <c r="M2479">
        <v>23.03</v>
      </c>
      <c r="N2479">
        <v>0</v>
      </c>
      <c r="O2479">
        <v>0.66</v>
      </c>
    </row>
    <row r="2480" spans="1:15">
      <c r="A2480" t="str">
        <f>"301051"</f>
        <v>301051</v>
      </c>
      <c r="B2480" t="s">
        <v>2518</v>
      </c>
      <c r="C2480">
        <v>-2.34</v>
      </c>
      <c r="D2480">
        <v>15.85</v>
      </c>
      <c r="E2480" t="s">
        <v>16</v>
      </c>
      <c r="F2480" t="s">
        <v>16</v>
      </c>
      <c r="H2480">
        <v>-0.3</v>
      </c>
      <c r="I2480">
        <v>-2.94</v>
      </c>
      <c r="J2480">
        <v>-3.82</v>
      </c>
      <c r="L2480">
        <v>0.49</v>
      </c>
      <c r="M2480">
        <v>43.87</v>
      </c>
      <c r="N2480">
        <v>0.02</v>
      </c>
      <c r="O2480">
        <v>1.88</v>
      </c>
    </row>
    <row r="2481" spans="1:15">
      <c r="A2481" t="str">
        <f>"301052"</f>
        <v>301052</v>
      </c>
      <c r="B2481" t="s">
        <v>2519</v>
      </c>
      <c r="C2481">
        <v>-0.32</v>
      </c>
      <c r="D2481">
        <v>24.77</v>
      </c>
      <c r="E2481" t="s">
        <v>16</v>
      </c>
      <c r="F2481" t="s">
        <v>16</v>
      </c>
      <c r="H2481">
        <v>-0.07</v>
      </c>
      <c r="I2481">
        <v>-6.21</v>
      </c>
      <c r="J2481">
        <v>-2.02</v>
      </c>
      <c r="L2481">
        <v>0.16</v>
      </c>
      <c r="M2481">
        <v>9.46</v>
      </c>
      <c r="N2481">
        <v>0.01</v>
      </c>
      <c r="O2481">
        <v>0.48</v>
      </c>
    </row>
    <row r="2482" spans="1:15">
      <c r="A2482" t="str">
        <f>"301053"</f>
        <v>301053</v>
      </c>
      <c r="B2482" t="s">
        <v>2520</v>
      </c>
      <c r="C2482">
        <v>3.26</v>
      </c>
      <c r="D2482">
        <v>42.77</v>
      </c>
      <c r="E2482" t="s">
        <v>16</v>
      </c>
      <c r="F2482" t="s">
        <v>16</v>
      </c>
      <c r="H2482">
        <v>0.59</v>
      </c>
      <c r="I2482">
        <v>1.59</v>
      </c>
      <c r="J2482">
        <v>-0.63</v>
      </c>
      <c r="L2482">
        <v>-0.94</v>
      </c>
      <c r="M2482">
        <v>122.68</v>
      </c>
      <c r="N2482">
        <v>0.06</v>
      </c>
      <c r="O2482">
        <v>1.07</v>
      </c>
    </row>
    <row r="2483" spans="1:15">
      <c r="A2483" t="str">
        <f>"301055"</f>
        <v>301055</v>
      </c>
      <c r="B2483" t="s">
        <v>2521</v>
      </c>
      <c r="C2483">
        <v>-2.33</v>
      </c>
      <c r="D2483">
        <v>38.96</v>
      </c>
      <c r="E2483" t="s">
        <v>16</v>
      </c>
      <c r="F2483" t="s">
        <v>16</v>
      </c>
      <c r="H2483">
        <v>-0.42</v>
      </c>
      <c r="I2483">
        <v>13.09</v>
      </c>
      <c r="J2483">
        <v>-3.9</v>
      </c>
      <c r="K2483" t="s">
        <v>26</v>
      </c>
      <c r="L2483">
        <v>-0.03</v>
      </c>
      <c r="M2483">
        <v>285.54</v>
      </c>
      <c r="N2483">
        <v>0.11</v>
      </c>
      <c r="O2483">
        <v>0.57</v>
      </c>
    </row>
    <row r="2484" spans="1:15">
      <c r="A2484" t="str">
        <f>"301056"</f>
        <v>301056</v>
      </c>
      <c r="B2484" t="s">
        <v>2522</v>
      </c>
      <c r="C2484">
        <v>-0.08</v>
      </c>
      <c r="D2484">
        <v>11.94</v>
      </c>
      <c r="E2484" t="s">
        <v>16</v>
      </c>
      <c r="F2484" t="s">
        <v>16</v>
      </c>
      <c r="H2484">
        <v>-0.16</v>
      </c>
      <c r="I2484">
        <v>-7.23</v>
      </c>
      <c r="J2484">
        <v>-2.53</v>
      </c>
      <c r="L2484">
        <v>0.33</v>
      </c>
      <c r="M2484">
        <v>9.23</v>
      </c>
      <c r="N2484">
        <v>0.01</v>
      </c>
      <c r="O2484">
        <v>1.6</v>
      </c>
    </row>
    <row r="2485" spans="1:15">
      <c r="A2485" t="str">
        <f>"301057"</f>
        <v>301057</v>
      </c>
      <c r="B2485" t="s">
        <v>2523</v>
      </c>
      <c r="C2485">
        <v>-0.83</v>
      </c>
      <c r="D2485">
        <v>26.4</v>
      </c>
      <c r="E2485" t="s">
        <v>16</v>
      </c>
      <c r="F2485" t="s">
        <v>16</v>
      </c>
      <c r="H2485">
        <v>0.23</v>
      </c>
      <c r="I2485">
        <v>-14.84</v>
      </c>
      <c r="J2485">
        <v>-0.9</v>
      </c>
      <c r="L2485">
        <v>-0.45</v>
      </c>
      <c r="M2485">
        <v>15.37</v>
      </c>
      <c r="N2485">
        <v>0.01</v>
      </c>
      <c r="O2485">
        <v>1.12</v>
      </c>
    </row>
    <row r="2486" spans="1:15">
      <c r="A2486" t="str">
        <f>"301058"</f>
        <v>301058</v>
      </c>
      <c r="B2486" t="s">
        <v>2524</v>
      </c>
      <c r="C2486">
        <v>-4.31</v>
      </c>
      <c r="D2486">
        <v>8.21</v>
      </c>
      <c r="E2486" t="s">
        <v>16</v>
      </c>
      <c r="F2486" t="s">
        <v>16</v>
      </c>
      <c r="H2486">
        <v>-0.23</v>
      </c>
      <c r="I2486">
        <v>-4.2</v>
      </c>
      <c r="J2486">
        <v>-2.61</v>
      </c>
      <c r="L2486">
        <v>-2.1</v>
      </c>
      <c r="M2486">
        <v>130.26</v>
      </c>
      <c r="N2486">
        <v>0.05</v>
      </c>
      <c r="O2486">
        <v>44.31</v>
      </c>
    </row>
    <row r="2487" spans="1:15">
      <c r="A2487" t="str">
        <f>"301059"</f>
        <v>301059</v>
      </c>
      <c r="B2487" t="s">
        <v>2525</v>
      </c>
      <c r="C2487">
        <v>-4.37</v>
      </c>
      <c r="D2487">
        <v>12.25</v>
      </c>
      <c r="E2487" t="s">
        <v>16</v>
      </c>
      <c r="F2487" t="s">
        <v>16</v>
      </c>
      <c r="H2487">
        <v>-0.07</v>
      </c>
      <c r="I2487">
        <v>-12.87</v>
      </c>
      <c r="J2487">
        <v>-3.24</v>
      </c>
      <c r="L2487">
        <v>-1.17</v>
      </c>
      <c r="M2487">
        <v>114.95</v>
      </c>
      <c r="N2487">
        <v>0.14</v>
      </c>
      <c r="O2487">
        <v>0.16</v>
      </c>
    </row>
    <row r="2488" spans="1:15">
      <c r="A2488" t="str">
        <f>"301060"</f>
        <v>301060</v>
      </c>
      <c r="B2488" t="s">
        <v>2526</v>
      </c>
      <c r="C2488">
        <v>2.12</v>
      </c>
      <c r="D2488">
        <v>8.66</v>
      </c>
      <c r="E2488" t="s">
        <v>16</v>
      </c>
      <c r="F2488" t="s">
        <v>16</v>
      </c>
      <c r="H2488">
        <v>0</v>
      </c>
      <c r="I2488">
        <v>1.17</v>
      </c>
      <c r="J2488">
        <v>-1.03</v>
      </c>
      <c r="L2488">
        <v>-0.24</v>
      </c>
      <c r="M2488">
        <v>0.85</v>
      </c>
      <c r="N2488">
        <v>0</v>
      </c>
      <c r="O2488">
        <v>0.22</v>
      </c>
    </row>
    <row r="2489" spans="1:15">
      <c r="A2489" t="str">
        <f>"301061"</f>
        <v>301061</v>
      </c>
      <c r="B2489" t="s">
        <v>2527</v>
      </c>
      <c r="C2489">
        <v>-1.01</v>
      </c>
      <c r="D2489">
        <v>36.16</v>
      </c>
      <c r="E2489" t="s">
        <v>16</v>
      </c>
      <c r="F2489" t="s">
        <v>16</v>
      </c>
      <c r="H2489">
        <v>-0.02</v>
      </c>
      <c r="I2489">
        <v>-10.27</v>
      </c>
      <c r="J2489">
        <v>-1.95</v>
      </c>
      <c r="L2489">
        <v>0.96</v>
      </c>
      <c r="M2489">
        <v>35.82</v>
      </c>
      <c r="N2489">
        <v>0.01</v>
      </c>
      <c r="O2489">
        <v>2.02</v>
      </c>
    </row>
    <row r="2490" spans="1:15">
      <c r="A2490" t="str">
        <f>"301062"</f>
        <v>301062</v>
      </c>
      <c r="B2490" t="s">
        <v>2528</v>
      </c>
      <c r="C2490">
        <v>0.16</v>
      </c>
      <c r="D2490">
        <v>6.17</v>
      </c>
      <c r="E2490" t="s">
        <v>16</v>
      </c>
      <c r="F2490" t="s">
        <v>16</v>
      </c>
      <c r="H2490">
        <v>-0.31</v>
      </c>
      <c r="I2490">
        <v>-4.93</v>
      </c>
      <c r="J2490">
        <v>-2.22</v>
      </c>
      <c r="L2490">
        <v>-0.65</v>
      </c>
      <c r="M2490">
        <v>1.16</v>
      </c>
      <c r="N2490">
        <v>0</v>
      </c>
      <c r="O2490">
        <v>0.79</v>
      </c>
    </row>
    <row r="2491" spans="1:15">
      <c r="A2491" t="str">
        <f>"301063"</f>
        <v>301063</v>
      </c>
      <c r="B2491" t="s">
        <v>2529</v>
      </c>
      <c r="C2491">
        <v>0.06</v>
      </c>
      <c r="D2491">
        <v>18.14</v>
      </c>
      <c r="E2491" t="s">
        <v>16</v>
      </c>
      <c r="F2491" t="s">
        <v>16</v>
      </c>
      <c r="H2491">
        <v>0.33</v>
      </c>
      <c r="I2491">
        <v>-6.88</v>
      </c>
      <c r="J2491">
        <v>-1.2</v>
      </c>
      <c r="L2491">
        <v>-0.61</v>
      </c>
      <c r="M2491">
        <v>19.28</v>
      </c>
      <c r="N2491">
        <v>0.02</v>
      </c>
      <c r="O2491">
        <v>0.66</v>
      </c>
    </row>
    <row r="2492" spans="1:15">
      <c r="A2492" t="str">
        <f>"301065"</f>
        <v>301065</v>
      </c>
      <c r="B2492" t="s">
        <v>2530</v>
      </c>
      <c r="C2492">
        <v>-1.44</v>
      </c>
      <c r="D2492">
        <v>18.46</v>
      </c>
      <c r="E2492" t="s">
        <v>16</v>
      </c>
      <c r="F2492" t="s">
        <v>16</v>
      </c>
      <c r="H2492">
        <v>0</v>
      </c>
      <c r="I2492">
        <v>-5.62</v>
      </c>
      <c r="J2492">
        <v>-1.55</v>
      </c>
      <c r="L2492">
        <v>0.11</v>
      </c>
      <c r="M2492">
        <v>12.38</v>
      </c>
      <c r="N2492">
        <v>0.01</v>
      </c>
      <c r="O2492">
        <v>0.54</v>
      </c>
    </row>
    <row r="2493" spans="1:15">
      <c r="A2493" t="str">
        <f>"301066"</f>
        <v>301066</v>
      </c>
      <c r="B2493" t="s">
        <v>2531</v>
      </c>
      <c r="C2493">
        <v>-1.59</v>
      </c>
      <c r="D2493">
        <v>12.98</v>
      </c>
      <c r="E2493" t="s">
        <v>16</v>
      </c>
      <c r="F2493" t="s">
        <v>16</v>
      </c>
      <c r="H2493">
        <v>-0.68</v>
      </c>
      <c r="I2493">
        <v>-6.75</v>
      </c>
      <c r="J2493">
        <v>-2.41</v>
      </c>
      <c r="L2493">
        <v>-0.83</v>
      </c>
      <c r="M2493">
        <v>230.86</v>
      </c>
      <c r="N2493">
        <v>0.15</v>
      </c>
      <c r="O2493">
        <v>1.11</v>
      </c>
    </row>
    <row r="2494" spans="1:15">
      <c r="A2494" t="str">
        <f>"301067"</f>
        <v>301067</v>
      </c>
      <c r="B2494" t="s">
        <v>2532</v>
      </c>
      <c r="C2494">
        <v>-2.58</v>
      </c>
      <c r="D2494">
        <v>35.46</v>
      </c>
      <c r="E2494" t="s">
        <v>16</v>
      </c>
      <c r="F2494" t="s">
        <v>16</v>
      </c>
      <c r="H2494">
        <v>-0.05</v>
      </c>
      <c r="I2494">
        <v>0</v>
      </c>
      <c r="J2494">
        <v>-2.61</v>
      </c>
      <c r="L2494">
        <v>0.03</v>
      </c>
      <c r="M2494">
        <v>68.81</v>
      </c>
      <c r="N2494">
        <v>0.04</v>
      </c>
      <c r="O2494">
        <v>0.56</v>
      </c>
    </row>
    <row r="2495" spans="1:15">
      <c r="A2495" t="str">
        <f>"301068"</f>
        <v>301068</v>
      </c>
      <c r="B2495" t="s">
        <v>2533</v>
      </c>
      <c r="C2495">
        <v>0.62</v>
      </c>
      <c r="D2495">
        <v>27.48</v>
      </c>
      <c r="E2495" t="s">
        <v>16</v>
      </c>
      <c r="F2495" t="s">
        <v>16</v>
      </c>
      <c r="H2495">
        <v>-0.35</v>
      </c>
      <c r="I2495">
        <v>-3.34</v>
      </c>
      <c r="J2495">
        <v>-2.07</v>
      </c>
      <c r="L2495">
        <v>-1.17</v>
      </c>
      <c r="M2495">
        <v>18.35</v>
      </c>
      <c r="N2495">
        <v>0.01</v>
      </c>
      <c r="O2495">
        <v>1.39</v>
      </c>
    </row>
    <row r="2496" spans="1:15">
      <c r="A2496" t="str">
        <f>"301069"</f>
        <v>301069</v>
      </c>
      <c r="B2496" t="s">
        <v>2534</v>
      </c>
      <c r="C2496">
        <v>-2.33</v>
      </c>
      <c r="D2496">
        <v>22.26</v>
      </c>
      <c r="E2496" t="s">
        <v>16</v>
      </c>
      <c r="F2496" t="s">
        <v>16</v>
      </c>
      <c r="H2496">
        <v>-0.44</v>
      </c>
      <c r="I2496">
        <v>22.31</v>
      </c>
      <c r="J2496">
        <v>-1.59</v>
      </c>
      <c r="L2496">
        <v>-0.75</v>
      </c>
      <c r="M2496">
        <v>97.27</v>
      </c>
      <c r="N2496">
        <v>0.02</v>
      </c>
      <c r="O2496">
        <v>1.26</v>
      </c>
    </row>
    <row r="2497" spans="1:15">
      <c r="A2497" t="str">
        <f>"301070"</f>
        <v>301070</v>
      </c>
      <c r="B2497" t="s">
        <v>2535</v>
      </c>
      <c r="C2497">
        <v>5.71</v>
      </c>
      <c r="D2497">
        <v>87.16</v>
      </c>
      <c r="E2497" t="s">
        <v>16</v>
      </c>
      <c r="F2497" t="s">
        <v>16</v>
      </c>
      <c r="H2497">
        <v>-0.16</v>
      </c>
      <c r="I2497">
        <v>18.57</v>
      </c>
      <c r="J2497">
        <v>-2.4</v>
      </c>
      <c r="L2497">
        <v>-0.61</v>
      </c>
      <c r="M2497">
        <v>62.45</v>
      </c>
      <c r="N2497">
        <v>0.01</v>
      </c>
      <c r="O2497">
        <v>0.12</v>
      </c>
    </row>
    <row r="2498" spans="1:15">
      <c r="A2498" t="str">
        <f>"301071"</f>
        <v>301071</v>
      </c>
      <c r="B2498" t="s">
        <v>2536</v>
      </c>
      <c r="C2498">
        <v>3.42</v>
      </c>
      <c r="D2498">
        <v>76.6</v>
      </c>
      <c r="E2498" t="s">
        <v>16</v>
      </c>
      <c r="F2498" t="s">
        <v>16</v>
      </c>
      <c r="H2498">
        <v>0.14</v>
      </c>
      <c r="I2498">
        <v>-1.38</v>
      </c>
      <c r="J2498">
        <v>-4.86</v>
      </c>
      <c r="L2498">
        <v>0.23</v>
      </c>
      <c r="M2498">
        <v>1107.16</v>
      </c>
      <c r="N2498">
        <v>0.11</v>
      </c>
      <c r="O2498">
        <v>1.81</v>
      </c>
    </row>
    <row r="2499" spans="1:15">
      <c r="A2499" t="str">
        <f>"301072"</f>
        <v>301072</v>
      </c>
      <c r="B2499" t="s">
        <v>2537</v>
      </c>
      <c r="C2499">
        <v>6.9</v>
      </c>
      <c r="D2499">
        <v>40.61</v>
      </c>
      <c r="E2499" t="s">
        <v>16</v>
      </c>
      <c r="F2499" t="s">
        <v>16</v>
      </c>
      <c r="H2499">
        <v>0.74</v>
      </c>
      <c r="I2499">
        <v>52.61</v>
      </c>
      <c r="J2499">
        <v>-0.47</v>
      </c>
      <c r="L2499">
        <v>-1.13</v>
      </c>
      <c r="M2499">
        <v>310.25</v>
      </c>
      <c r="N2499">
        <v>0.25</v>
      </c>
      <c r="O2499">
        <v>4.72</v>
      </c>
    </row>
    <row r="2500" spans="1:15">
      <c r="A2500" t="str">
        <f>"301073"</f>
        <v>301073</v>
      </c>
      <c r="B2500" t="s">
        <v>2538</v>
      </c>
      <c r="C2500">
        <v>-1.21</v>
      </c>
      <c r="D2500">
        <v>19.56</v>
      </c>
      <c r="E2500" t="s">
        <v>16</v>
      </c>
      <c r="F2500" t="s">
        <v>16</v>
      </c>
      <c r="H2500">
        <v>0.05</v>
      </c>
      <c r="I2500">
        <v>-7.69</v>
      </c>
      <c r="J2500">
        <v>-1.31</v>
      </c>
      <c r="L2500">
        <v>-0.96</v>
      </c>
      <c r="M2500">
        <v>6.28</v>
      </c>
      <c r="N2500">
        <v>0</v>
      </c>
      <c r="O2500">
        <v>0.08</v>
      </c>
    </row>
    <row r="2501" spans="1:15">
      <c r="A2501" t="str">
        <f>"301075"</f>
        <v>301075</v>
      </c>
      <c r="B2501" t="s">
        <v>2539</v>
      </c>
      <c r="C2501">
        <v>-0.31</v>
      </c>
      <c r="D2501">
        <v>67.11</v>
      </c>
      <c r="E2501" t="s">
        <v>16</v>
      </c>
      <c r="F2501" t="s">
        <v>16</v>
      </c>
      <c r="H2501">
        <v>0.06</v>
      </c>
      <c r="I2501">
        <v>-7.74</v>
      </c>
      <c r="J2501">
        <v>-1.83</v>
      </c>
      <c r="L2501">
        <v>-0.31</v>
      </c>
      <c r="M2501">
        <v>0</v>
      </c>
      <c r="N2501">
        <v>0</v>
      </c>
      <c r="O2501" t="s">
        <v>16</v>
      </c>
    </row>
    <row r="2502" spans="1:15">
      <c r="A2502" t="str">
        <f>"301076"</f>
        <v>301076</v>
      </c>
      <c r="B2502" t="s">
        <v>2540</v>
      </c>
      <c r="C2502">
        <v>-1.55</v>
      </c>
      <c r="D2502">
        <v>28.5</v>
      </c>
      <c r="E2502" t="s">
        <v>16</v>
      </c>
      <c r="F2502" t="s">
        <v>16</v>
      </c>
      <c r="H2502">
        <v>0.07</v>
      </c>
      <c r="I2502">
        <v>3.3</v>
      </c>
      <c r="J2502">
        <v>-2.3</v>
      </c>
      <c r="L2502">
        <v>-0.9</v>
      </c>
      <c r="M2502">
        <v>50.78</v>
      </c>
      <c r="N2502">
        <v>0.01</v>
      </c>
      <c r="O2502">
        <v>0.63</v>
      </c>
    </row>
    <row r="2503" spans="1:15">
      <c r="A2503" t="str">
        <f>"301077"</f>
        <v>301077</v>
      </c>
      <c r="B2503" t="s">
        <v>2541</v>
      </c>
      <c r="C2503">
        <v>-1.1</v>
      </c>
      <c r="D2503">
        <v>23.29</v>
      </c>
      <c r="E2503" t="s">
        <v>16</v>
      </c>
      <c r="F2503" t="s">
        <v>16</v>
      </c>
      <c r="H2503">
        <v>0.04</v>
      </c>
      <c r="I2503">
        <v>-12.8</v>
      </c>
      <c r="J2503">
        <v>-1.65</v>
      </c>
      <c r="L2503">
        <v>-0.85</v>
      </c>
      <c r="M2503">
        <v>32.67</v>
      </c>
      <c r="N2503">
        <v>0.02</v>
      </c>
      <c r="O2503">
        <v>12.72</v>
      </c>
    </row>
    <row r="2504" spans="1:15">
      <c r="A2504" t="str">
        <f>"301078"</f>
        <v>301078</v>
      </c>
      <c r="B2504" t="s">
        <v>2542</v>
      </c>
      <c r="C2504">
        <v>-2.75</v>
      </c>
      <c r="D2504">
        <v>7.44</v>
      </c>
      <c r="E2504" t="s">
        <v>16</v>
      </c>
      <c r="F2504" t="s">
        <v>16</v>
      </c>
      <c r="H2504">
        <v>-0.12</v>
      </c>
      <c r="I2504">
        <v>-10.04</v>
      </c>
      <c r="J2504">
        <v>-3.12</v>
      </c>
      <c r="L2504">
        <v>0.26</v>
      </c>
      <c r="M2504">
        <v>29.38</v>
      </c>
      <c r="N2504">
        <v>0</v>
      </c>
      <c r="O2504">
        <v>1.15</v>
      </c>
    </row>
    <row r="2505" spans="1:15">
      <c r="A2505" t="str">
        <f>"301079"</f>
        <v>301079</v>
      </c>
      <c r="B2505" t="s">
        <v>2543</v>
      </c>
      <c r="C2505">
        <v>0.26</v>
      </c>
      <c r="D2505">
        <v>35.06</v>
      </c>
      <c r="E2505" t="s">
        <v>16</v>
      </c>
      <c r="F2505" t="s">
        <v>16</v>
      </c>
      <c r="H2505">
        <v>-0.36</v>
      </c>
      <c r="I2505">
        <v>0</v>
      </c>
      <c r="J2505">
        <v>-2.23</v>
      </c>
      <c r="L2505">
        <v>0.09</v>
      </c>
      <c r="M2505">
        <v>21.7</v>
      </c>
      <c r="N2505">
        <v>0.01</v>
      </c>
      <c r="O2505">
        <v>0.45</v>
      </c>
    </row>
    <row r="2506" spans="1:15">
      <c r="A2506" t="str">
        <f>"301080"</f>
        <v>301080</v>
      </c>
      <c r="B2506" t="s">
        <v>2544</v>
      </c>
      <c r="C2506">
        <v>4.8</v>
      </c>
      <c r="D2506">
        <v>40.39</v>
      </c>
      <c r="E2506" t="s">
        <v>16</v>
      </c>
      <c r="F2506" t="s">
        <v>16</v>
      </c>
      <c r="H2506">
        <v>-0.21</v>
      </c>
      <c r="I2506">
        <v>9.79</v>
      </c>
      <c r="J2506">
        <v>-2.6</v>
      </c>
      <c r="L2506">
        <v>-0.1</v>
      </c>
      <c r="M2506">
        <v>48.51</v>
      </c>
      <c r="N2506">
        <v>0.01</v>
      </c>
      <c r="O2506">
        <v>4.5</v>
      </c>
    </row>
    <row r="2507" spans="1:15">
      <c r="A2507" t="str">
        <f>"301081"</f>
        <v>301081</v>
      </c>
      <c r="B2507" t="s">
        <v>2545</v>
      </c>
      <c r="C2507">
        <v>-1.21</v>
      </c>
      <c r="D2507">
        <v>14.66</v>
      </c>
      <c r="E2507" t="s">
        <v>16</v>
      </c>
      <c r="F2507" t="s">
        <v>16</v>
      </c>
      <c r="H2507">
        <v>-0.19</v>
      </c>
      <c r="I2507">
        <v>-21.94</v>
      </c>
      <c r="J2507">
        <v>-1.94</v>
      </c>
      <c r="L2507">
        <v>-0.94</v>
      </c>
      <c r="M2507">
        <v>26.17</v>
      </c>
      <c r="N2507">
        <v>0.02</v>
      </c>
      <c r="O2507">
        <v>0.82</v>
      </c>
    </row>
    <row r="2508" spans="1:15">
      <c r="A2508" t="str">
        <f>"301082"</f>
        <v>301082</v>
      </c>
      <c r="B2508" t="s">
        <v>2546</v>
      </c>
      <c r="C2508">
        <v>-0.41</v>
      </c>
      <c r="D2508">
        <v>9.78</v>
      </c>
      <c r="E2508" t="s">
        <v>16</v>
      </c>
      <c r="F2508" t="s">
        <v>16</v>
      </c>
      <c r="H2508">
        <v>0.1</v>
      </c>
      <c r="I2508">
        <v>-3.55</v>
      </c>
      <c r="J2508">
        <v>-1.81</v>
      </c>
      <c r="L2508">
        <v>0.1</v>
      </c>
      <c r="M2508">
        <v>16.81</v>
      </c>
      <c r="N2508">
        <v>0.01</v>
      </c>
      <c r="O2508">
        <v>0.37</v>
      </c>
    </row>
    <row r="2509" spans="1:15">
      <c r="A2509" t="str">
        <f>"301083"</f>
        <v>301083</v>
      </c>
      <c r="B2509" t="s">
        <v>2547</v>
      </c>
      <c r="C2509">
        <v>-1</v>
      </c>
      <c r="D2509">
        <v>13.91</v>
      </c>
      <c r="E2509" t="s">
        <v>16</v>
      </c>
      <c r="F2509" t="s">
        <v>16</v>
      </c>
      <c r="H2509">
        <v>0</v>
      </c>
      <c r="I2509">
        <v>-5.18</v>
      </c>
      <c r="J2509">
        <v>-1.49</v>
      </c>
      <c r="L2509">
        <v>-0.36</v>
      </c>
      <c r="M2509">
        <v>9.52</v>
      </c>
      <c r="N2509">
        <v>0.01</v>
      </c>
      <c r="O2509">
        <v>0.49</v>
      </c>
    </row>
    <row r="2510" spans="1:15">
      <c r="A2510" t="str">
        <f>"301085"</f>
        <v>301085</v>
      </c>
      <c r="B2510" t="s">
        <v>2548</v>
      </c>
      <c r="C2510">
        <v>3.6</v>
      </c>
      <c r="D2510">
        <v>66.15</v>
      </c>
      <c r="E2510" t="s">
        <v>16</v>
      </c>
      <c r="F2510" t="s">
        <v>16</v>
      </c>
      <c r="H2510">
        <v>0.03</v>
      </c>
      <c r="I2510">
        <v>-0.27</v>
      </c>
      <c r="J2510">
        <v>-1.15</v>
      </c>
      <c r="L2510">
        <v>0.58</v>
      </c>
      <c r="M2510">
        <v>39.82</v>
      </c>
      <c r="N2510">
        <v>0.02</v>
      </c>
      <c r="O2510">
        <v>0.59</v>
      </c>
    </row>
    <row r="2511" spans="1:15">
      <c r="A2511" t="str">
        <f>"301086"</f>
        <v>301086</v>
      </c>
      <c r="B2511" t="s">
        <v>2549</v>
      </c>
      <c r="C2511">
        <v>2.9</v>
      </c>
      <c r="D2511">
        <v>213</v>
      </c>
      <c r="E2511" t="s">
        <v>16</v>
      </c>
      <c r="F2511" t="s">
        <v>16</v>
      </c>
      <c r="H2511">
        <v>0.22</v>
      </c>
      <c r="I2511">
        <v>39.23</v>
      </c>
      <c r="J2511">
        <v>-2.2</v>
      </c>
      <c r="L2511">
        <v>1.84</v>
      </c>
      <c r="M2511">
        <v>543.84</v>
      </c>
      <c r="N2511">
        <v>0.06</v>
      </c>
      <c r="O2511">
        <v>1.17</v>
      </c>
    </row>
    <row r="2512" spans="1:15">
      <c r="A2512" t="str">
        <f>"301087"</f>
        <v>301087</v>
      </c>
      <c r="B2512" t="s">
        <v>2550</v>
      </c>
      <c r="C2512">
        <v>0.58</v>
      </c>
      <c r="D2512">
        <v>44.9</v>
      </c>
      <c r="E2512" t="s">
        <v>16</v>
      </c>
      <c r="F2512" t="s">
        <v>16</v>
      </c>
      <c r="H2512">
        <v>-0.32</v>
      </c>
      <c r="I2512">
        <v>-3.17</v>
      </c>
      <c r="J2512">
        <v>-1.14</v>
      </c>
      <c r="L2512">
        <v>0.07</v>
      </c>
      <c r="M2512">
        <v>12.06</v>
      </c>
      <c r="N2512">
        <v>0</v>
      </c>
      <c r="O2512">
        <v>0.59</v>
      </c>
    </row>
    <row r="2513" spans="1:15">
      <c r="A2513" t="str">
        <f>"301088"</f>
        <v>301088</v>
      </c>
      <c r="B2513" t="s">
        <v>2551</v>
      </c>
      <c r="C2513">
        <v>-1.7</v>
      </c>
      <c r="D2513">
        <v>12.74</v>
      </c>
      <c r="E2513" t="s">
        <v>16</v>
      </c>
      <c r="F2513" t="s">
        <v>16</v>
      </c>
      <c r="H2513">
        <v>0.31</v>
      </c>
      <c r="I2513">
        <v>-7.08</v>
      </c>
      <c r="J2513">
        <v>-2.6</v>
      </c>
      <c r="L2513">
        <v>0</v>
      </c>
      <c r="M2513">
        <v>8.55</v>
      </c>
      <c r="N2513">
        <v>0.01</v>
      </c>
      <c r="O2513">
        <v>3</v>
      </c>
    </row>
    <row r="2514" spans="1:15">
      <c r="A2514" t="str">
        <f>"301089"</f>
        <v>301089</v>
      </c>
      <c r="B2514" t="s">
        <v>2552</v>
      </c>
      <c r="C2514">
        <v>0.23</v>
      </c>
      <c r="D2514">
        <v>21.82</v>
      </c>
      <c r="E2514" t="s">
        <v>16</v>
      </c>
      <c r="F2514" t="s">
        <v>16</v>
      </c>
      <c r="H2514">
        <v>0.23</v>
      </c>
      <c r="I2514">
        <v>-2.15</v>
      </c>
      <c r="J2514">
        <v>-1.71</v>
      </c>
      <c r="L2514">
        <v>0</v>
      </c>
      <c r="M2514">
        <v>4.57</v>
      </c>
      <c r="N2514">
        <v>0</v>
      </c>
      <c r="O2514">
        <v>1.5</v>
      </c>
    </row>
    <row r="2515" spans="1:15">
      <c r="A2515" t="str">
        <f>"301090"</f>
        <v>301090</v>
      </c>
      <c r="B2515" t="s">
        <v>2553</v>
      </c>
      <c r="C2515">
        <v>-0.73</v>
      </c>
      <c r="D2515">
        <v>6.83</v>
      </c>
      <c r="E2515" t="s">
        <v>16</v>
      </c>
      <c r="F2515" t="s">
        <v>16</v>
      </c>
      <c r="H2515">
        <v>-0.14</v>
      </c>
      <c r="I2515">
        <v>-1.44</v>
      </c>
      <c r="J2515">
        <v>-2.98</v>
      </c>
      <c r="L2515">
        <v>-0.73</v>
      </c>
      <c r="M2515">
        <v>18.44</v>
      </c>
      <c r="N2515">
        <v>0.01</v>
      </c>
      <c r="O2515">
        <v>5</v>
      </c>
    </row>
    <row r="2516" spans="1:15">
      <c r="A2516" t="str">
        <f>"301091"</f>
        <v>301091</v>
      </c>
      <c r="B2516" t="s">
        <v>2554</v>
      </c>
      <c r="C2516">
        <v>-1.46</v>
      </c>
      <c r="D2516">
        <v>17.59</v>
      </c>
      <c r="E2516" t="s">
        <v>16</v>
      </c>
      <c r="F2516" t="s">
        <v>16</v>
      </c>
      <c r="H2516">
        <v>-0.1</v>
      </c>
      <c r="I2516">
        <v>-1.35</v>
      </c>
      <c r="J2516">
        <v>-1.73</v>
      </c>
      <c r="L2516">
        <v>-0.62</v>
      </c>
      <c r="M2516">
        <v>24.48</v>
      </c>
      <c r="N2516">
        <v>0.01</v>
      </c>
      <c r="O2516">
        <v>0.9</v>
      </c>
    </row>
    <row r="2517" spans="1:15">
      <c r="A2517" t="str">
        <f>"301092"</f>
        <v>301092</v>
      </c>
      <c r="B2517" t="s">
        <v>2555</v>
      </c>
      <c r="C2517">
        <v>2.4</v>
      </c>
      <c r="D2517">
        <v>52.53</v>
      </c>
      <c r="E2517" t="s">
        <v>16</v>
      </c>
      <c r="F2517" t="s">
        <v>16</v>
      </c>
      <c r="H2517">
        <v>-0.01</v>
      </c>
      <c r="I2517">
        <v>11.06</v>
      </c>
      <c r="J2517">
        <v>-0.1</v>
      </c>
      <c r="L2517">
        <v>-0.27</v>
      </c>
      <c r="M2517">
        <v>191.85</v>
      </c>
      <c r="N2517">
        <v>0.1</v>
      </c>
      <c r="O2517">
        <v>1.49</v>
      </c>
    </row>
    <row r="2518" spans="1:15">
      <c r="A2518" t="str">
        <f>"301093"</f>
        <v>301093</v>
      </c>
      <c r="B2518" t="s">
        <v>2556</v>
      </c>
      <c r="C2518">
        <v>0.43</v>
      </c>
      <c r="D2518">
        <v>129.87</v>
      </c>
      <c r="E2518" t="s">
        <v>16</v>
      </c>
      <c r="F2518" t="s">
        <v>16</v>
      </c>
      <c r="H2518">
        <v>-0.05</v>
      </c>
      <c r="I2518">
        <v>4.23</v>
      </c>
      <c r="J2518">
        <v>-1.36</v>
      </c>
      <c r="L2518">
        <v>0.04</v>
      </c>
      <c r="M2518">
        <v>73.74</v>
      </c>
      <c r="N2518">
        <v>0.01</v>
      </c>
      <c r="O2518">
        <v>1.16</v>
      </c>
    </row>
    <row r="2519" spans="1:15">
      <c r="A2519" t="str">
        <f>"301095"</f>
        <v>301095</v>
      </c>
      <c r="B2519" t="s">
        <v>2557</v>
      </c>
      <c r="C2519">
        <v>3.9</v>
      </c>
      <c r="D2519">
        <v>102.5</v>
      </c>
      <c r="E2519" t="s">
        <v>16</v>
      </c>
      <c r="F2519" t="s">
        <v>16</v>
      </c>
      <c r="H2519">
        <v>0.05</v>
      </c>
      <c r="I2519">
        <v>2.81</v>
      </c>
      <c r="J2519">
        <v>-1.15</v>
      </c>
      <c r="L2519">
        <v>1.35</v>
      </c>
      <c r="M2519">
        <v>396.92</v>
      </c>
      <c r="N2519">
        <v>0.04</v>
      </c>
      <c r="O2519">
        <v>1.02</v>
      </c>
    </row>
    <row r="2520" spans="1:15">
      <c r="A2520" t="str">
        <f>"301096"</f>
        <v>301096</v>
      </c>
      <c r="B2520" t="s">
        <v>2558</v>
      </c>
      <c r="C2520">
        <v>1.05</v>
      </c>
      <c r="D2520">
        <v>55.72</v>
      </c>
      <c r="E2520" t="s">
        <v>16</v>
      </c>
      <c r="F2520" t="s">
        <v>16</v>
      </c>
      <c r="H2520">
        <v>0</v>
      </c>
      <c r="I2520">
        <v>-5.14</v>
      </c>
      <c r="J2520">
        <v>-2.99</v>
      </c>
      <c r="L2520">
        <v>-0.98</v>
      </c>
      <c r="M2520">
        <v>9.6</v>
      </c>
      <c r="N2520">
        <v>0</v>
      </c>
      <c r="O2520">
        <v>1.03</v>
      </c>
    </row>
    <row r="2521" spans="1:15">
      <c r="A2521" t="str">
        <f>"301097"</f>
        <v>301097</v>
      </c>
      <c r="B2521" t="s">
        <v>2559</v>
      </c>
      <c r="C2521">
        <v>3.33</v>
      </c>
      <c r="D2521">
        <v>37.59</v>
      </c>
      <c r="E2521" t="s">
        <v>16</v>
      </c>
      <c r="F2521" t="s">
        <v>16</v>
      </c>
      <c r="H2521">
        <v>0</v>
      </c>
      <c r="I2521">
        <v>4.45</v>
      </c>
      <c r="J2521">
        <v>-0.27</v>
      </c>
      <c r="L2521">
        <v>0.05</v>
      </c>
      <c r="M2521">
        <v>1.82</v>
      </c>
      <c r="N2521">
        <v>0</v>
      </c>
      <c r="O2521">
        <v>1</v>
      </c>
    </row>
    <row r="2522" spans="1:15">
      <c r="A2522" t="str">
        <f>"301098"</f>
        <v>301098</v>
      </c>
      <c r="B2522" t="s">
        <v>2560</v>
      </c>
      <c r="C2522">
        <v>3.84</v>
      </c>
      <c r="D2522">
        <v>8.93</v>
      </c>
      <c r="E2522" t="s">
        <v>16</v>
      </c>
      <c r="F2522" t="s">
        <v>16</v>
      </c>
      <c r="H2522">
        <v>0.22</v>
      </c>
      <c r="I2522">
        <v>-0.45</v>
      </c>
      <c r="J2522">
        <v>-3.15</v>
      </c>
      <c r="L2522">
        <v>-1.63</v>
      </c>
      <c r="M2522">
        <v>57.61</v>
      </c>
      <c r="N2522">
        <v>0.04</v>
      </c>
      <c r="O2522">
        <v>0.13</v>
      </c>
    </row>
    <row r="2523" spans="1:15">
      <c r="A2523" t="str">
        <f>"301099"</f>
        <v>301099</v>
      </c>
      <c r="B2523" t="s">
        <v>2561</v>
      </c>
      <c r="C2523">
        <v>0.48</v>
      </c>
      <c r="D2523">
        <v>93.32</v>
      </c>
      <c r="E2523" t="s">
        <v>16</v>
      </c>
      <c r="F2523" t="s">
        <v>16</v>
      </c>
      <c r="H2523">
        <v>-0.03</v>
      </c>
      <c r="I2523">
        <v>17.68</v>
      </c>
      <c r="J2523">
        <v>-2.12</v>
      </c>
      <c r="K2523" t="s">
        <v>26</v>
      </c>
      <c r="L2523">
        <v>-1.17</v>
      </c>
      <c r="M2523">
        <v>1894.34</v>
      </c>
      <c r="N2523">
        <v>0.3</v>
      </c>
      <c r="O2523">
        <v>0.43</v>
      </c>
    </row>
    <row r="2524" spans="1:15">
      <c r="A2524" t="str">
        <f>"301100"</f>
        <v>301100</v>
      </c>
      <c r="B2524" t="s">
        <v>2562</v>
      </c>
      <c r="C2524">
        <v>-2.06</v>
      </c>
      <c r="D2524">
        <v>14.77</v>
      </c>
      <c r="E2524" t="s">
        <v>16</v>
      </c>
      <c r="F2524" t="s">
        <v>16</v>
      </c>
      <c r="H2524">
        <v>-0.26</v>
      </c>
      <c r="I2524">
        <v>-7.05</v>
      </c>
      <c r="J2524">
        <v>-2.38</v>
      </c>
      <c r="L2524">
        <v>-0.66</v>
      </c>
      <c r="M2524">
        <v>38.05</v>
      </c>
      <c r="N2524">
        <v>0.05</v>
      </c>
      <c r="O2524">
        <v>10.58</v>
      </c>
    </row>
    <row r="2525" spans="1:15">
      <c r="A2525" t="str">
        <f>"301101"</f>
        <v>301101</v>
      </c>
      <c r="B2525" t="s">
        <v>2563</v>
      </c>
      <c r="C2525">
        <v>-1.69</v>
      </c>
      <c r="D2525">
        <v>29.59</v>
      </c>
      <c r="E2525" t="s">
        <v>16</v>
      </c>
      <c r="F2525" t="s">
        <v>16</v>
      </c>
      <c r="H2525">
        <v>-0.12</v>
      </c>
      <c r="I2525">
        <v>-2.44</v>
      </c>
      <c r="J2525">
        <v>-1.86</v>
      </c>
      <c r="L2525">
        <v>-0.66</v>
      </c>
      <c r="M2525">
        <v>17.34</v>
      </c>
      <c r="N2525">
        <v>0.01</v>
      </c>
      <c r="O2525">
        <v>0.98</v>
      </c>
    </row>
    <row r="2526" spans="1:15">
      <c r="A2526" t="str">
        <f>"301102"</f>
        <v>301102</v>
      </c>
      <c r="B2526" t="s">
        <v>2564</v>
      </c>
      <c r="C2526">
        <v>-1.09</v>
      </c>
      <c r="D2526">
        <v>10</v>
      </c>
      <c r="E2526" t="s">
        <v>16</v>
      </c>
      <c r="F2526" t="s">
        <v>16</v>
      </c>
      <c r="H2526">
        <v>0.2</v>
      </c>
      <c r="I2526">
        <v>5.37</v>
      </c>
      <c r="J2526">
        <v>-1.67</v>
      </c>
      <c r="L2526">
        <v>-0.1</v>
      </c>
      <c r="M2526">
        <v>6.97</v>
      </c>
      <c r="N2526">
        <v>0.01</v>
      </c>
      <c r="O2526">
        <v>0.41</v>
      </c>
    </row>
    <row r="2527" spans="1:15">
      <c r="A2527" t="str">
        <f>"301103"</f>
        <v>301103</v>
      </c>
      <c r="B2527" t="s">
        <v>2565</v>
      </c>
      <c r="C2527">
        <v>-0.82</v>
      </c>
      <c r="D2527">
        <v>15.68</v>
      </c>
      <c r="E2527" t="s">
        <v>16</v>
      </c>
      <c r="F2527" t="s">
        <v>16</v>
      </c>
      <c r="H2527">
        <v>-0.24</v>
      </c>
      <c r="I2527">
        <v>-4.8</v>
      </c>
      <c r="J2527">
        <v>-1.69</v>
      </c>
      <c r="L2527">
        <v>-0.06</v>
      </c>
      <c r="M2527">
        <v>15.48</v>
      </c>
      <c r="N2527">
        <v>0.01</v>
      </c>
      <c r="O2527">
        <v>0.98</v>
      </c>
    </row>
    <row r="2528" spans="1:15">
      <c r="A2528" t="str">
        <f>"301105"</f>
        <v>301105</v>
      </c>
      <c r="B2528" t="s">
        <v>2566</v>
      </c>
      <c r="C2528">
        <v>-0.75</v>
      </c>
      <c r="D2528">
        <v>47.95</v>
      </c>
      <c r="E2528" t="s">
        <v>16</v>
      </c>
      <c r="F2528" t="s">
        <v>16</v>
      </c>
      <c r="H2528">
        <v>0.48</v>
      </c>
      <c r="I2528">
        <v>-5.91</v>
      </c>
      <c r="J2528">
        <v>-3.33</v>
      </c>
      <c r="L2528">
        <v>2.21</v>
      </c>
      <c r="M2528">
        <v>26.67</v>
      </c>
      <c r="N2528">
        <v>0.03</v>
      </c>
      <c r="O2528" t="s">
        <v>16</v>
      </c>
    </row>
    <row r="2529" spans="1:15">
      <c r="A2529" t="str">
        <f>"301106"</f>
        <v>301106</v>
      </c>
      <c r="B2529" t="s">
        <v>2567</v>
      </c>
      <c r="C2529">
        <v>-3.24</v>
      </c>
      <c r="D2529">
        <v>23.33</v>
      </c>
      <c r="E2529" t="s">
        <v>16</v>
      </c>
      <c r="F2529" t="s">
        <v>16</v>
      </c>
      <c r="H2529">
        <v>0.6</v>
      </c>
      <c r="I2529">
        <v>-1.97</v>
      </c>
      <c r="J2529">
        <v>-3.4</v>
      </c>
      <c r="L2529">
        <v>-1.53</v>
      </c>
      <c r="M2529">
        <v>132.8</v>
      </c>
      <c r="N2529">
        <v>0.12</v>
      </c>
      <c r="O2529">
        <v>4.05</v>
      </c>
    </row>
    <row r="2530" spans="1:15">
      <c r="A2530" t="str">
        <f>"301107"</f>
        <v>301107</v>
      </c>
      <c r="B2530" t="s">
        <v>2568</v>
      </c>
      <c r="C2530">
        <v>-1.65</v>
      </c>
      <c r="D2530">
        <v>24.5</v>
      </c>
      <c r="E2530" t="s">
        <v>16</v>
      </c>
      <c r="F2530" t="s">
        <v>16</v>
      </c>
      <c r="H2530">
        <v>-0.03</v>
      </c>
      <c r="I2530">
        <v>-0.97</v>
      </c>
      <c r="J2530">
        <v>-2</v>
      </c>
      <c r="L2530">
        <v>-0.6</v>
      </c>
      <c r="M2530">
        <v>293.16</v>
      </c>
      <c r="N2530">
        <v>0.29</v>
      </c>
      <c r="O2530">
        <v>1.54</v>
      </c>
    </row>
    <row r="2531" spans="1:15">
      <c r="A2531" t="str">
        <f>"301108"</f>
        <v>301108</v>
      </c>
      <c r="B2531" t="s">
        <v>2569</v>
      </c>
      <c r="C2531">
        <v>-0.77</v>
      </c>
      <c r="D2531">
        <v>25.65</v>
      </c>
      <c r="E2531" t="s">
        <v>16</v>
      </c>
      <c r="F2531" t="s">
        <v>16</v>
      </c>
      <c r="H2531">
        <v>-0.42</v>
      </c>
      <c r="I2531">
        <v>15.38</v>
      </c>
      <c r="J2531">
        <v>-3.5</v>
      </c>
      <c r="L2531">
        <v>-0.58</v>
      </c>
      <c r="M2531">
        <v>6.17</v>
      </c>
      <c r="N2531">
        <v>0.01</v>
      </c>
      <c r="O2531">
        <v>0.22</v>
      </c>
    </row>
    <row r="2532" spans="1:15">
      <c r="A2532" t="str">
        <f>"301109"</f>
        <v>301109</v>
      </c>
      <c r="B2532" t="s">
        <v>2570</v>
      </c>
      <c r="C2532">
        <v>-0.15</v>
      </c>
      <c r="D2532">
        <v>13.47</v>
      </c>
      <c r="E2532" t="s">
        <v>16</v>
      </c>
      <c r="F2532" t="s">
        <v>16</v>
      </c>
      <c r="H2532">
        <v>-0.14</v>
      </c>
      <c r="I2532">
        <v>-3.09</v>
      </c>
      <c r="J2532">
        <v>-1.82</v>
      </c>
      <c r="L2532">
        <v>0.44</v>
      </c>
      <c r="M2532">
        <v>20.33</v>
      </c>
      <c r="N2532">
        <v>0.01</v>
      </c>
      <c r="O2532">
        <v>5</v>
      </c>
    </row>
    <row r="2533" spans="1:15">
      <c r="A2533" t="str">
        <f>"301110"</f>
        <v>301110</v>
      </c>
      <c r="B2533" t="s">
        <v>2571</v>
      </c>
      <c r="C2533">
        <v>0.74</v>
      </c>
      <c r="D2533">
        <v>39.47</v>
      </c>
      <c r="E2533" t="s">
        <v>16</v>
      </c>
      <c r="F2533" t="s">
        <v>16</v>
      </c>
      <c r="H2533">
        <v>-0.19</v>
      </c>
      <c r="I2533">
        <v>-3.76</v>
      </c>
      <c r="J2533">
        <v>-1.28</v>
      </c>
      <c r="L2533">
        <v>1.25</v>
      </c>
      <c r="M2533">
        <v>64.98</v>
      </c>
      <c r="N2533">
        <v>0.03</v>
      </c>
      <c r="O2533">
        <v>3.49</v>
      </c>
    </row>
    <row r="2534" spans="1:15">
      <c r="A2534" t="str">
        <f>"301111"</f>
        <v>301111</v>
      </c>
      <c r="B2534" t="s">
        <v>2572</v>
      </c>
      <c r="C2534">
        <v>-7.79</v>
      </c>
      <c r="D2534">
        <v>27.95</v>
      </c>
      <c r="E2534" t="s">
        <v>16</v>
      </c>
      <c r="F2534" t="s">
        <v>16</v>
      </c>
      <c r="H2534">
        <v>0.32</v>
      </c>
      <c r="I2534">
        <v>-2.92</v>
      </c>
      <c r="J2534">
        <v>-10.67</v>
      </c>
      <c r="K2534" t="s">
        <v>54</v>
      </c>
      <c r="L2534">
        <v>2.31</v>
      </c>
      <c r="M2534">
        <v>728.42</v>
      </c>
      <c r="N2534">
        <v>0.31</v>
      </c>
      <c r="O2534">
        <v>14.5</v>
      </c>
    </row>
    <row r="2535" spans="1:15">
      <c r="A2535" t="str">
        <f>"301112"</f>
        <v>301112</v>
      </c>
      <c r="B2535" t="s">
        <v>2573</v>
      </c>
      <c r="C2535">
        <v>0.49</v>
      </c>
      <c r="D2535">
        <v>30.92</v>
      </c>
      <c r="E2535" t="s">
        <v>16</v>
      </c>
      <c r="F2535" t="s">
        <v>16</v>
      </c>
      <c r="H2535">
        <v>0</v>
      </c>
      <c r="I2535">
        <v>0.91</v>
      </c>
      <c r="J2535">
        <v>-1.84</v>
      </c>
      <c r="L2535">
        <v>-0.55</v>
      </c>
      <c r="M2535">
        <v>1.84</v>
      </c>
      <c r="N2535">
        <v>0</v>
      </c>
      <c r="O2535">
        <v>0.38</v>
      </c>
    </row>
    <row r="2536" spans="1:15">
      <c r="A2536" t="str">
        <f>"301113"</f>
        <v>301113</v>
      </c>
      <c r="B2536" t="s">
        <v>2574</v>
      </c>
      <c r="C2536">
        <v>-1.98</v>
      </c>
      <c r="D2536">
        <v>15.82</v>
      </c>
      <c r="E2536" t="s">
        <v>16</v>
      </c>
      <c r="F2536" t="s">
        <v>16</v>
      </c>
      <c r="H2536">
        <v>-0.37</v>
      </c>
      <c r="I2536">
        <v>-9.75</v>
      </c>
      <c r="J2536">
        <v>-2.41</v>
      </c>
      <c r="L2536">
        <v>-1.24</v>
      </c>
      <c r="M2536">
        <v>13.23</v>
      </c>
      <c r="N2536">
        <v>0.02</v>
      </c>
      <c r="O2536">
        <v>0.19</v>
      </c>
    </row>
    <row r="2537" spans="1:15">
      <c r="A2537" t="str">
        <f>"301115"</f>
        <v>301115</v>
      </c>
      <c r="B2537" t="s">
        <v>2575</v>
      </c>
      <c r="C2537">
        <v>-2.11</v>
      </c>
      <c r="D2537">
        <v>32.4</v>
      </c>
      <c r="E2537" t="s">
        <v>16</v>
      </c>
      <c r="F2537" t="s">
        <v>16</v>
      </c>
      <c r="H2537">
        <v>0.25</v>
      </c>
      <c r="I2537">
        <v>-4.65</v>
      </c>
      <c r="J2537">
        <v>-1.88</v>
      </c>
      <c r="L2537">
        <v>-0.76</v>
      </c>
      <c r="M2537">
        <v>14.13</v>
      </c>
      <c r="N2537">
        <v>0</v>
      </c>
      <c r="O2537">
        <v>0.32</v>
      </c>
    </row>
    <row r="2538" spans="1:15">
      <c r="A2538" t="str">
        <f>"301116"</f>
        <v>301116</v>
      </c>
      <c r="B2538" t="s">
        <v>2576</v>
      </c>
      <c r="C2538">
        <v>-1.51</v>
      </c>
      <c r="D2538">
        <v>9.11</v>
      </c>
      <c r="E2538" t="s">
        <v>16</v>
      </c>
      <c r="F2538" t="s">
        <v>16</v>
      </c>
      <c r="H2538">
        <v>0</v>
      </c>
      <c r="I2538">
        <v>-7.51</v>
      </c>
      <c r="J2538">
        <v>-1.41</v>
      </c>
      <c r="L2538">
        <v>-0.97</v>
      </c>
      <c r="M2538">
        <v>17.95</v>
      </c>
      <c r="N2538">
        <v>0.02</v>
      </c>
      <c r="O2538">
        <v>0.89</v>
      </c>
    </row>
    <row r="2539" spans="1:15">
      <c r="A2539" t="str">
        <f>"301117"</f>
        <v>301117</v>
      </c>
      <c r="B2539" t="s">
        <v>2577</v>
      </c>
      <c r="C2539">
        <v>1.38</v>
      </c>
      <c r="D2539">
        <v>25.8</v>
      </c>
      <c r="E2539" t="s">
        <v>16</v>
      </c>
      <c r="F2539" t="s">
        <v>16</v>
      </c>
      <c r="H2539">
        <v>-0.18</v>
      </c>
      <c r="I2539">
        <v>-1.34</v>
      </c>
      <c r="J2539">
        <v>-2.09</v>
      </c>
      <c r="L2539">
        <v>-1.02</v>
      </c>
      <c r="M2539">
        <v>6.3</v>
      </c>
      <c r="N2539">
        <v>0</v>
      </c>
      <c r="O2539">
        <v>0.21</v>
      </c>
    </row>
    <row r="2540" spans="1:15">
      <c r="A2540" t="str">
        <f>"301118"</f>
        <v>301118</v>
      </c>
      <c r="B2540" t="s">
        <v>2578</v>
      </c>
      <c r="C2540">
        <v>-3.29</v>
      </c>
      <c r="D2540">
        <v>28.8</v>
      </c>
      <c r="E2540" t="s">
        <v>16</v>
      </c>
      <c r="F2540" t="s">
        <v>16</v>
      </c>
      <c r="H2540">
        <v>-0.09</v>
      </c>
      <c r="I2540">
        <v>0.42</v>
      </c>
      <c r="J2540">
        <v>-3.94</v>
      </c>
      <c r="L2540">
        <v>-1.01</v>
      </c>
      <c r="M2540">
        <v>32.72</v>
      </c>
      <c r="N2540">
        <v>0.02</v>
      </c>
      <c r="O2540">
        <v>0.32</v>
      </c>
    </row>
    <row r="2541" spans="1:15">
      <c r="A2541" t="str">
        <f>"301119"</f>
        <v>301119</v>
      </c>
      <c r="B2541" t="s">
        <v>2579</v>
      </c>
      <c r="C2541">
        <v>3.31</v>
      </c>
      <c r="D2541">
        <v>26.56</v>
      </c>
      <c r="E2541" t="s">
        <v>16</v>
      </c>
      <c r="F2541" t="s">
        <v>16</v>
      </c>
      <c r="H2541">
        <v>-1.44</v>
      </c>
      <c r="I2541">
        <v>10.48</v>
      </c>
      <c r="J2541">
        <v>-2.75</v>
      </c>
      <c r="L2541">
        <v>-1.01</v>
      </c>
      <c r="M2541">
        <v>34.56</v>
      </c>
      <c r="N2541">
        <v>0.03</v>
      </c>
      <c r="O2541">
        <v>0.51</v>
      </c>
    </row>
    <row r="2542" spans="1:15">
      <c r="A2542" t="str">
        <f>"301120"</f>
        <v>301120</v>
      </c>
      <c r="B2542" t="s">
        <v>2580</v>
      </c>
      <c r="C2542">
        <v>-1.46</v>
      </c>
      <c r="D2542">
        <v>19.54</v>
      </c>
      <c r="E2542" t="s">
        <v>16</v>
      </c>
      <c r="F2542" t="s">
        <v>16</v>
      </c>
      <c r="H2542">
        <v>0.05</v>
      </c>
      <c r="I2542">
        <v>-11.62</v>
      </c>
      <c r="J2542">
        <v>-2.5</v>
      </c>
      <c r="L2542">
        <v>-1.11</v>
      </c>
      <c r="M2542">
        <v>77.66</v>
      </c>
      <c r="N2542">
        <v>0.02</v>
      </c>
      <c r="O2542">
        <v>0.37</v>
      </c>
    </row>
    <row r="2543" spans="1:15">
      <c r="A2543" t="str">
        <f>"301121"</f>
        <v>301121</v>
      </c>
      <c r="B2543" t="s">
        <v>2581</v>
      </c>
      <c r="C2543">
        <v>0.43</v>
      </c>
      <c r="D2543">
        <v>37.52</v>
      </c>
      <c r="E2543" t="s">
        <v>16</v>
      </c>
      <c r="F2543" t="s">
        <v>16</v>
      </c>
      <c r="H2543">
        <v>-0.12</v>
      </c>
      <c r="I2543">
        <v>1.3</v>
      </c>
      <c r="J2543">
        <v>-2.42</v>
      </c>
      <c r="L2543">
        <v>0</v>
      </c>
      <c r="M2543">
        <v>17.19</v>
      </c>
      <c r="N2543">
        <v>0.01</v>
      </c>
      <c r="O2543">
        <v>2.88</v>
      </c>
    </row>
    <row r="2544" spans="1:15">
      <c r="A2544" t="str">
        <f>"301122"</f>
        <v>301122</v>
      </c>
      <c r="B2544" t="s">
        <v>2582</v>
      </c>
      <c r="C2544">
        <v>5.09</v>
      </c>
      <c r="D2544">
        <v>26.03</v>
      </c>
      <c r="E2544" t="s">
        <v>16</v>
      </c>
      <c r="F2544" t="s">
        <v>16</v>
      </c>
      <c r="H2544">
        <v>0.31</v>
      </c>
      <c r="I2544">
        <v>-4.86</v>
      </c>
      <c r="J2544">
        <v>-4.65</v>
      </c>
      <c r="L2544">
        <v>-0.97</v>
      </c>
      <c r="M2544">
        <v>8.83</v>
      </c>
      <c r="N2544">
        <v>0.01</v>
      </c>
      <c r="O2544">
        <v>0.4</v>
      </c>
    </row>
    <row r="2545" spans="1:15">
      <c r="A2545" t="str">
        <f>"301123"</f>
        <v>301123</v>
      </c>
      <c r="B2545" t="s">
        <v>2583</v>
      </c>
      <c r="C2545">
        <v>8.82</v>
      </c>
      <c r="D2545">
        <v>125</v>
      </c>
      <c r="E2545" t="s">
        <v>16</v>
      </c>
      <c r="F2545" t="s">
        <v>16</v>
      </c>
      <c r="H2545">
        <v>-0.15</v>
      </c>
      <c r="I2545">
        <v>17.05</v>
      </c>
      <c r="J2545">
        <v>-3.39</v>
      </c>
      <c r="L2545">
        <v>1.73</v>
      </c>
      <c r="M2545">
        <v>1079.79</v>
      </c>
      <c r="N2545">
        <v>0.11</v>
      </c>
      <c r="O2545">
        <v>0.67</v>
      </c>
    </row>
    <row r="2546" spans="1:15">
      <c r="A2546" t="str">
        <f>"301125"</f>
        <v>301125</v>
      </c>
      <c r="B2546" t="s">
        <v>2584</v>
      </c>
      <c r="C2546">
        <v>4.31</v>
      </c>
      <c r="D2546">
        <v>16.45</v>
      </c>
      <c r="E2546" t="s">
        <v>16</v>
      </c>
      <c r="F2546" t="s">
        <v>16</v>
      </c>
      <c r="H2546">
        <v>0.18</v>
      </c>
      <c r="I2546">
        <v>0.43</v>
      </c>
      <c r="J2546">
        <v>-0.42</v>
      </c>
      <c r="L2546">
        <v>-1.27</v>
      </c>
      <c r="M2546">
        <v>7.32</v>
      </c>
      <c r="N2546">
        <v>0.01</v>
      </c>
      <c r="O2546">
        <v>0.94</v>
      </c>
    </row>
    <row r="2547" spans="1:15">
      <c r="A2547" t="str">
        <f>"301126"</f>
        <v>301126</v>
      </c>
      <c r="B2547" t="s">
        <v>2585</v>
      </c>
      <c r="C2547">
        <v>-0.11</v>
      </c>
      <c r="D2547">
        <v>9.26</v>
      </c>
      <c r="E2547" t="s">
        <v>16</v>
      </c>
      <c r="F2547" t="s">
        <v>16</v>
      </c>
      <c r="H2547">
        <v>0.76</v>
      </c>
      <c r="I2547">
        <v>-5.89</v>
      </c>
      <c r="J2547">
        <v>-1.59</v>
      </c>
      <c r="L2547">
        <v>1.08</v>
      </c>
      <c r="M2547">
        <v>32.8</v>
      </c>
      <c r="N2547">
        <v>0.03</v>
      </c>
      <c r="O2547">
        <v>1.67</v>
      </c>
    </row>
    <row r="2548" spans="1:15">
      <c r="A2548" t="str">
        <f>"301127"</f>
        <v>301127</v>
      </c>
      <c r="B2548" t="s">
        <v>2586</v>
      </c>
      <c r="C2548">
        <v>11.72</v>
      </c>
      <c r="D2548">
        <v>14.78</v>
      </c>
      <c r="E2548" t="s">
        <v>16</v>
      </c>
      <c r="F2548" t="s">
        <v>16</v>
      </c>
      <c r="H2548">
        <v>0</v>
      </c>
      <c r="I2548">
        <v>7.02</v>
      </c>
      <c r="J2548">
        <v>-0.67</v>
      </c>
      <c r="L2548">
        <v>0.3</v>
      </c>
      <c r="M2548">
        <v>70.46</v>
      </c>
      <c r="N2548">
        <v>0.01</v>
      </c>
      <c r="O2548">
        <v>3.71</v>
      </c>
    </row>
    <row r="2549" spans="1:15">
      <c r="A2549" t="str">
        <f>"301128"</f>
        <v>301128</v>
      </c>
      <c r="B2549" t="s">
        <v>2587</v>
      </c>
      <c r="C2549">
        <v>6.03</v>
      </c>
      <c r="D2549">
        <v>188.2</v>
      </c>
      <c r="E2549" t="s">
        <v>16</v>
      </c>
      <c r="F2549" t="s">
        <v>16</v>
      </c>
      <c r="H2549">
        <v>0.18</v>
      </c>
      <c r="I2549">
        <v>35.18</v>
      </c>
      <c r="J2549">
        <v>-0.84</v>
      </c>
      <c r="L2549">
        <v>-0.29</v>
      </c>
      <c r="M2549">
        <v>316.81</v>
      </c>
      <c r="N2549">
        <v>0.02</v>
      </c>
      <c r="O2549">
        <v>0.15</v>
      </c>
    </row>
    <row r="2550" spans="1:15">
      <c r="A2550" t="str">
        <f>"301129"</f>
        <v>301129</v>
      </c>
      <c r="B2550" t="s">
        <v>2588</v>
      </c>
      <c r="C2550">
        <v>0.39</v>
      </c>
      <c r="D2550">
        <v>23.22</v>
      </c>
      <c r="E2550" t="s">
        <v>16</v>
      </c>
      <c r="F2550" t="s">
        <v>16</v>
      </c>
      <c r="H2550">
        <v>0.22</v>
      </c>
      <c r="I2550">
        <v>-9.33</v>
      </c>
      <c r="J2550">
        <v>-0.81</v>
      </c>
      <c r="L2550">
        <v>-0.35</v>
      </c>
      <c r="M2550">
        <v>2.77</v>
      </c>
      <c r="N2550">
        <v>0</v>
      </c>
      <c r="O2550">
        <v>0.33</v>
      </c>
    </row>
    <row r="2551" spans="1:15">
      <c r="A2551" t="str">
        <f>"301130"</f>
        <v>301130</v>
      </c>
      <c r="B2551" t="s">
        <v>2589</v>
      </c>
      <c r="C2551">
        <v>-0.72</v>
      </c>
      <c r="D2551">
        <v>24.9</v>
      </c>
      <c r="E2551" t="s">
        <v>16</v>
      </c>
      <c r="F2551" t="s">
        <v>16</v>
      </c>
      <c r="H2551">
        <v>-0.11</v>
      </c>
      <c r="I2551">
        <v>-7.88</v>
      </c>
      <c r="J2551">
        <v>-1.7</v>
      </c>
      <c r="L2551">
        <v>-0.36</v>
      </c>
      <c r="M2551">
        <v>0.75</v>
      </c>
      <c r="N2551">
        <v>0</v>
      </c>
      <c r="O2551">
        <v>0.02</v>
      </c>
    </row>
    <row r="2552" spans="1:15">
      <c r="A2552" t="str">
        <f>"301131"</f>
        <v>301131</v>
      </c>
      <c r="B2552" t="s">
        <v>2590</v>
      </c>
      <c r="C2552">
        <v>-0.14</v>
      </c>
      <c r="D2552">
        <v>34.8</v>
      </c>
      <c r="E2552" t="s">
        <v>16</v>
      </c>
      <c r="F2552" t="s">
        <v>16</v>
      </c>
      <c r="H2552">
        <v>-0.08</v>
      </c>
      <c r="I2552">
        <v>-3.28</v>
      </c>
      <c r="J2552">
        <v>-1.28</v>
      </c>
      <c r="L2552">
        <v>0</v>
      </c>
      <c r="M2552">
        <v>38.68</v>
      </c>
      <c r="N2552">
        <v>0.03</v>
      </c>
      <c r="O2552">
        <v>1.59</v>
      </c>
    </row>
    <row r="2553" spans="1:15">
      <c r="A2553" t="str">
        <f>"301132"</f>
        <v>301132</v>
      </c>
      <c r="B2553" t="s">
        <v>2591</v>
      </c>
      <c r="C2553">
        <v>5.6</v>
      </c>
      <c r="D2553">
        <v>46.97</v>
      </c>
      <c r="E2553" t="s">
        <v>16</v>
      </c>
      <c r="F2553" t="s">
        <v>16</v>
      </c>
      <c r="H2553">
        <v>-0.2</v>
      </c>
      <c r="I2553">
        <v>17.84</v>
      </c>
      <c r="J2553">
        <v>-2</v>
      </c>
      <c r="L2553">
        <v>0.22</v>
      </c>
      <c r="M2553">
        <v>272.83</v>
      </c>
      <c r="N2553">
        <v>0.13</v>
      </c>
      <c r="O2553">
        <v>0.66</v>
      </c>
    </row>
    <row r="2554" spans="1:15">
      <c r="A2554" t="str">
        <f>"301133"</f>
        <v>301133</v>
      </c>
      <c r="B2554" t="s">
        <v>2592</v>
      </c>
      <c r="C2554">
        <v>-4.01</v>
      </c>
      <c r="D2554">
        <v>39</v>
      </c>
      <c r="E2554" t="s">
        <v>16</v>
      </c>
      <c r="F2554" t="s">
        <v>16</v>
      </c>
      <c r="H2554">
        <v>-0.22</v>
      </c>
      <c r="I2554">
        <v>-5.25</v>
      </c>
      <c r="J2554">
        <v>-4.55</v>
      </c>
      <c r="L2554">
        <v>0.57</v>
      </c>
      <c r="M2554">
        <v>6.54</v>
      </c>
      <c r="N2554">
        <v>0</v>
      </c>
      <c r="O2554" t="s">
        <v>16</v>
      </c>
    </row>
    <row r="2555" spans="1:15">
      <c r="A2555" t="str">
        <f>"301135"</f>
        <v>301135</v>
      </c>
      <c r="B2555" t="s">
        <v>2593</v>
      </c>
      <c r="C2555">
        <v>-2.27</v>
      </c>
      <c r="D2555">
        <v>17.22</v>
      </c>
      <c r="E2555" t="s">
        <v>16</v>
      </c>
      <c r="F2555" t="s">
        <v>16</v>
      </c>
      <c r="H2555">
        <v>-0.05</v>
      </c>
      <c r="I2555">
        <v>-2.6</v>
      </c>
      <c r="J2555">
        <v>-2.33</v>
      </c>
      <c r="L2555">
        <v>-1.08</v>
      </c>
      <c r="M2555">
        <v>64.67</v>
      </c>
      <c r="N2555">
        <v>0.05</v>
      </c>
      <c r="O2555">
        <v>0.7</v>
      </c>
    </row>
    <row r="2556" spans="1:15">
      <c r="A2556" t="str">
        <f>"301136"</f>
        <v>301136</v>
      </c>
      <c r="B2556" t="s">
        <v>2594</v>
      </c>
      <c r="C2556">
        <v>-1.86</v>
      </c>
      <c r="D2556">
        <v>12.13</v>
      </c>
      <c r="E2556" t="s">
        <v>16</v>
      </c>
      <c r="F2556" t="s">
        <v>16</v>
      </c>
      <c r="H2556">
        <v>-0.07</v>
      </c>
      <c r="I2556">
        <v>-8.38</v>
      </c>
      <c r="J2556">
        <v>-2.1</v>
      </c>
      <c r="L2556">
        <v>-0.81</v>
      </c>
      <c r="M2556">
        <v>29.91</v>
      </c>
      <c r="N2556">
        <v>0.02</v>
      </c>
      <c r="O2556">
        <v>0.43</v>
      </c>
    </row>
    <row r="2557" spans="1:15">
      <c r="A2557" t="str">
        <f>"301137"</f>
        <v>301137</v>
      </c>
      <c r="B2557" t="s">
        <v>2595</v>
      </c>
      <c r="C2557">
        <v>-2.78</v>
      </c>
      <c r="D2557">
        <v>37.8</v>
      </c>
      <c r="E2557" t="s">
        <v>16</v>
      </c>
      <c r="F2557" t="s">
        <v>16</v>
      </c>
      <c r="H2557">
        <v>-0.23</v>
      </c>
      <c r="I2557">
        <v>-2.6</v>
      </c>
      <c r="J2557">
        <v>-3.84</v>
      </c>
      <c r="L2557">
        <v>0.05</v>
      </c>
      <c r="M2557">
        <v>147.04</v>
      </c>
      <c r="N2557">
        <v>0.06</v>
      </c>
      <c r="O2557">
        <v>0.62</v>
      </c>
    </row>
    <row r="2558" spans="1:15">
      <c r="A2558" t="str">
        <f>"301138"</f>
        <v>301138</v>
      </c>
      <c r="B2558" t="s">
        <v>2596</v>
      </c>
      <c r="C2558">
        <v>3.16</v>
      </c>
      <c r="D2558">
        <v>28.77</v>
      </c>
      <c r="E2558" t="s">
        <v>16</v>
      </c>
      <c r="F2558" t="s">
        <v>16</v>
      </c>
      <c r="H2558">
        <v>-0.09</v>
      </c>
      <c r="I2558">
        <v>2.71</v>
      </c>
      <c r="J2558">
        <v>-0.17</v>
      </c>
      <c r="L2558">
        <v>-0.32</v>
      </c>
      <c r="M2558">
        <v>17.24</v>
      </c>
      <c r="N2558">
        <v>0.02</v>
      </c>
      <c r="O2558">
        <v>0.52</v>
      </c>
    </row>
    <row r="2559" spans="1:15">
      <c r="A2559" t="str">
        <f>"301139"</f>
        <v>301139</v>
      </c>
      <c r="B2559" t="s">
        <v>2597</v>
      </c>
      <c r="C2559">
        <v>-6.07</v>
      </c>
      <c r="D2559">
        <v>4.18</v>
      </c>
      <c r="E2559" t="s">
        <v>16</v>
      </c>
      <c r="F2559" t="s">
        <v>16</v>
      </c>
      <c r="H2559">
        <v>-0.23</v>
      </c>
      <c r="I2559">
        <v>-29.15</v>
      </c>
      <c r="J2559">
        <v>-7.52</v>
      </c>
      <c r="L2559">
        <v>-2.47</v>
      </c>
      <c r="M2559">
        <v>73.91</v>
      </c>
      <c r="N2559">
        <v>0.25</v>
      </c>
      <c r="O2559">
        <v>1.03</v>
      </c>
    </row>
    <row r="2560" spans="1:15">
      <c r="A2560" t="str">
        <f>"301141"</f>
        <v>301141</v>
      </c>
      <c r="B2560" t="s">
        <v>2598</v>
      </c>
      <c r="C2560">
        <v>3.48</v>
      </c>
      <c r="D2560">
        <v>50</v>
      </c>
      <c r="E2560" t="s">
        <v>16</v>
      </c>
      <c r="F2560" t="s">
        <v>16</v>
      </c>
      <c r="H2560">
        <v>0.08</v>
      </c>
      <c r="I2560">
        <v>3.73</v>
      </c>
      <c r="J2560">
        <v>-2.86</v>
      </c>
      <c r="L2560">
        <v>-0.52</v>
      </c>
      <c r="M2560">
        <v>17.79</v>
      </c>
      <c r="N2560">
        <v>0.01</v>
      </c>
      <c r="O2560">
        <v>0.21</v>
      </c>
    </row>
    <row r="2561" spans="1:15">
      <c r="A2561" t="str">
        <f>"301148"</f>
        <v>301148</v>
      </c>
      <c r="B2561" t="s">
        <v>2599</v>
      </c>
      <c r="C2561">
        <v>3.88</v>
      </c>
      <c r="D2561">
        <v>56.19</v>
      </c>
      <c r="E2561" t="s">
        <v>16</v>
      </c>
      <c r="F2561" t="s">
        <v>16</v>
      </c>
      <c r="H2561">
        <v>0.25</v>
      </c>
      <c r="I2561">
        <v>3.04</v>
      </c>
      <c r="J2561">
        <v>-1.71</v>
      </c>
      <c r="L2561">
        <v>0.02</v>
      </c>
      <c r="M2561">
        <v>1.08</v>
      </c>
      <c r="N2561">
        <v>0</v>
      </c>
      <c r="O2561">
        <v>0.02</v>
      </c>
    </row>
    <row r="2562" spans="1:15">
      <c r="A2562" t="str">
        <f>"301149"</f>
        <v>301149</v>
      </c>
      <c r="B2562" t="s">
        <v>2600</v>
      </c>
      <c r="C2562">
        <v>-0.42</v>
      </c>
      <c r="D2562">
        <v>11.81</v>
      </c>
      <c r="E2562" t="s">
        <v>16</v>
      </c>
      <c r="F2562" t="s">
        <v>16</v>
      </c>
      <c r="H2562">
        <v>0</v>
      </c>
      <c r="I2562">
        <v>3.96</v>
      </c>
      <c r="J2562">
        <v>-1.42</v>
      </c>
      <c r="L2562">
        <v>-1.01</v>
      </c>
      <c r="M2562">
        <v>107.19</v>
      </c>
      <c r="N2562">
        <v>0.04</v>
      </c>
      <c r="O2562">
        <v>19.02</v>
      </c>
    </row>
    <row r="2563" spans="1:15">
      <c r="A2563" t="str">
        <f>"301150"</f>
        <v>301150</v>
      </c>
      <c r="B2563" t="s">
        <v>2601</v>
      </c>
      <c r="C2563">
        <v>4.87</v>
      </c>
      <c r="D2563">
        <v>63.98</v>
      </c>
      <c r="E2563" t="s">
        <v>16</v>
      </c>
      <c r="F2563" t="s">
        <v>16</v>
      </c>
      <c r="H2563">
        <v>0.05</v>
      </c>
      <c r="I2563">
        <v>53.03</v>
      </c>
      <c r="J2563">
        <v>-2.62</v>
      </c>
      <c r="L2563">
        <v>-2.84</v>
      </c>
      <c r="M2563">
        <v>2531.49</v>
      </c>
      <c r="N2563">
        <v>0.27</v>
      </c>
      <c r="O2563">
        <v>1.35</v>
      </c>
    </row>
    <row r="2564" spans="1:15">
      <c r="A2564" t="str">
        <f>"301151"</f>
        <v>301151</v>
      </c>
      <c r="B2564" t="s">
        <v>2602</v>
      </c>
      <c r="C2564">
        <v>3.71</v>
      </c>
      <c r="D2564">
        <v>20.69</v>
      </c>
      <c r="E2564" t="s">
        <v>16</v>
      </c>
      <c r="F2564" t="s">
        <v>16</v>
      </c>
      <c r="H2564">
        <v>-0.04</v>
      </c>
      <c r="I2564">
        <v>36.3</v>
      </c>
      <c r="J2564">
        <v>-0.86</v>
      </c>
      <c r="L2564">
        <v>-1.05</v>
      </c>
      <c r="M2564">
        <v>22.31</v>
      </c>
      <c r="N2564">
        <v>0.02</v>
      </c>
      <c r="O2564">
        <v>0.24</v>
      </c>
    </row>
    <row r="2565" spans="1:15">
      <c r="A2565" t="str">
        <f>"301152"</f>
        <v>301152</v>
      </c>
      <c r="B2565" t="s">
        <v>2603</v>
      </c>
      <c r="C2565">
        <v>-0.65</v>
      </c>
      <c r="D2565">
        <v>26.18</v>
      </c>
      <c r="E2565" t="s">
        <v>16</v>
      </c>
      <c r="F2565" t="s">
        <v>16</v>
      </c>
      <c r="H2565">
        <v>0.11</v>
      </c>
      <c r="I2565">
        <v>3.85</v>
      </c>
      <c r="J2565">
        <v>-2.42</v>
      </c>
      <c r="L2565">
        <v>-0.61</v>
      </c>
      <c r="M2565">
        <v>73.33</v>
      </c>
      <c r="N2565">
        <v>0.04</v>
      </c>
      <c r="O2565">
        <v>0.52</v>
      </c>
    </row>
    <row r="2566" spans="1:15">
      <c r="A2566" t="str">
        <f>"301153"</f>
        <v>301153</v>
      </c>
      <c r="B2566" t="s">
        <v>2604</v>
      </c>
      <c r="C2566">
        <v>-3.23</v>
      </c>
      <c r="D2566">
        <v>17.95</v>
      </c>
      <c r="E2566" t="s">
        <v>16</v>
      </c>
      <c r="F2566" t="s">
        <v>16</v>
      </c>
      <c r="H2566">
        <v>0.34</v>
      </c>
      <c r="I2566">
        <v>-0.44</v>
      </c>
      <c r="J2566">
        <v>-2.97</v>
      </c>
      <c r="L2566">
        <v>-0.59</v>
      </c>
      <c r="M2566">
        <v>8.3</v>
      </c>
      <c r="N2566">
        <v>0</v>
      </c>
      <c r="O2566">
        <v>0.71</v>
      </c>
    </row>
    <row r="2567" spans="1:15">
      <c r="A2567" t="str">
        <f>"301155"</f>
        <v>301155</v>
      </c>
      <c r="B2567" t="s">
        <v>2605</v>
      </c>
      <c r="C2567">
        <v>-0.11</v>
      </c>
      <c r="D2567">
        <v>45.67</v>
      </c>
      <c r="E2567" t="s">
        <v>16</v>
      </c>
      <c r="F2567" t="s">
        <v>16</v>
      </c>
      <c r="H2567">
        <v>-0.1</v>
      </c>
      <c r="I2567">
        <v>-18.5</v>
      </c>
      <c r="J2567">
        <v>-2.12</v>
      </c>
      <c r="L2567">
        <v>-0.22</v>
      </c>
      <c r="M2567">
        <v>13.23</v>
      </c>
      <c r="N2567">
        <v>0</v>
      </c>
      <c r="O2567">
        <v>0.22</v>
      </c>
    </row>
    <row r="2568" spans="1:15">
      <c r="A2568" t="str">
        <f>"301156"</f>
        <v>301156</v>
      </c>
      <c r="B2568" t="s">
        <v>2606</v>
      </c>
      <c r="C2568">
        <v>-0.75</v>
      </c>
      <c r="D2568">
        <v>11.9</v>
      </c>
      <c r="E2568" t="s">
        <v>16</v>
      </c>
      <c r="F2568" t="s">
        <v>16</v>
      </c>
      <c r="H2568">
        <v>-0.49</v>
      </c>
      <c r="I2568">
        <v>-7.18</v>
      </c>
      <c r="J2568">
        <v>-1.65</v>
      </c>
      <c r="L2568">
        <v>-0.58</v>
      </c>
      <c r="M2568">
        <v>45.65</v>
      </c>
      <c r="N2568">
        <v>0.06</v>
      </c>
      <c r="O2568">
        <v>3.51</v>
      </c>
    </row>
    <row r="2569" spans="1:15">
      <c r="A2569" t="str">
        <f>"301157"</f>
        <v>301157</v>
      </c>
      <c r="B2569" t="s">
        <v>2607</v>
      </c>
      <c r="C2569">
        <v>0.79</v>
      </c>
      <c r="D2569">
        <v>71</v>
      </c>
      <c r="E2569" t="s">
        <v>16</v>
      </c>
      <c r="F2569" t="s">
        <v>16</v>
      </c>
      <c r="H2569">
        <v>0</v>
      </c>
      <c r="I2569">
        <v>2.63</v>
      </c>
      <c r="J2569">
        <v>-0.7</v>
      </c>
      <c r="L2569">
        <v>0.4</v>
      </c>
      <c r="M2569">
        <v>5.66</v>
      </c>
      <c r="N2569">
        <v>0</v>
      </c>
      <c r="O2569">
        <v>0.3</v>
      </c>
    </row>
    <row r="2570" spans="1:15">
      <c r="A2570" t="str">
        <f>"301158"</f>
        <v>301158</v>
      </c>
      <c r="B2570" t="s">
        <v>2608</v>
      </c>
      <c r="C2570">
        <v>1.84</v>
      </c>
      <c r="D2570">
        <v>14.91</v>
      </c>
      <c r="E2570" t="s">
        <v>16</v>
      </c>
      <c r="F2570" t="s">
        <v>16</v>
      </c>
      <c r="H2570">
        <v>0</v>
      </c>
      <c r="I2570">
        <v>-2.74</v>
      </c>
      <c r="J2570">
        <v>-2.17</v>
      </c>
      <c r="L2570">
        <v>-1.16</v>
      </c>
      <c r="M2570">
        <v>79.44</v>
      </c>
      <c r="N2570">
        <v>0.05</v>
      </c>
      <c r="O2570">
        <v>1.34</v>
      </c>
    </row>
    <row r="2571" spans="1:15">
      <c r="A2571" t="str">
        <f>"301159"</f>
        <v>301159</v>
      </c>
      <c r="B2571" t="s">
        <v>2609</v>
      </c>
      <c r="C2571">
        <v>1.16</v>
      </c>
      <c r="D2571">
        <v>32.36</v>
      </c>
      <c r="E2571" t="s">
        <v>16</v>
      </c>
      <c r="F2571" t="s">
        <v>16</v>
      </c>
      <c r="H2571">
        <v>-0.14</v>
      </c>
      <c r="I2571">
        <v>-3.66</v>
      </c>
      <c r="J2571">
        <v>-1.16</v>
      </c>
      <c r="L2571">
        <v>0.03</v>
      </c>
      <c r="M2571">
        <v>5.12</v>
      </c>
      <c r="N2571">
        <v>0</v>
      </c>
      <c r="O2571">
        <v>0.22</v>
      </c>
    </row>
    <row r="2572" spans="1:15">
      <c r="A2572" t="str">
        <f>"301160"</f>
        <v>301160</v>
      </c>
      <c r="B2572" t="s">
        <v>2610</v>
      </c>
      <c r="C2572">
        <v>6.31</v>
      </c>
      <c r="D2572">
        <v>46.99</v>
      </c>
      <c r="E2572" t="s">
        <v>16</v>
      </c>
      <c r="F2572" t="s">
        <v>16</v>
      </c>
      <c r="H2572">
        <v>0</v>
      </c>
      <c r="I2572">
        <v>9.36</v>
      </c>
      <c r="J2572">
        <v>-2.06</v>
      </c>
      <c r="L2572">
        <v>-1.13</v>
      </c>
      <c r="M2572">
        <v>33.26</v>
      </c>
      <c r="N2572">
        <v>0.01</v>
      </c>
      <c r="O2572">
        <v>0.34</v>
      </c>
    </row>
    <row r="2573" spans="1:15">
      <c r="A2573" t="str">
        <f>"301161"</f>
        <v>301161</v>
      </c>
      <c r="B2573" t="s">
        <v>2611</v>
      </c>
      <c r="C2573">
        <v>-2.6</v>
      </c>
      <c r="D2573">
        <v>35.55</v>
      </c>
      <c r="E2573" t="s">
        <v>16</v>
      </c>
      <c r="F2573" t="s">
        <v>16</v>
      </c>
      <c r="H2573">
        <v>-0.02</v>
      </c>
      <c r="I2573">
        <v>20.39</v>
      </c>
      <c r="J2573">
        <v>-0.92</v>
      </c>
      <c r="L2573">
        <v>-2.74</v>
      </c>
      <c r="M2573">
        <v>392.28</v>
      </c>
      <c r="N2573">
        <v>0.2</v>
      </c>
      <c r="O2573">
        <v>0.76</v>
      </c>
    </row>
    <row r="2574" spans="1:15">
      <c r="A2574" t="str">
        <f>"301162"</f>
        <v>301162</v>
      </c>
      <c r="B2574" t="s">
        <v>2612</v>
      </c>
      <c r="C2574">
        <v>-2.28</v>
      </c>
      <c r="D2574">
        <v>40.77</v>
      </c>
      <c r="E2574" t="s">
        <v>16</v>
      </c>
      <c r="F2574" t="s">
        <v>16</v>
      </c>
      <c r="H2574">
        <v>-0.38</v>
      </c>
      <c r="I2574">
        <v>-4.39</v>
      </c>
      <c r="J2574">
        <v>-2.21</v>
      </c>
      <c r="L2574">
        <v>-0.22</v>
      </c>
      <c r="M2574">
        <v>23.73</v>
      </c>
      <c r="N2574">
        <v>0.01</v>
      </c>
      <c r="O2574">
        <v>8.14</v>
      </c>
    </row>
    <row r="2575" spans="1:15">
      <c r="A2575" t="str">
        <f>"301163"</f>
        <v>301163</v>
      </c>
      <c r="B2575" t="s">
        <v>2613</v>
      </c>
      <c r="C2575">
        <v>-1.56</v>
      </c>
      <c r="D2575">
        <v>23.4</v>
      </c>
      <c r="E2575" t="s">
        <v>16</v>
      </c>
      <c r="F2575" t="s">
        <v>16</v>
      </c>
      <c r="H2575">
        <v>-0.12</v>
      </c>
      <c r="I2575">
        <v>-7.87</v>
      </c>
      <c r="J2575">
        <v>-1.72</v>
      </c>
      <c r="L2575">
        <v>-1.43</v>
      </c>
      <c r="M2575">
        <v>54.59</v>
      </c>
      <c r="N2575">
        <v>0.06</v>
      </c>
      <c r="O2575">
        <v>2.48</v>
      </c>
    </row>
    <row r="2576" spans="1:15">
      <c r="A2576" t="str">
        <f>"301165"</f>
        <v>301165</v>
      </c>
      <c r="B2576" t="s">
        <v>2614</v>
      </c>
      <c r="C2576">
        <v>3.69</v>
      </c>
      <c r="D2576">
        <v>67.8</v>
      </c>
      <c r="E2576" t="s">
        <v>16</v>
      </c>
      <c r="F2576" t="s">
        <v>16</v>
      </c>
      <c r="H2576">
        <v>-0.09</v>
      </c>
      <c r="I2576">
        <v>4.71</v>
      </c>
      <c r="J2576">
        <v>-1.41</v>
      </c>
      <c r="L2576">
        <v>-0.75</v>
      </c>
      <c r="M2576">
        <v>106.05</v>
      </c>
      <c r="N2576">
        <v>0.01</v>
      </c>
      <c r="O2576">
        <v>0.7</v>
      </c>
    </row>
    <row r="2577" spans="1:15">
      <c r="A2577" t="str">
        <f>"301166"</f>
        <v>301166</v>
      </c>
      <c r="B2577" t="s">
        <v>2615</v>
      </c>
      <c r="C2577">
        <v>0.19</v>
      </c>
      <c r="D2577">
        <v>25.93</v>
      </c>
      <c r="E2577" t="s">
        <v>16</v>
      </c>
      <c r="F2577" t="s">
        <v>16</v>
      </c>
      <c r="H2577">
        <v>-0.3</v>
      </c>
      <c r="I2577">
        <v>-4.18</v>
      </c>
      <c r="J2577">
        <v>-0.88</v>
      </c>
      <c r="L2577">
        <v>-0.58</v>
      </c>
      <c r="M2577">
        <v>42.97</v>
      </c>
      <c r="N2577">
        <v>0.04</v>
      </c>
      <c r="O2577">
        <v>5.57</v>
      </c>
    </row>
    <row r="2578" spans="1:15">
      <c r="A2578" t="str">
        <f>"301167"</f>
        <v>301167</v>
      </c>
      <c r="B2578" t="s">
        <v>2616</v>
      </c>
      <c r="C2578">
        <v>-1.32</v>
      </c>
      <c r="D2578">
        <v>13.45</v>
      </c>
      <c r="E2578" t="s">
        <v>16</v>
      </c>
      <c r="F2578" t="s">
        <v>16</v>
      </c>
      <c r="H2578">
        <v>0.37</v>
      </c>
      <c r="I2578">
        <v>-6.47</v>
      </c>
      <c r="J2578">
        <v>-1.18</v>
      </c>
      <c r="L2578">
        <v>-1.17</v>
      </c>
      <c r="M2578">
        <v>17.51</v>
      </c>
      <c r="N2578">
        <v>0.02</v>
      </c>
      <c r="O2578">
        <v>1.19</v>
      </c>
    </row>
    <row r="2579" spans="1:15">
      <c r="A2579" t="str">
        <f>"301168"</f>
        <v>301168</v>
      </c>
      <c r="B2579" t="s">
        <v>2617</v>
      </c>
      <c r="C2579">
        <v>1.93</v>
      </c>
      <c r="D2579">
        <v>44.88</v>
      </c>
      <c r="E2579" t="s">
        <v>16</v>
      </c>
      <c r="F2579" t="s">
        <v>16</v>
      </c>
      <c r="H2579">
        <v>-0.03</v>
      </c>
      <c r="I2579">
        <v>6.1</v>
      </c>
      <c r="J2579">
        <v>-3.23</v>
      </c>
      <c r="L2579">
        <v>-0.2</v>
      </c>
      <c r="M2579">
        <v>209.59</v>
      </c>
      <c r="N2579">
        <v>0.1</v>
      </c>
      <c r="O2579">
        <v>10.37</v>
      </c>
    </row>
    <row r="2580" spans="1:15">
      <c r="A2580" t="str">
        <f>"301169"</f>
        <v>301169</v>
      </c>
      <c r="B2580" t="s">
        <v>2618</v>
      </c>
      <c r="C2580">
        <v>-0.69</v>
      </c>
      <c r="D2580">
        <v>78.6</v>
      </c>
      <c r="E2580" t="s">
        <v>16</v>
      </c>
      <c r="F2580" t="s">
        <v>16</v>
      </c>
      <c r="H2580">
        <v>-0.08</v>
      </c>
      <c r="I2580">
        <v>0.26</v>
      </c>
      <c r="J2580">
        <v>-3.48</v>
      </c>
      <c r="L2580">
        <v>-0.05</v>
      </c>
      <c r="M2580">
        <v>25.32</v>
      </c>
      <c r="N2580">
        <v>0.01</v>
      </c>
      <c r="O2580">
        <v>0.21</v>
      </c>
    </row>
    <row r="2581" spans="1:15">
      <c r="A2581" t="str">
        <f>"301170"</f>
        <v>301170</v>
      </c>
      <c r="B2581" t="s">
        <v>2619</v>
      </c>
      <c r="C2581">
        <v>-0.81</v>
      </c>
      <c r="D2581">
        <v>23.19</v>
      </c>
      <c r="E2581" t="s">
        <v>16</v>
      </c>
      <c r="F2581" t="s">
        <v>16</v>
      </c>
      <c r="H2581">
        <v>-0.21</v>
      </c>
      <c r="I2581">
        <v>-5.46</v>
      </c>
      <c r="J2581">
        <v>-1.24</v>
      </c>
      <c r="L2581">
        <v>-0.47</v>
      </c>
      <c r="M2581">
        <v>10.24</v>
      </c>
      <c r="N2581">
        <v>0.01</v>
      </c>
      <c r="O2581">
        <v>0.86</v>
      </c>
    </row>
    <row r="2582" spans="1:15">
      <c r="A2582" t="str">
        <f>"301171"</f>
        <v>301171</v>
      </c>
      <c r="B2582" t="s">
        <v>2620</v>
      </c>
      <c r="C2582">
        <v>2.99</v>
      </c>
      <c r="D2582">
        <v>38.2</v>
      </c>
      <c r="E2582" t="s">
        <v>16</v>
      </c>
      <c r="F2582" t="s">
        <v>16</v>
      </c>
      <c r="H2582">
        <v>0.1</v>
      </c>
      <c r="I2582">
        <v>-11.33</v>
      </c>
      <c r="J2582">
        <v>-2</v>
      </c>
      <c r="L2582">
        <v>0.13</v>
      </c>
      <c r="M2582">
        <v>745.4</v>
      </c>
      <c r="N2582">
        <v>0.05</v>
      </c>
      <c r="O2582">
        <v>1.29</v>
      </c>
    </row>
    <row r="2583" spans="1:15">
      <c r="A2583" t="str">
        <f>"301172"</f>
        <v>301172</v>
      </c>
      <c r="B2583" t="s">
        <v>2621</v>
      </c>
      <c r="C2583">
        <v>0.03</v>
      </c>
      <c r="D2583">
        <v>31.81</v>
      </c>
      <c r="E2583" t="s">
        <v>16</v>
      </c>
      <c r="F2583" t="s">
        <v>16</v>
      </c>
      <c r="H2583">
        <v>0.19</v>
      </c>
      <c r="I2583">
        <v>0.32</v>
      </c>
      <c r="J2583">
        <v>-0.53</v>
      </c>
      <c r="L2583">
        <v>-0.72</v>
      </c>
      <c r="M2583">
        <v>8.84</v>
      </c>
      <c r="N2583">
        <v>0</v>
      </c>
      <c r="O2583">
        <v>0.05</v>
      </c>
    </row>
    <row r="2584" spans="1:15">
      <c r="A2584" t="str">
        <f>"301173"</f>
        <v>301173</v>
      </c>
      <c r="B2584" t="s">
        <v>2622</v>
      </c>
      <c r="C2584">
        <v>-1.68</v>
      </c>
      <c r="D2584">
        <v>32.19</v>
      </c>
      <c r="E2584" t="s">
        <v>16</v>
      </c>
      <c r="F2584" t="s">
        <v>16</v>
      </c>
      <c r="H2584">
        <v>-0.02</v>
      </c>
      <c r="I2584">
        <v>-7.21</v>
      </c>
      <c r="J2584">
        <v>-1.62</v>
      </c>
      <c r="L2584">
        <v>-0.24</v>
      </c>
      <c r="M2584">
        <v>5.55</v>
      </c>
      <c r="N2584">
        <v>0.01</v>
      </c>
      <c r="O2584">
        <v>1.42</v>
      </c>
    </row>
    <row r="2585" spans="1:15">
      <c r="A2585" t="str">
        <f>"301175"</f>
        <v>301175</v>
      </c>
      <c r="B2585" t="s">
        <v>2623</v>
      </c>
      <c r="C2585">
        <v>-1.13</v>
      </c>
      <c r="D2585">
        <v>5.24</v>
      </c>
      <c r="E2585" t="s">
        <v>16</v>
      </c>
      <c r="F2585" t="s">
        <v>16</v>
      </c>
      <c r="H2585">
        <v>-0.18</v>
      </c>
      <c r="I2585">
        <v>-6.09</v>
      </c>
      <c r="J2585">
        <v>-1.13</v>
      </c>
      <c r="L2585">
        <v>-0.75</v>
      </c>
      <c r="M2585">
        <v>12.94</v>
      </c>
      <c r="N2585">
        <v>0</v>
      </c>
      <c r="O2585">
        <v>0.89</v>
      </c>
    </row>
    <row r="2586" spans="1:15">
      <c r="A2586" t="str">
        <f>"301176"</f>
        <v>301176</v>
      </c>
      <c r="B2586" t="s">
        <v>2624</v>
      </c>
      <c r="C2586">
        <v>-1.56</v>
      </c>
      <c r="D2586">
        <v>78.64</v>
      </c>
      <c r="E2586" t="s">
        <v>16</v>
      </c>
      <c r="F2586" t="s">
        <v>16</v>
      </c>
      <c r="H2586">
        <v>-0.19</v>
      </c>
      <c r="I2586">
        <v>88.59</v>
      </c>
      <c r="J2586">
        <v>-1.21</v>
      </c>
      <c r="K2586" t="s">
        <v>747</v>
      </c>
      <c r="L2586">
        <v>-2</v>
      </c>
      <c r="M2586">
        <v>1517.26</v>
      </c>
      <c r="N2586">
        <v>0.34</v>
      </c>
      <c r="O2586">
        <v>0.29</v>
      </c>
    </row>
    <row r="2587" spans="1:15">
      <c r="A2587" t="str">
        <f>"301177"</f>
        <v>301177</v>
      </c>
      <c r="B2587" t="s">
        <v>2625</v>
      </c>
      <c r="C2587">
        <v>-1.76</v>
      </c>
      <c r="D2587">
        <v>26.72</v>
      </c>
      <c r="E2587" t="s">
        <v>16</v>
      </c>
      <c r="F2587" t="s">
        <v>16</v>
      </c>
      <c r="H2587">
        <v>-0.06</v>
      </c>
      <c r="I2587">
        <v>12.22</v>
      </c>
      <c r="J2587">
        <v>-2.05</v>
      </c>
      <c r="L2587">
        <v>-0.81</v>
      </c>
      <c r="M2587">
        <v>26.17</v>
      </c>
      <c r="N2587">
        <v>0.02</v>
      </c>
      <c r="O2587">
        <v>3.03</v>
      </c>
    </row>
    <row r="2588" spans="1:15">
      <c r="A2588" t="str">
        <f>"301178"</f>
        <v>301178</v>
      </c>
      <c r="B2588" t="s">
        <v>2626</v>
      </c>
      <c r="C2588">
        <v>0.73</v>
      </c>
      <c r="D2588">
        <v>44.19</v>
      </c>
      <c r="E2588" t="s">
        <v>16</v>
      </c>
      <c r="F2588" t="s">
        <v>16</v>
      </c>
      <c r="H2588">
        <v>0</v>
      </c>
      <c r="I2588">
        <v>20.67</v>
      </c>
      <c r="J2588">
        <v>-3.49</v>
      </c>
      <c r="L2588">
        <v>0.09</v>
      </c>
      <c r="M2588">
        <v>207.26</v>
      </c>
      <c r="N2588">
        <v>0.08</v>
      </c>
      <c r="O2588">
        <v>0.75</v>
      </c>
    </row>
    <row r="2589" spans="1:15">
      <c r="A2589" t="str">
        <f>"301179"</f>
        <v>301179</v>
      </c>
      <c r="B2589" t="s">
        <v>2627</v>
      </c>
      <c r="C2589">
        <v>2.14</v>
      </c>
      <c r="D2589">
        <v>21.51</v>
      </c>
      <c r="E2589" t="s">
        <v>16</v>
      </c>
      <c r="F2589" t="s">
        <v>16</v>
      </c>
      <c r="H2589">
        <v>0.05</v>
      </c>
      <c r="I2589">
        <v>-1.1</v>
      </c>
      <c r="J2589">
        <v>-0.19</v>
      </c>
      <c r="L2589">
        <v>0.09</v>
      </c>
      <c r="M2589">
        <v>3.16</v>
      </c>
      <c r="N2589">
        <v>0</v>
      </c>
      <c r="O2589">
        <v>0.21</v>
      </c>
    </row>
    <row r="2590" spans="1:15">
      <c r="A2590" t="str">
        <f>"301180"</f>
        <v>301180</v>
      </c>
      <c r="B2590" t="s">
        <v>2628</v>
      </c>
      <c r="C2590">
        <v>-1.28</v>
      </c>
      <c r="D2590">
        <v>13.92</v>
      </c>
      <c r="E2590" t="s">
        <v>16</v>
      </c>
      <c r="F2590" t="s">
        <v>16</v>
      </c>
      <c r="H2590">
        <v>-0.28</v>
      </c>
      <c r="I2590">
        <v>-4.85</v>
      </c>
      <c r="J2590">
        <v>-2.66</v>
      </c>
      <c r="L2590">
        <v>-0.99</v>
      </c>
      <c r="M2590">
        <v>4.19</v>
      </c>
      <c r="N2590">
        <v>0</v>
      </c>
      <c r="O2590">
        <v>0.15</v>
      </c>
    </row>
    <row r="2591" spans="1:15">
      <c r="A2591" t="str">
        <f>"301181"</f>
        <v>301181</v>
      </c>
      <c r="B2591" t="s">
        <v>2629</v>
      </c>
      <c r="C2591">
        <v>0.52</v>
      </c>
      <c r="D2591">
        <v>27.18</v>
      </c>
      <c r="E2591" t="s">
        <v>16</v>
      </c>
      <c r="F2591" t="s">
        <v>16</v>
      </c>
      <c r="H2591">
        <v>-0.06</v>
      </c>
      <c r="I2591">
        <v>-11.41</v>
      </c>
      <c r="J2591">
        <v>-3.65</v>
      </c>
      <c r="L2591">
        <v>-0.52</v>
      </c>
      <c r="M2591">
        <v>17.49</v>
      </c>
      <c r="N2591">
        <v>0.01</v>
      </c>
      <c r="O2591">
        <v>3.25</v>
      </c>
    </row>
    <row r="2592" spans="1:15">
      <c r="A2592" t="str">
        <f>"301182"</f>
        <v>301182</v>
      </c>
      <c r="B2592" t="s">
        <v>2630</v>
      </c>
      <c r="C2592">
        <v>2.75</v>
      </c>
      <c r="D2592">
        <v>101</v>
      </c>
      <c r="E2592" t="s">
        <v>16</v>
      </c>
      <c r="F2592" t="s">
        <v>16</v>
      </c>
      <c r="H2592">
        <v>0.22</v>
      </c>
      <c r="I2592">
        <v>18.67</v>
      </c>
      <c r="J2592">
        <v>-0.28</v>
      </c>
      <c r="L2592">
        <v>-0.84</v>
      </c>
      <c r="M2592">
        <v>175.45</v>
      </c>
      <c r="N2592">
        <v>0.05</v>
      </c>
      <c r="O2592">
        <v>1.59</v>
      </c>
    </row>
    <row r="2593" spans="1:15">
      <c r="A2593" t="str">
        <f>"301183"</f>
        <v>301183</v>
      </c>
      <c r="B2593" t="s">
        <v>2631</v>
      </c>
      <c r="C2593">
        <v>2.48</v>
      </c>
      <c r="D2593">
        <v>262.36</v>
      </c>
      <c r="E2593" t="s">
        <v>16</v>
      </c>
      <c r="F2593" t="s">
        <v>16</v>
      </c>
      <c r="H2593">
        <v>-0.23</v>
      </c>
      <c r="I2593">
        <v>16.14</v>
      </c>
      <c r="J2593">
        <v>-0.84</v>
      </c>
      <c r="L2593">
        <v>-1.17</v>
      </c>
      <c r="M2593">
        <v>650.24</v>
      </c>
      <c r="N2593">
        <v>0.06</v>
      </c>
      <c r="O2593">
        <v>0.41</v>
      </c>
    </row>
    <row r="2594" spans="1:15">
      <c r="A2594" t="str">
        <f>"301185"</f>
        <v>301185</v>
      </c>
      <c r="B2594" t="s">
        <v>2632</v>
      </c>
      <c r="C2594">
        <v>-1.78</v>
      </c>
      <c r="D2594">
        <v>16.54</v>
      </c>
      <c r="E2594" t="s">
        <v>16</v>
      </c>
      <c r="F2594" t="s">
        <v>16</v>
      </c>
      <c r="H2594">
        <v>-0.23</v>
      </c>
      <c r="I2594">
        <v>4.68</v>
      </c>
      <c r="J2594">
        <v>-2.42</v>
      </c>
      <c r="L2594">
        <v>-0.77</v>
      </c>
      <c r="M2594">
        <v>19.72</v>
      </c>
      <c r="N2594">
        <v>0.01</v>
      </c>
      <c r="O2594">
        <v>0.8</v>
      </c>
    </row>
    <row r="2595" spans="1:15">
      <c r="A2595" t="str">
        <f>"301186"</f>
        <v>301186</v>
      </c>
      <c r="B2595" t="s">
        <v>2633</v>
      </c>
      <c r="C2595">
        <v>-3.38</v>
      </c>
      <c r="D2595">
        <v>41.2</v>
      </c>
      <c r="E2595" t="s">
        <v>16</v>
      </c>
      <c r="F2595" t="s">
        <v>16</v>
      </c>
      <c r="H2595">
        <v>-0.14</v>
      </c>
      <c r="I2595">
        <v>-6.34</v>
      </c>
      <c r="J2595">
        <v>-4.19</v>
      </c>
      <c r="L2595">
        <v>0.84</v>
      </c>
      <c r="M2595">
        <v>9.46</v>
      </c>
      <c r="N2595">
        <v>0.01</v>
      </c>
      <c r="O2595">
        <v>1.05</v>
      </c>
    </row>
    <row r="2596" spans="1:15">
      <c r="A2596" t="str">
        <f>"301187"</f>
        <v>301187</v>
      </c>
      <c r="B2596" t="s">
        <v>2634</v>
      </c>
      <c r="C2596">
        <v>-1.28</v>
      </c>
      <c r="D2596">
        <v>16.26</v>
      </c>
      <c r="E2596" t="s">
        <v>16</v>
      </c>
      <c r="F2596" t="s">
        <v>16</v>
      </c>
      <c r="H2596">
        <v>-0.17</v>
      </c>
      <c r="I2596">
        <v>-3.67</v>
      </c>
      <c r="J2596">
        <v>-2.93</v>
      </c>
      <c r="L2596">
        <v>-0.55</v>
      </c>
      <c r="M2596">
        <v>14.74</v>
      </c>
      <c r="N2596">
        <v>0.01</v>
      </c>
      <c r="O2596">
        <v>0.94</v>
      </c>
    </row>
    <row r="2597" spans="1:15">
      <c r="A2597" t="str">
        <f>"301188"</f>
        <v>301188</v>
      </c>
      <c r="B2597" t="s">
        <v>2635</v>
      </c>
      <c r="C2597">
        <v>-6.69</v>
      </c>
      <c r="D2597">
        <v>66.86</v>
      </c>
      <c r="E2597" t="s">
        <v>16</v>
      </c>
      <c r="F2597" t="s">
        <v>16</v>
      </c>
      <c r="H2597">
        <v>0.06</v>
      </c>
      <c r="I2597">
        <v>22.81</v>
      </c>
      <c r="J2597">
        <v>-4.44</v>
      </c>
      <c r="L2597">
        <v>-5.23</v>
      </c>
      <c r="M2597">
        <v>3476.48</v>
      </c>
      <c r="N2597">
        <v>0.27</v>
      </c>
      <c r="O2597">
        <v>1.83</v>
      </c>
    </row>
    <row r="2598" spans="1:15">
      <c r="A2598" t="str">
        <f>"301189"</f>
        <v>301189</v>
      </c>
      <c r="B2598" t="s">
        <v>2636</v>
      </c>
      <c r="C2598">
        <v>2.32</v>
      </c>
      <c r="D2598">
        <v>67.02</v>
      </c>
      <c r="E2598" t="s">
        <v>16</v>
      </c>
      <c r="F2598" t="s">
        <v>16</v>
      </c>
      <c r="H2598">
        <v>0</v>
      </c>
      <c r="I2598">
        <v>-6.75</v>
      </c>
      <c r="J2598">
        <v>-3.29</v>
      </c>
      <c r="L2598">
        <v>0</v>
      </c>
      <c r="M2598">
        <v>117.11</v>
      </c>
      <c r="N2598">
        <v>0.03</v>
      </c>
      <c r="O2598">
        <v>0.52</v>
      </c>
    </row>
    <row r="2599" spans="1:15">
      <c r="A2599" t="str">
        <f>"301190"</f>
        <v>301190</v>
      </c>
      <c r="B2599" t="s">
        <v>2637</v>
      </c>
      <c r="C2599">
        <v>-2.72</v>
      </c>
      <c r="D2599">
        <v>18.23</v>
      </c>
      <c r="E2599" t="s">
        <v>16</v>
      </c>
      <c r="F2599" t="s">
        <v>16</v>
      </c>
      <c r="H2599">
        <v>0.28</v>
      </c>
      <c r="I2599">
        <v>-11.89</v>
      </c>
      <c r="J2599">
        <v>-3.03</v>
      </c>
      <c r="L2599">
        <v>-1.23</v>
      </c>
      <c r="M2599">
        <v>13.7</v>
      </c>
      <c r="N2599">
        <v>0.01</v>
      </c>
      <c r="O2599">
        <v>0.56</v>
      </c>
    </row>
    <row r="2600" spans="1:15">
      <c r="A2600" t="str">
        <f>"301191"</f>
        <v>301191</v>
      </c>
      <c r="B2600" t="s">
        <v>2638</v>
      </c>
      <c r="C2600">
        <v>5.39</v>
      </c>
      <c r="D2600">
        <v>110.98</v>
      </c>
      <c r="E2600" t="s">
        <v>16</v>
      </c>
      <c r="F2600" t="s">
        <v>16</v>
      </c>
      <c r="H2600">
        <v>-0.87</v>
      </c>
      <c r="I2600">
        <v>10.15</v>
      </c>
      <c r="J2600">
        <v>-3.43</v>
      </c>
      <c r="L2600">
        <v>0.01</v>
      </c>
      <c r="M2600">
        <v>63.19</v>
      </c>
      <c r="N2600">
        <v>0.01</v>
      </c>
      <c r="O2600">
        <v>0.48</v>
      </c>
    </row>
    <row r="2601" spans="1:15">
      <c r="A2601" t="str">
        <f>"301192"</f>
        <v>301192</v>
      </c>
      <c r="B2601" t="s">
        <v>2639</v>
      </c>
      <c r="C2601">
        <v>0.24</v>
      </c>
      <c r="D2601">
        <v>21.12</v>
      </c>
      <c r="E2601" t="s">
        <v>16</v>
      </c>
      <c r="F2601" t="s">
        <v>16</v>
      </c>
      <c r="H2601">
        <v>-0.04</v>
      </c>
      <c r="I2601">
        <v>-4.09</v>
      </c>
      <c r="J2601">
        <v>-1.31</v>
      </c>
      <c r="L2601">
        <v>0.47</v>
      </c>
      <c r="M2601">
        <v>34.08</v>
      </c>
      <c r="N2601">
        <v>0.05</v>
      </c>
      <c r="O2601">
        <v>0.94</v>
      </c>
    </row>
    <row r="2602" spans="1:15">
      <c r="A2602" t="str">
        <f>"301193"</f>
        <v>301193</v>
      </c>
      <c r="B2602" t="s">
        <v>2640</v>
      </c>
      <c r="C2602">
        <v>-11.72</v>
      </c>
      <c r="D2602">
        <v>20.34</v>
      </c>
      <c r="E2602" t="s">
        <v>16</v>
      </c>
      <c r="F2602" t="s">
        <v>16</v>
      </c>
      <c r="H2602">
        <v>0.3</v>
      </c>
      <c r="I2602">
        <v>0.64</v>
      </c>
      <c r="J2602">
        <v>-11.91</v>
      </c>
      <c r="L2602">
        <v>0.22</v>
      </c>
      <c r="M2602">
        <v>35.1</v>
      </c>
      <c r="N2602">
        <v>0.01</v>
      </c>
      <c r="O2602">
        <v>0.94</v>
      </c>
    </row>
    <row r="2603" spans="1:15">
      <c r="A2603" t="str">
        <f>"301195"</f>
        <v>301195</v>
      </c>
      <c r="B2603" t="s">
        <v>2641</v>
      </c>
      <c r="C2603">
        <v>-1.62</v>
      </c>
      <c r="D2603">
        <v>33.99</v>
      </c>
      <c r="E2603" t="s">
        <v>16</v>
      </c>
      <c r="F2603" t="s">
        <v>16</v>
      </c>
      <c r="H2603">
        <v>0</v>
      </c>
      <c r="I2603">
        <v>25.75</v>
      </c>
      <c r="J2603">
        <v>-1.56</v>
      </c>
      <c r="L2603">
        <v>-0.46</v>
      </c>
      <c r="M2603">
        <v>44.02</v>
      </c>
      <c r="N2603">
        <v>0.03</v>
      </c>
      <c r="O2603">
        <v>1.45</v>
      </c>
    </row>
    <row r="2604" spans="1:15">
      <c r="A2604" t="str">
        <f>"301196"</f>
        <v>301196</v>
      </c>
      <c r="B2604" t="s">
        <v>2642</v>
      </c>
      <c r="C2604">
        <v>0.79</v>
      </c>
      <c r="D2604">
        <v>196.4</v>
      </c>
      <c r="E2604" t="s">
        <v>16</v>
      </c>
      <c r="F2604" t="s">
        <v>16</v>
      </c>
      <c r="H2604">
        <v>-0.38</v>
      </c>
      <c r="I2604">
        <v>44.44</v>
      </c>
      <c r="J2604">
        <v>-2.76</v>
      </c>
      <c r="K2604" t="s">
        <v>57</v>
      </c>
      <c r="L2604">
        <v>-2.49</v>
      </c>
      <c r="M2604">
        <v>1202.7</v>
      </c>
      <c r="N2604">
        <v>0.13</v>
      </c>
      <c r="O2604">
        <v>0.84</v>
      </c>
    </row>
    <row r="2605" spans="1:15">
      <c r="A2605" t="str">
        <f>"301197"</f>
        <v>301197</v>
      </c>
      <c r="B2605" t="s">
        <v>2643</v>
      </c>
      <c r="C2605">
        <v>-2.3</v>
      </c>
      <c r="D2605">
        <v>31.37</v>
      </c>
      <c r="E2605" t="s">
        <v>16</v>
      </c>
      <c r="F2605" t="s">
        <v>16</v>
      </c>
      <c r="H2605">
        <v>-0.09</v>
      </c>
      <c r="I2605">
        <v>1.75</v>
      </c>
      <c r="J2605">
        <v>-2.27</v>
      </c>
      <c r="L2605">
        <v>-1</v>
      </c>
      <c r="M2605">
        <v>27.98</v>
      </c>
      <c r="N2605">
        <v>0.01</v>
      </c>
      <c r="O2605">
        <v>1.26</v>
      </c>
    </row>
    <row r="2606" spans="1:15">
      <c r="A2606" t="str">
        <f>"301198"</f>
        <v>301198</v>
      </c>
      <c r="B2606" t="s">
        <v>2644</v>
      </c>
      <c r="C2606">
        <v>-0.97</v>
      </c>
      <c r="D2606">
        <v>14.25</v>
      </c>
      <c r="E2606" t="s">
        <v>16</v>
      </c>
      <c r="F2606" t="s">
        <v>16</v>
      </c>
      <c r="H2606">
        <v>-0.27</v>
      </c>
      <c r="I2606">
        <v>-20.48</v>
      </c>
      <c r="J2606">
        <v>-2.73</v>
      </c>
      <c r="L2606">
        <v>-0.97</v>
      </c>
      <c r="M2606">
        <v>35.2</v>
      </c>
      <c r="N2606">
        <v>0.03</v>
      </c>
      <c r="O2606">
        <v>0.54</v>
      </c>
    </row>
    <row r="2607" spans="1:15">
      <c r="A2607" t="str">
        <f>"301199"</f>
        <v>301199</v>
      </c>
      <c r="B2607" t="s">
        <v>2645</v>
      </c>
      <c r="C2607">
        <v>0.32</v>
      </c>
      <c r="D2607">
        <v>18.85</v>
      </c>
      <c r="E2607" t="s">
        <v>16</v>
      </c>
      <c r="F2607" t="s">
        <v>16</v>
      </c>
      <c r="H2607">
        <v>-0.15</v>
      </c>
      <c r="I2607">
        <v>-1.21</v>
      </c>
      <c r="J2607">
        <v>-1.52</v>
      </c>
      <c r="L2607">
        <v>0.21</v>
      </c>
      <c r="M2607">
        <v>3.2</v>
      </c>
      <c r="N2607">
        <v>0</v>
      </c>
      <c r="O2607">
        <v>0.17</v>
      </c>
    </row>
    <row r="2608" spans="1:15">
      <c r="A2608" t="str">
        <f>"301200"</f>
        <v>301200</v>
      </c>
      <c r="B2608" t="s">
        <v>2646</v>
      </c>
      <c r="C2608">
        <v>2.72</v>
      </c>
      <c r="D2608">
        <v>337</v>
      </c>
      <c r="E2608" t="s">
        <v>16</v>
      </c>
      <c r="F2608" t="s">
        <v>16</v>
      </c>
      <c r="H2608">
        <v>-0.23</v>
      </c>
      <c r="I2608">
        <v>12.78</v>
      </c>
      <c r="J2608">
        <v>-1.32</v>
      </c>
      <c r="L2608">
        <v>-0.02</v>
      </c>
      <c r="M2608">
        <v>701.92</v>
      </c>
      <c r="N2608">
        <v>0.03</v>
      </c>
      <c r="O2608">
        <v>0.4</v>
      </c>
    </row>
    <row r="2609" spans="1:15">
      <c r="A2609" t="str">
        <f>"301201"</f>
        <v>301201</v>
      </c>
      <c r="B2609" t="s">
        <v>2647</v>
      </c>
      <c r="C2609">
        <v>0.85</v>
      </c>
      <c r="D2609">
        <v>35.72</v>
      </c>
      <c r="E2609" t="s">
        <v>16</v>
      </c>
      <c r="F2609" t="s">
        <v>16</v>
      </c>
      <c r="H2609">
        <v>-0.1</v>
      </c>
      <c r="I2609">
        <v>0.17</v>
      </c>
      <c r="J2609">
        <v>-1.13</v>
      </c>
      <c r="L2609">
        <v>-0.9</v>
      </c>
      <c r="M2609">
        <v>21.76</v>
      </c>
      <c r="N2609">
        <v>0.01</v>
      </c>
      <c r="O2609">
        <v>0.61</v>
      </c>
    </row>
    <row r="2610" spans="1:15">
      <c r="A2610" t="str">
        <f>"301202"</f>
        <v>301202</v>
      </c>
      <c r="B2610" t="s">
        <v>2648</v>
      </c>
      <c r="C2610">
        <v>-0.05</v>
      </c>
      <c r="D2610">
        <v>37</v>
      </c>
      <c r="E2610" t="s">
        <v>16</v>
      </c>
      <c r="F2610" t="s">
        <v>16</v>
      </c>
      <c r="H2610">
        <v>-0.12</v>
      </c>
      <c r="I2610">
        <v>-2.63</v>
      </c>
      <c r="J2610">
        <v>-1.33</v>
      </c>
      <c r="L2610">
        <v>-1.13</v>
      </c>
      <c r="M2610">
        <v>2.93</v>
      </c>
      <c r="N2610">
        <v>0</v>
      </c>
      <c r="O2610">
        <v>1.14</v>
      </c>
    </row>
    <row r="2611" spans="1:15">
      <c r="A2611" t="str">
        <f>"301203"</f>
        <v>301203</v>
      </c>
      <c r="B2611" t="s">
        <v>2649</v>
      </c>
      <c r="C2611">
        <v>-2.13</v>
      </c>
      <c r="D2611">
        <v>42.66</v>
      </c>
      <c r="E2611" t="s">
        <v>16</v>
      </c>
      <c r="F2611" t="s">
        <v>16</v>
      </c>
      <c r="H2611">
        <v>0.78</v>
      </c>
      <c r="I2611">
        <v>-3.59</v>
      </c>
      <c r="J2611">
        <v>-2.11</v>
      </c>
      <c r="L2611">
        <v>-0.09</v>
      </c>
      <c r="M2611">
        <v>3.05</v>
      </c>
      <c r="N2611">
        <v>0</v>
      </c>
      <c r="O2611">
        <v>0.22</v>
      </c>
    </row>
    <row r="2612" spans="1:15">
      <c r="A2612" t="str">
        <f>"301205"</f>
        <v>301205</v>
      </c>
      <c r="B2612" t="s">
        <v>2650</v>
      </c>
      <c r="C2612">
        <v>7.39</v>
      </c>
      <c r="D2612">
        <v>361.02</v>
      </c>
      <c r="E2612" t="s">
        <v>16</v>
      </c>
      <c r="F2612" t="s">
        <v>16</v>
      </c>
      <c r="H2612">
        <v>-0.26</v>
      </c>
      <c r="I2612">
        <v>8.76</v>
      </c>
      <c r="J2612">
        <v>-3.6</v>
      </c>
      <c r="L2612">
        <v>1.42</v>
      </c>
      <c r="M2612">
        <v>1984.5</v>
      </c>
      <c r="N2612">
        <v>0.09</v>
      </c>
      <c r="O2612">
        <v>0.77</v>
      </c>
    </row>
    <row r="2613" spans="1:15">
      <c r="A2613" t="str">
        <f>"301206"</f>
        <v>301206</v>
      </c>
      <c r="B2613" t="s">
        <v>2651</v>
      </c>
      <c r="C2613">
        <v>0.64</v>
      </c>
      <c r="D2613">
        <v>23.74</v>
      </c>
      <c r="E2613" t="s">
        <v>16</v>
      </c>
      <c r="F2613" t="s">
        <v>16</v>
      </c>
      <c r="H2613">
        <v>-0.03</v>
      </c>
      <c r="I2613">
        <v>-1.37</v>
      </c>
      <c r="J2613">
        <v>-0.63</v>
      </c>
      <c r="L2613">
        <v>-0.3</v>
      </c>
      <c r="M2613">
        <v>2.12</v>
      </c>
      <c r="N2613">
        <v>0</v>
      </c>
      <c r="O2613">
        <v>2.25</v>
      </c>
    </row>
    <row r="2614" spans="1:15">
      <c r="A2614" t="str">
        <f>"301207"</f>
        <v>301207</v>
      </c>
      <c r="B2614" t="s">
        <v>2652</v>
      </c>
      <c r="C2614">
        <v>0.55</v>
      </c>
      <c r="D2614">
        <v>16.48</v>
      </c>
      <c r="E2614" t="s">
        <v>16</v>
      </c>
      <c r="F2614" t="s">
        <v>16</v>
      </c>
      <c r="H2614">
        <v>0.12</v>
      </c>
      <c r="I2614">
        <v>2.42</v>
      </c>
      <c r="J2614">
        <v>-1.38</v>
      </c>
      <c r="L2614">
        <v>-0.37</v>
      </c>
      <c r="M2614">
        <v>36.91</v>
      </c>
      <c r="N2614">
        <v>0.02</v>
      </c>
      <c r="O2614">
        <v>2.83</v>
      </c>
    </row>
    <row r="2615" spans="1:15">
      <c r="A2615" t="str">
        <f>"301208"</f>
        <v>301208</v>
      </c>
      <c r="B2615" t="s">
        <v>2653</v>
      </c>
      <c r="C2615">
        <v>2.9</v>
      </c>
      <c r="D2615">
        <v>29.82</v>
      </c>
      <c r="E2615" t="s">
        <v>16</v>
      </c>
      <c r="F2615" t="s">
        <v>16</v>
      </c>
      <c r="H2615">
        <v>-0.09</v>
      </c>
      <c r="I2615">
        <v>-6.75</v>
      </c>
      <c r="J2615">
        <v>-2.49</v>
      </c>
      <c r="L2615">
        <v>-0.97</v>
      </c>
      <c r="M2615">
        <v>11.48</v>
      </c>
      <c r="N2615">
        <v>0.01</v>
      </c>
      <c r="O2615">
        <v>2.22</v>
      </c>
    </row>
    <row r="2616" spans="1:15">
      <c r="A2616" t="str">
        <f>"301209"</f>
        <v>301209</v>
      </c>
      <c r="B2616" t="s">
        <v>2654</v>
      </c>
      <c r="C2616">
        <v>4.62</v>
      </c>
      <c r="D2616">
        <v>61.1</v>
      </c>
      <c r="E2616" t="s">
        <v>16</v>
      </c>
      <c r="F2616" t="s">
        <v>16</v>
      </c>
      <c r="H2616">
        <v>0.15</v>
      </c>
      <c r="I2616">
        <v>-6.5</v>
      </c>
      <c r="J2616">
        <v>-2.97</v>
      </c>
      <c r="L2616">
        <v>0.09</v>
      </c>
      <c r="M2616">
        <v>4.91</v>
      </c>
      <c r="N2616">
        <v>0</v>
      </c>
      <c r="O2616">
        <v>1.68</v>
      </c>
    </row>
    <row r="2617" spans="1:15">
      <c r="A2617" t="str">
        <f>"301210"</f>
        <v>301210</v>
      </c>
      <c r="B2617" t="s">
        <v>2655</v>
      </c>
      <c r="C2617">
        <v>1.57</v>
      </c>
      <c r="D2617">
        <v>31.77</v>
      </c>
      <c r="E2617" t="s">
        <v>16</v>
      </c>
      <c r="F2617" t="s">
        <v>16</v>
      </c>
      <c r="H2617">
        <v>-0.02</v>
      </c>
      <c r="I2617">
        <v>20.25</v>
      </c>
      <c r="J2617">
        <v>-1.12</v>
      </c>
      <c r="L2617">
        <v>-0.38</v>
      </c>
      <c r="M2617">
        <v>43.31</v>
      </c>
      <c r="N2617">
        <v>0.02</v>
      </c>
      <c r="O2617">
        <v>0.46</v>
      </c>
    </row>
    <row r="2618" spans="1:15">
      <c r="A2618" t="str">
        <f>"301211"</f>
        <v>301211</v>
      </c>
      <c r="B2618" t="s">
        <v>2656</v>
      </c>
      <c r="C2618">
        <v>0.75</v>
      </c>
      <c r="D2618">
        <v>9.35</v>
      </c>
      <c r="E2618" t="s">
        <v>16</v>
      </c>
      <c r="F2618" t="s">
        <v>16</v>
      </c>
      <c r="H2618">
        <v>0.11</v>
      </c>
      <c r="I2618">
        <v>-2.81</v>
      </c>
      <c r="J2618">
        <v>-1.06</v>
      </c>
      <c r="L2618">
        <v>0.11</v>
      </c>
      <c r="M2618">
        <v>0.13</v>
      </c>
      <c r="N2618">
        <v>0</v>
      </c>
      <c r="O2618">
        <v>0.05</v>
      </c>
    </row>
    <row r="2619" spans="1:15">
      <c r="A2619" t="str">
        <f>"301212"</f>
        <v>301212</v>
      </c>
      <c r="B2619" t="s">
        <v>2657</v>
      </c>
      <c r="C2619">
        <v>-2.2</v>
      </c>
      <c r="D2619">
        <v>24.9</v>
      </c>
      <c r="E2619" t="s">
        <v>16</v>
      </c>
      <c r="F2619" t="s">
        <v>16</v>
      </c>
      <c r="H2619">
        <v>-0.55</v>
      </c>
      <c r="I2619">
        <v>-7.78</v>
      </c>
      <c r="J2619">
        <v>-4.38</v>
      </c>
      <c r="L2619">
        <v>-0.94</v>
      </c>
      <c r="M2619">
        <v>20.18</v>
      </c>
      <c r="N2619">
        <v>0.03</v>
      </c>
      <c r="O2619">
        <v>0.19</v>
      </c>
    </row>
    <row r="2620" spans="1:15">
      <c r="A2620" t="str">
        <f>"301213"</f>
        <v>301213</v>
      </c>
      <c r="B2620" t="s">
        <v>2658</v>
      </c>
      <c r="C2620">
        <v>10.59</v>
      </c>
      <c r="D2620">
        <v>52.3</v>
      </c>
      <c r="E2620" t="s">
        <v>16</v>
      </c>
      <c r="F2620" t="s">
        <v>16</v>
      </c>
      <c r="H2620">
        <v>0.02</v>
      </c>
      <c r="I2620">
        <v>14.67</v>
      </c>
      <c r="J2620">
        <v>-0.38</v>
      </c>
      <c r="L2620">
        <v>-0.57</v>
      </c>
      <c r="M2620">
        <v>12.89</v>
      </c>
      <c r="N2620">
        <v>0.01</v>
      </c>
      <c r="O2620">
        <v>0.76</v>
      </c>
    </row>
    <row r="2621" spans="1:15">
      <c r="A2621" t="str">
        <f>"301215"</f>
        <v>301215</v>
      </c>
      <c r="B2621" t="s">
        <v>2659</v>
      </c>
      <c r="C2621">
        <v>-0.19</v>
      </c>
      <c r="D2621">
        <v>5.35</v>
      </c>
      <c r="E2621" t="s">
        <v>16</v>
      </c>
      <c r="F2621" t="s">
        <v>16</v>
      </c>
      <c r="H2621">
        <v>0</v>
      </c>
      <c r="I2621">
        <v>-4.46</v>
      </c>
      <c r="J2621">
        <v>-2.9</v>
      </c>
      <c r="L2621">
        <v>-0.93</v>
      </c>
      <c r="M2621">
        <v>25.59</v>
      </c>
      <c r="N2621">
        <v>0.01</v>
      </c>
      <c r="O2621">
        <v>2.87</v>
      </c>
    </row>
    <row r="2622" spans="1:15">
      <c r="A2622" t="str">
        <f>"301216"</f>
        <v>301216</v>
      </c>
      <c r="B2622" t="s">
        <v>2660</v>
      </c>
      <c r="C2622">
        <v>-1.93</v>
      </c>
      <c r="D2622">
        <v>24.33</v>
      </c>
      <c r="E2622" t="s">
        <v>16</v>
      </c>
      <c r="F2622" t="s">
        <v>16</v>
      </c>
      <c r="H2622">
        <v>-0.36</v>
      </c>
      <c r="I2622">
        <v>-0.37</v>
      </c>
      <c r="J2622">
        <v>-3.22</v>
      </c>
      <c r="L2622">
        <v>-0.85</v>
      </c>
      <c r="M2622">
        <v>22.14</v>
      </c>
      <c r="N2622">
        <v>0</v>
      </c>
      <c r="O2622">
        <v>0.26</v>
      </c>
    </row>
    <row r="2623" spans="1:15">
      <c r="A2623" t="str">
        <f>"301217"</f>
        <v>301217</v>
      </c>
      <c r="B2623" t="s">
        <v>2661</v>
      </c>
      <c r="C2623">
        <v>10.08</v>
      </c>
      <c r="D2623">
        <v>200</v>
      </c>
      <c r="E2623" t="s">
        <v>16</v>
      </c>
      <c r="F2623" t="s">
        <v>16</v>
      </c>
      <c r="H2623">
        <v>0.32</v>
      </c>
      <c r="I2623">
        <v>82.23</v>
      </c>
      <c r="J2623">
        <v>-1.06</v>
      </c>
      <c r="K2623" t="s">
        <v>57</v>
      </c>
      <c r="L2623">
        <v>-1.32</v>
      </c>
      <c r="M2623">
        <v>7927.36</v>
      </c>
      <c r="N2623">
        <v>0.19</v>
      </c>
      <c r="O2623">
        <v>0.46</v>
      </c>
    </row>
    <row r="2624" spans="1:15">
      <c r="A2624" t="str">
        <f>"301218"</f>
        <v>301218</v>
      </c>
      <c r="B2624" t="s">
        <v>2662</v>
      </c>
      <c r="C2624">
        <v>-3.09</v>
      </c>
      <c r="D2624">
        <v>44.58</v>
      </c>
      <c r="E2624" t="s">
        <v>16</v>
      </c>
      <c r="F2624" t="s">
        <v>16</v>
      </c>
      <c r="H2624">
        <v>-0.01</v>
      </c>
      <c r="I2624">
        <v>2.06</v>
      </c>
      <c r="J2624">
        <v>-2.81</v>
      </c>
      <c r="L2624">
        <v>-2.39</v>
      </c>
      <c r="M2624">
        <v>405.9</v>
      </c>
      <c r="N2624">
        <v>0.16</v>
      </c>
      <c r="O2624">
        <v>0.91</v>
      </c>
    </row>
    <row r="2625" spans="1:15">
      <c r="A2625" t="str">
        <f>"301219"</f>
        <v>301219</v>
      </c>
      <c r="B2625" t="s">
        <v>2663</v>
      </c>
      <c r="C2625">
        <v>1.2</v>
      </c>
      <c r="D2625">
        <v>59.95</v>
      </c>
      <c r="E2625" t="s">
        <v>16</v>
      </c>
      <c r="F2625" t="s">
        <v>16</v>
      </c>
      <c r="H2625">
        <v>0.08</v>
      </c>
      <c r="I2625">
        <v>3.7</v>
      </c>
      <c r="J2625">
        <v>-2.5</v>
      </c>
      <c r="L2625">
        <v>-1.15</v>
      </c>
      <c r="M2625">
        <v>261.18</v>
      </c>
      <c r="N2625">
        <v>0.03</v>
      </c>
      <c r="O2625">
        <v>1.07</v>
      </c>
    </row>
    <row r="2626" spans="1:15">
      <c r="A2626" t="str">
        <f>"301220"</f>
        <v>301220</v>
      </c>
      <c r="B2626" t="s">
        <v>2664</v>
      </c>
      <c r="C2626">
        <v>-2.59</v>
      </c>
      <c r="D2626">
        <v>35.7</v>
      </c>
      <c r="E2626" t="s">
        <v>16</v>
      </c>
      <c r="F2626" t="s">
        <v>16</v>
      </c>
      <c r="H2626">
        <v>0.06</v>
      </c>
      <c r="I2626">
        <v>-2.46</v>
      </c>
      <c r="J2626">
        <v>-2.94</v>
      </c>
      <c r="L2626">
        <v>0.35</v>
      </c>
      <c r="M2626">
        <v>0.74</v>
      </c>
      <c r="N2626">
        <v>0</v>
      </c>
      <c r="O2626">
        <v>0.04</v>
      </c>
    </row>
    <row r="2627" spans="1:15">
      <c r="A2627" t="str">
        <f>"301221"</f>
        <v>301221</v>
      </c>
      <c r="B2627" t="s">
        <v>2665</v>
      </c>
      <c r="C2627">
        <v>-1.7</v>
      </c>
      <c r="D2627">
        <v>30.15</v>
      </c>
      <c r="E2627" t="s">
        <v>16</v>
      </c>
      <c r="F2627" t="s">
        <v>16</v>
      </c>
      <c r="H2627">
        <v>-0.19</v>
      </c>
      <c r="I2627">
        <v>-0.82</v>
      </c>
      <c r="J2627">
        <v>-2.21</v>
      </c>
      <c r="L2627">
        <v>-0.52</v>
      </c>
      <c r="M2627">
        <v>47.47</v>
      </c>
      <c r="N2627">
        <v>0.02</v>
      </c>
      <c r="O2627">
        <v>5.56</v>
      </c>
    </row>
    <row r="2628" spans="1:15">
      <c r="A2628" t="str">
        <f>"301222"</f>
        <v>301222</v>
      </c>
      <c r="B2628" t="s">
        <v>2666</v>
      </c>
      <c r="C2628">
        <v>3.35</v>
      </c>
      <c r="D2628">
        <v>33.95</v>
      </c>
      <c r="E2628" t="s">
        <v>16</v>
      </c>
      <c r="F2628" t="s">
        <v>16</v>
      </c>
      <c r="H2628">
        <v>0.15</v>
      </c>
      <c r="I2628">
        <v>2.29</v>
      </c>
      <c r="J2628">
        <v>-6.6</v>
      </c>
      <c r="L2628">
        <v>0.03</v>
      </c>
      <c r="M2628">
        <v>137.03</v>
      </c>
      <c r="N2628">
        <v>0.11</v>
      </c>
      <c r="O2628">
        <v>1.72</v>
      </c>
    </row>
    <row r="2629" spans="1:15">
      <c r="A2629" t="str">
        <f>"301223"</f>
        <v>301223</v>
      </c>
      <c r="B2629" t="s">
        <v>2667</v>
      </c>
      <c r="C2629">
        <v>1.99</v>
      </c>
      <c r="D2629">
        <v>16.38</v>
      </c>
      <c r="E2629" t="s">
        <v>16</v>
      </c>
      <c r="F2629" t="s">
        <v>16</v>
      </c>
      <c r="H2629">
        <v>-0.05</v>
      </c>
      <c r="I2629">
        <v>-0.36</v>
      </c>
      <c r="J2629">
        <v>-0.73</v>
      </c>
      <c r="L2629">
        <v>0.06</v>
      </c>
      <c r="M2629">
        <v>3.86</v>
      </c>
      <c r="N2629">
        <v>0</v>
      </c>
      <c r="O2629">
        <v>0.08</v>
      </c>
    </row>
    <row r="2630" spans="1:15">
      <c r="A2630" t="str">
        <f>"301225"</f>
        <v>301225</v>
      </c>
      <c r="B2630" t="s">
        <v>2668</v>
      </c>
      <c r="C2630">
        <v>-1.09</v>
      </c>
      <c r="D2630">
        <v>87.9</v>
      </c>
      <c r="E2630" t="s">
        <v>16</v>
      </c>
      <c r="F2630" t="s">
        <v>16</v>
      </c>
      <c r="H2630">
        <v>0.01</v>
      </c>
      <c r="I2630">
        <v>-7.45</v>
      </c>
      <c r="J2630">
        <v>-2.33</v>
      </c>
      <c r="L2630">
        <v>-0.19</v>
      </c>
      <c r="M2630">
        <v>5.32</v>
      </c>
      <c r="N2630">
        <v>0</v>
      </c>
      <c r="O2630">
        <v>0.12</v>
      </c>
    </row>
    <row r="2631" spans="1:15">
      <c r="A2631" t="str">
        <f>"301226"</f>
        <v>301226</v>
      </c>
      <c r="B2631" t="s">
        <v>2669</v>
      </c>
      <c r="C2631">
        <v>-0.09</v>
      </c>
      <c r="D2631">
        <v>34.72</v>
      </c>
      <c r="E2631" t="s">
        <v>16</v>
      </c>
      <c r="F2631" t="s">
        <v>16</v>
      </c>
      <c r="H2631">
        <v>-0.39</v>
      </c>
      <c r="I2631">
        <v>0.7</v>
      </c>
      <c r="J2631">
        <v>-2.22</v>
      </c>
      <c r="L2631">
        <v>0</v>
      </c>
      <c r="M2631">
        <v>3.48</v>
      </c>
      <c r="N2631">
        <v>0</v>
      </c>
      <c r="O2631">
        <v>0.36</v>
      </c>
    </row>
    <row r="2632" spans="1:15">
      <c r="A2632" t="str">
        <f>"301227"</f>
        <v>301227</v>
      </c>
      <c r="B2632" t="s">
        <v>2670</v>
      </c>
      <c r="C2632">
        <v>2.22</v>
      </c>
      <c r="D2632">
        <v>28.5</v>
      </c>
      <c r="E2632" t="s">
        <v>16</v>
      </c>
      <c r="F2632" t="s">
        <v>16</v>
      </c>
      <c r="H2632">
        <v>-0.34</v>
      </c>
      <c r="I2632">
        <v>26.27</v>
      </c>
      <c r="J2632">
        <v>-1.72</v>
      </c>
      <c r="L2632">
        <v>-0.57</v>
      </c>
      <c r="M2632">
        <v>45.18</v>
      </c>
      <c r="N2632">
        <v>0.04</v>
      </c>
      <c r="O2632">
        <v>3.02</v>
      </c>
    </row>
    <row r="2633" spans="1:15">
      <c r="A2633" t="str">
        <f>"301228"</f>
        <v>301228</v>
      </c>
      <c r="B2633" t="s">
        <v>2671</v>
      </c>
      <c r="C2633">
        <v>-5.1</v>
      </c>
      <c r="D2633">
        <v>79.94</v>
      </c>
      <c r="E2633" t="s">
        <v>16</v>
      </c>
      <c r="F2633" t="s">
        <v>16</v>
      </c>
      <c r="H2633">
        <v>0.11</v>
      </c>
      <c r="I2633">
        <v>5.5</v>
      </c>
      <c r="J2633">
        <v>-4.65</v>
      </c>
      <c r="L2633">
        <v>-0.47</v>
      </c>
      <c r="M2633">
        <v>64.56</v>
      </c>
      <c r="N2633">
        <v>0.01</v>
      </c>
      <c r="O2633">
        <v>0.35</v>
      </c>
    </row>
    <row r="2634" spans="1:15">
      <c r="A2634" t="str">
        <f>"301229"</f>
        <v>301229</v>
      </c>
      <c r="B2634" t="s">
        <v>2672</v>
      </c>
      <c r="C2634">
        <v>-0.45</v>
      </c>
      <c r="D2634">
        <v>13.34</v>
      </c>
      <c r="E2634" t="s">
        <v>16</v>
      </c>
      <c r="F2634" t="s">
        <v>16</v>
      </c>
      <c r="H2634">
        <v>-0.06</v>
      </c>
      <c r="I2634">
        <v>-7.17</v>
      </c>
      <c r="J2634">
        <v>-1.33</v>
      </c>
      <c r="L2634">
        <v>-0.37</v>
      </c>
      <c r="M2634">
        <v>13.62</v>
      </c>
      <c r="N2634">
        <v>0.01</v>
      </c>
      <c r="O2634">
        <v>1.01</v>
      </c>
    </row>
    <row r="2635" spans="1:15">
      <c r="A2635" t="str">
        <f>"301230"</f>
        <v>301230</v>
      </c>
      <c r="B2635" t="s">
        <v>2673</v>
      </c>
      <c r="C2635">
        <v>3.13</v>
      </c>
      <c r="D2635">
        <v>34.58</v>
      </c>
      <c r="E2635" t="s">
        <v>16</v>
      </c>
      <c r="F2635" t="s">
        <v>16</v>
      </c>
      <c r="H2635">
        <v>-0.08</v>
      </c>
      <c r="I2635">
        <v>1.59</v>
      </c>
      <c r="J2635">
        <v>-1.06</v>
      </c>
      <c r="L2635">
        <v>-0.39</v>
      </c>
      <c r="M2635">
        <v>114.23</v>
      </c>
      <c r="N2635">
        <v>0.04</v>
      </c>
      <c r="O2635">
        <v>3.49</v>
      </c>
    </row>
    <row r="2636" spans="1:15">
      <c r="A2636" t="str">
        <f>"301231"</f>
        <v>301231</v>
      </c>
      <c r="B2636" t="s">
        <v>2674</v>
      </c>
      <c r="C2636">
        <v>5.29</v>
      </c>
      <c r="D2636">
        <v>34.64</v>
      </c>
      <c r="E2636" t="s">
        <v>16</v>
      </c>
      <c r="F2636" t="s">
        <v>16</v>
      </c>
      <c r="H2636">
        <v>0.09</v>
      </c>
      <c r="I2636">
        <v>5.9</v>
      </c>
      <c r="J2636">
        <v>-3.24</v>
      </c>
      <c r="L2636">
        <v>0</v>
      </c>
      <c r="M2636">
        <v>83.24</v>
      </c>
      <c r="N2636">
        <v>0.05</v>
      </c>
      <c r="O2636">
        <v>1.14</v>
      </c>
    </row>
    <row r="2637" spans="1:15">
      <c r="A2637" t="str">
        <f>"301232"</f>
        <v>301232</v>
      </c>
      <c r="B2637" t="s">
        <v>2675</v>
      </c>
      <c r="C2637">
        <v>8.98</v>
      </c>
      <c r="D2637">
        <v>141.56</v>
      </c>
      <c r="E2637" t="s">
        <v>16</v>
      </c>
      <c r="F2637" t="s">
        <v>16</v>
      </c>
      <c r="H2637">
        <v>0.03</v>
      </c>
      <c r="I2637">
        <v>11.87</v>
      </c>
      <c r="J2637">
        <v>-2.71</v>
      </c>
      <c r="L2637">
        <v>0.18</v>
      </c>
      <c r="M2637">
        <v>757.94</v>
      </c>
      <c r="N2637">
        <v>0.1</v>
      </c>
      <c r="O2637">
        <v>1.56</v>
      </c>
    </row>
    <row r="2638" spans="1:15">
      <c r="A2638" t="str">
        <f>"301233"</f>
        <v>301233</v>
      </c>
      <c r="B2638" t="s">
        <v>2676</v>
      </c>
      <c r="C2638">
        <v>2.46</v>
      </c>
      <c r="D2638">
        <v>38.29</v>
      </c>
      <c r="E2638" t="s">
        <v>16</v>
      </c>
      <c r="F2638" t="s">
        <v>16</v>
      </c>
      <c r="H2638">
        <v>0.05</v>
      </c>
      <c r="I2638">
        <v>-3.04</v>
      </c>
      <c r="J2638">
        <v>-0.34</v>
      </c>
      <c r="L2638">
        <v>-0.7</v>
      </c>
      <c r="M2638">
        <v>4.23</v>
      </c>
      <c r="N2638">
        <v>0</v>
      </c>
      <c r="O2638">
        <v>1.04</v>
      </c>
    </row>
    <row r="2639" spans="1:15">
      <c r="A2639" t="str">
        <f>"301234"</f>
        <v>301234</v>
      </c>
      <c r="B2639" t="s">
        <v>2677</v>
      </c>
      <c r="C2639">
        <v>-1.79</v>
      </c>
      <c r="D2639">
        <v>38.34</v>
      </c>
      <c r="E2639" t="s">
        <v>16</v>
      </c>
      <c r="F2639" t="s">
        <v>16</v>
      </c>
      <c r="H2639">
        <v>0.08</v>
      </c>
      <c r="I2639">
        <v>-6.1</v>
      </c>
      <c r="J2639">
        <v>-3.21</v>
      </c>
      <c r="L2639">
        <v>-0.64</v>
      </c>
      <c r="M2639">
        <v>29.48</v>
      </c>
      <c r="N2639">
        <v>0.04</v>
      </c>
      <c r="O2639">
        <v>0.53</v>
      </c>
    </row>
    <row r="2640" spans="1:15">
      <c r="A2640" t="str">
        <f>"301235"</f>
        <v>301235</v>
      </c>
      <c r="B2640" t="s">
        <v>2678</v>
      </c>
      <c r="C2640">
        <v>-0.6</v>
      </c>
      <c r="D2640">
        <v>66.37</v>
      </c>
      <c r="E2640" t="s">
        <v>16</v>
      </c>
      <c r="F2640" t="s">
        <v>16</v>
      </c>
      <c r="H2640">
        <v>0.02</v>
      </c>
      <c r="I2640">
        <v>-8.68</v>
      </c>
      <c r="J2640">
        <v>-4.49</v>
      </c>
      <c r="L2640">
        <v>0.06</v>
      </c>
      <c r="M2640">
        <v>551.18</v>
      </c>
      <c r="N2640">
        <v>0.15</v>
      </c>
      <c r="O2640">
        <v>5.22</v>
      </c>
    </row>
    <row r="2641" spans="1:15">
      <c r="A2641" t="str">
        <f>"301236"</f>
        <v>301236</v>
      </c>
      <c r="B2641" t="s">
        <v>2679</v>
      </c>
      <c r="C2641">
        <v>0.21</v>
      </c>
      <c r="D2641">
        <v>38.56</v>
      </c>
      <c r="E2641" t="s">
        <v>16</v>
      </c>
      <c r="F2641" t="s">
        <v>16</v>
      </c>
      <c r="H2641">
        <v>-0.22</v>
      </c>
      <c r="I2641">
        <v>-7.15</v>
      </c>
      <c r="J2641">
        <v>-1.58</v>
      </c>
      <c r="L2641">
        <v>-0.78</v>
      </c>
      <c r="M2641">
        <v>844.11</v>
      </c>
      <c r="N2641">
        <v>0.04</v>
      </c>
      <c r="O2641">
        <v>1.98</v>
      </c>
    </row>
    <row r="2642" spans="1:15">
      <c r="A2642" t="str">
        <f>"301237"</f>
        <v>301237</v>
      </c>
      <c r="B2642" t="s">
        <v>2680</v>
      </c>
      <c r="C2642">
        <v>-2.48</v>
      </c>
      <c r="D2642">
        <v>70.45</v>
      </c>
      <c r="E2642" t="s">
        <v>16</v>
      </c>
      <c r="F2642" t="s">
        <v>16</v>
      </c>
      <c r="H2642">
        <v>0</v>
      </c>
      <c r="I2642">
        <v>10.08</v>
      </c>
      <c r="J2642">
        <v>-2.89</v>
      </c>
      <c r="L2642">
        <v>0.43</v>
      </c>
      <c r="M2642">
        <v>39.18</v>
      </c>
      <c r="N2642">
        <v>0.01</v>
      </c>
      <c r="O2642">
        <v>0.27</v>
      </c>
    </row>
    <row r="2643" spans="1:15">
      <c r="A2643" t="str">
        <f>"301238"</f>
        <v>301238</v>
      </c>
      <c r="B2643" t="s">
        <v>2681</v>
      </c>
      <c r="C2643">
        <v>-3.52</v>
      </c>
      <c r="D2643">
        <v>25.52</v>
      </c>
      <c r="E2643" t="s">
        <v>16</v>
      </c>
      <c r="F2643" t="s">
        <v>16</v>
      </c>
      <c r="H2643">
        <v>0.16</v>
      </c>
      <c r="I2643">
        <v>7.5</v>
      </c>
      <c r="J2643">
        <v>-3.15</v>
      </c>
      <c r="L2643">
        <v>-2.46</v>
      </c>
      <c r="M2643">
        <v>1103.98</v>
      </c>
      <c r="N2643">
        <v>0.21</v>
      </c>
      <c r="O2643">
        <v>2.12</v>
      </c>
    </row>
    <row r="2644" spans="1:15">
      <c r="A2644" t="str">
        <f>"301239"</f>
        <v>301239</v>
      </c>
      <c r="B2644" t="s">
        <v>2682</v>
      </c>
      <c r="C2644">
        <v>-0.18</v>
      </c>
      <c r="D2644">
        <v>32.65</v>
      </c>
      <c r="E2644" t="s">
        <v>16</v>
      </c>
      <c r="F2644" t="s">
        <v>16</v>
      </c>
      <c r="H2644">
        <v>-0.05</v>
      </c>
      <c r="I2644">
        <v>-3.06</v>
      </c>
      <c r="J2644">
        <v>-1.98</v>
      </c>
      <c r="L2644">
        <v>-1.19</v>
      </c>
      <c r="M2644">
        <v>8.4</v>
      </c>
      <c r="N2644">
        <v>0</v>
      </c>
      <c r="O2644">
        <v>0.34</v>
      </c>
    </row>
    <row r="2645" spans="1:15">
      <c r="A2645" t="str">
        <f>"301246"</f>
        <v>301246</v>
      </c>
      <c r="B2645" t="s">
        <v>2683</v>
      </c>
      <c r="C2645">
        <v>-0.75</v>
      </c>
      <c r="D2645">
        <v>27.65</v>
      </c>
      <c r="E2645" t="s">
        <v>16</v>
      </c>
      <c r="F2645" t="s">
        <v>16</v>
      </c>
      <c r="H2645">
        <v>-0.06</v>
      </c>
      <c r="I2645">
        <v>-6.56</v>
      </c>
      <c r="J2645">
        <v>-2.23</v>
      </c>
      <c r="L2645">
        <v>-0.47</v>
      </c>
      <c r="M2645">
        <v>70.43</v>
      </c>
      <c r="N2645">
        <v>0.02</v>
      </c>
      <c r="O2645">
        <v>0.57</v>
      </c>
    </row>
    <row r="2646" spans="1:15">
      <c r="A2646" t="str">
        <f>"301248"</f>
        <v>301248</v>
      </c>
      <c r="B2646" t="s">
        <v>2684</v>
      </c>
      <c r="C2646">
        <v>0.05</v>
      </c>
      <c r="D2646">
        <v>73.33</v>
      </c>
      <c r="E2646" t="s">
        <v>16</v>
      </c>
      <c r="F2646" t="s">
        <v>16</v>
      </c>
      <c r="H2646">
        <v>0.04</v>
      </c>
      <c r="I2646">
        <v>-0.72</v>
      </c>
      <c r="J2646">
        <v>-2.51</v>
      </c>
      <c r="L2646">
        <v>0.25</v>
      </c>
      <c r="M2646">
        <v>180</v>
      </c>
      <c r="N2646">
        <v>0.02</v>
      </c>
      <c r="O2646">
        <v>5.44</v>
      </c>
    </row>
    <row r="2647" spans="1:15">
      <c r="A2647" t="str">
        <f>"301251"</f>
        <v>301251</v>
      </c>
      <c r="B2647" t="s">
        <v>2685</v>
      </c>
      <c r="C2647">
        <v>-0.18</v>
      </c>
      <c r="D2647">
        <v>54.26</v>
      </c>
      <c r="E2647" t="s">
        <v>16</v>
      </c>
      <c r="F2647" t="s">
        <v>16</v>
      </c>
      <c r="H2647">
        <v>-0.19</v>
      </c>
      <c r="I2647">
        <v>12.81</v>
      </c>
      <c r="J2647">
        <v>-1.11</v>
      </c>
      <c r="L2647">
        <v>-0.72</v>
      </c>
      <c r="M2647">
        <v>153.27</v>
      </c>
      <c r="N2647">
        <v>0.04</v>
      </c>
      <c r="O2647">
        <v>0.87</v>
      </c>
    </row>
    <row r="2648" spans="1:15">
      <c r="A2648" t="str">
        <f>"301252"</f>
        <v>301252</v>
      </c>
      <c r="B2648" t="s">
        <v>2686</v>
      </c>
      <c r="C2648">
        <v>5.78</v>
      </c>
      <c r="D2648">
        <v>44.08</v>
      </c>
      <c r="E2648" t="s">
        <v>16</v>
      </c>
      <c r="F2648" t="s">
        <v>16</v>
      </c>
      <c r="H2648">
        <v>-0.49</v>
      </c>
      <c r="I2648">
        <v>27.92</v>
      </c>
      <c r="J2648">
        <v>-1.39</v>
      </c>
      <c r="L2648">
        <v>-1.2</v>
      </c>
      <c r="M2648">
        <v>62.58</v>
      </c>
      <c r="N2648">
        <v>0.03</v>
      </c>
      <c r="O2648">
        <v>0.37</v>
      </c>
    </row>
    <row r="2649" spans="1:15">
      <c r="A2649" t="str">
        <f>"301255"</f>
        <v>301255</v>
      </c>
      <c r="B2649" t="s">
        <v>2687</v>
      </c>
      <c r="C2649">
        <v>0.04</v>
      </c>
      <c r="D2649">
        <v>23.84</v>
      </c>
      <c r="E2649" t="s">
        <v>16</v>
      </c>
      <c r="F2649" t="s">
        <v>16</v>
      </c>
      <c r="H2649">
        <v>-0.16</v>
      </c>
      <c r="I2649">
        <v>-1.12</v>
      </c>
      <c r="J2649">
        <v>-1.2</v>
      </c>
      <c r="L2649">
        <v>-0.88</v>
      </c>
      <c r="M2649">
        <v>18.42</v>
      </c>
      <c r="N2649">
        <v>0.02</v>
      </c>
      <c r="O2649">
        <v>2.11</v>
      </c>
    </row>
    <row r="2650" spans="1:15">
      <c r="A2650" t="str">
        <f>"301256"</f>
        <v>301256</v>
      </c>
      <c r="B2650" t="s">
        <v>2688</v>
      </c>
      <c r="C2650">
        <v>-2.93</v>
      </c>
      <c r="D2650">
        <v>11.26</v>
      </c>
      <c r="E2650" t="s">
        <v>16</v>
      </c>
      <c r="F2650" t="s">
        <v>16</v>
      </c>
      <c r="H2650">
        <v>-0.08</v>
      </c>
      <c r="I2650">
        <v>-3.26</v>
      </c>
      <c r="J2650">
        <v>-3.26</v>
      </c>
      <c r="L2650">
        <v>-0.09</v>
      </c>
      <c r="M2650">
        <v>6.95</v>
      </c>
      <c r="N2650">
        <v>0</v>
      </c>
      <c r="O2650">
        <v>0.33</v>
      </c>
    </row>
    <row r="2651" spans="1:15">
      <c r="A2651" t="str">
        <f>"301257"</f>
        <v>301257</v>
      </c>
      <c r="B2651" t="s">
        <v>2689</v>
      </c>
      <c r="C2651">
        <v>1.18</v>
      </c>
      <c r="D2651">
        <v>40.38</v>
      </c>
      <c r="E2651" t="s">
        <v>16</v>
      </c>
      <c r="F2651" t="s">
        <v>16</v>
      </c>
      <c r="H2651">
        <v>-0.09</v>
      </c>
      <c r="I2651">
        <v>-2.04</v>
      </c>
      <c r="J2651">
        <v>-1.92</v>
      </c>
      <c r="L2651">
        <v>-0.9</v>
      </c>
      <c r="M2651">
        <v>3.96</v>
      </c>
      <c r="N2651">
        <v>0</v>
      </c>
      <c r="O2651">
        <v>0.26</v>
      </c>
    </row>
    <row r="2652" spans="1:15">
      <c r="A2652" t="str">
        <f>"301258"</f>
        <v>301258</v>
      </c>
      <c r="B2652" t="s">
        <v>2690</v>
      </c>
      <c r="C2652">
        <v>-0.17</v>
      </c>
      <c r="D2652">
        <v>24.06</v>
      </c>
      <c r="E2652" t="s">
        <v>16</v>
      </c>
      <c r="F2652" t="s">
        <v>16</v>
      </c>
      <c r="H2652">
        <v>-0.24</v>
      </c>
      <c r="I2652">
        <v>-5.2</v>
      </c>
      <c r="J2652">
        <v>-1.6</v>
      </c>
      <c r="L2652">
        <v>1</v>
      </c>
      <c r="M2652">
        <v>20.2</v>
      </c>
      <c r="N2652">
        <v>0.02</v>
      </c>
      <c r="O2652">
        <v>0.17</v>
      </c>
    </row>
    <row r="2653" spans="1:15">
      <c r="A2653" t="str">
        <f>"301259"</f>
        <v>301259</v>
      </c>
      <c r="B2653" t="s">
        <v>2691</v>
      </c>
      <c r="C2653">
        <v>-1.38</v>
      </c>
      <c r="D2653">
        <v>25.02</v>
      </c>
      <c r="E2653" t="s">
        <v>16</v>
      </c>
      <c r="F2653" t="s">
        <v>16</v>
      </c>
      <c r="H2653">
        <v>0.04</v>
      </c>
      <c r="I2653">
        <v>7.2</v>
      </c>
      <c r="J2653">
        <v>-2.53</v>
      </c>
      <c r="L2653">
        <v>-1.02</v>
      </c>
      <c r="M2653">
        <v>26.87</v>
      </c>
      <c r="N2653">
        <v>0.01</v>
      </c>
      <c r="O2653">
        <v>0.34</v>
      </c>
    </row>
    <row r="2654" spans="1:15">
      <c r="A2654" t="str">
        <f>"301260"</f>
        <v>301260</v>
      </c>
      <c r="B2654" t="s">
        <v>2692</v>
      </c>
      <c r="C2654">
        <v>0.52</v>
      </c>
      <c r="D2654">
        <v>15.41</v>
      </c>
      <c r="E2654" t="s">
        <v>16</v>
      </c>
      <c r="F2654" t="s">
        <v>16</v>
      </c>
      <c r="H2654">
        <v>0.26</v>
      </c>
      <c r="I2654">
        <v>1.12</v>
      </c>
      <c r="J2654">
        <v>-2.59</v>
      </c>
      <c r="L2654">
        <v>0.07</v>
      </c>
      <c r="M2654">
        <v>13.81</v>
      </c>
      <c r="N2654">
        <v>0.01</v>
      </c>
      <c r="O2654">
        <v>1.03</v>
      </c>
    </row>
    <row r="2655" spans="1:15">
      <c r="A2655" t="str">
        <f>"301261"</f>
        <v>301261</v>
      </c>
      <c r="B2655" t="s">
        <v>2693</v>
      </c>
      <c r="C2655">
        <v>3.12</v>
      </c>
      <c r="D2655">
        <v>90.9</v>
      </c>
      <c r="E2655" t="s">
        <v>16</v>
      </c>
      <c r="F2655" t="s">
        <v>16</v>
      </c>
      <c r="H2655">
        <v>-0.02</v>
      </c>
      <c r="I2655">
        <v>10.29</v>
      </c>
      <c r="J2655">
        <v>-1.34</v>
      </c>
      <c r="L2655">
        <v>-0.05</v>
      </c>
      <c r="M2655">
        <v>82.82</v>
      </c>
      <c r="N2655">
        <v>0.03</v>
      </c>
      <c r="O2655">
        <v>0.8</v>
      </c>
    </row>
    <row r="2656" spans="1:15">
      <c r="A2656" t="str">
        <f>"301262"</f>
        <v>301262</v>
      </c>
      <c r="B2656" t="s">
        <v>2694</v>
      </c>
      <c r="C2656">
        <v>0.56</v>
      </c>
      <c r="D2656">
        <v>19.62</v>
      </c>
      <c r="E2656" t="s">
        <v>16</v>
      </c>
      <c r="F2656" t="s">
        <v>16</v>
      </c>
      <c r="H2656">
        <v>0</v>
      </c>
      <c r="I2656">
        <v>-2.44</v>
      </c>
      <c r="J2656">
        <v>-1.8</v>
      </c>
      <c r="L2656">
        <v>-0.31</v>
      </c>
      <c r="M2656">
        <v>3.5</v>
      </c>
      <c r="N2656">
        <v>0</v>
      </c>
      <c r="O2656">
        <v>0.51</v>
      </c>
    </row>
    <row r="2657" spans="1:15">
      <c r="A2657" t="str">
        <f>"301263"</f>
        <v>301263</v>
      </c>
      <c r="B2657" t="s">
        <v>2695</v>
      </c>
      <c r="C2657">
        <v>4.59</v>
      </c>
      <c r="D2657">
        <v>20.27</v>
      </c>
      <c r="E2657" t="s">
        <v>16</v>
      </c>
      <c r="F2657" t="s">
        <v>16</v>
      </c>
      <c r="H2657">
        <v>0.15</v>
      </c>
      <c r="I2657">
        <v>7.76</v>
      </c>
      <c r="J2657">
        <v>-1.6</v>
      </c>
      <c r="L2657">
        <v>0.05</v>
      </c>
      <c r="M2657">
        <v>31.8</v>
      </c>
      <c r="N2657">
        <v>0.01</v>
      </c>
      <c r="O2657">
        <v>1.09</v>
      </c>
    </row>
    <row r="2658" spans="1:15">
      <c r="A2658" t="str">
        <f>"301265"</f>
        <v>301265</v>
      </c>
      <c r="B2658" t="s">
        <v>2696</v>
      </c>
      <c r="C2658">
        <v>4.15</v>
      </c>
      <c r="D2658">
        <v>28.12</v>
      </c>
      <c r="E2658" t="s">
        <v>16</v>
      </c>
      <c r="F2658" t="s">
        <v>16</v>
      </c>
      <c r="H2658">
        <v>0.32</v>
      </c>
      <c r="I2658">
        <v>4.3</v>
      </c>
      <c r="J2658">
        <v>-1.19</v>
      </c>
      <c r="L2658">
        <v>-0.37</v>
      </c>
      <c r="M2658">
        <v>30.94</v>
      </c>
      <c r="N2658">
        <v>0.01</v>
      </c>
      <c r="O2658">
        <v>0.43</v>
      </c>
    </row>
    <row r="2659" spans="1:15">
      <c r="A2659" t="str">
        <f>"301266"</f>
        <v>301266</v>
      </c>
      <c r="B2659" t="s">
        <v>2697</v>
      </c>
      <c r="C2659">
        <v>-3.07</v>
      </c>
      <c r="D2659">
        <v>25.61</v>
      </c>
      <c r="E2659" t="s">
        <v>16</v>
      </c>
      <c r="F2659" t="s">
        <v>16</v>
      </c>
      <c r="H2659">
        <v>0</v>
      </c>
      <c r="I2659">
        <v>-2.18</v>
      </c>
      <c r="J2659">
        <v>-4.55</v>
      </c>
      <c r="L2659">
        <v>-0.95</v>
      </c>
      <c r="M2659">
        <v>537.69</v>
      </c>
      <c r="N2659">
        <v>0.34</v>
      </c>
      <c r="O2659">
        <v>19.02</v>
      </c>
    </row>
    <row r="2660" spans="1:15">
      <c r="A2660" t="str">
        <f>"301267"</f>
        <v>301267</v>
      </c>
      <c r="B2660" t="s">
        <v>2698</v>
      </c>
      <c r="C2660">
        <v>-0.19</v>
      </c>
      <c r="D2660">
        <v>16.18</v>
      </c>
      <c r="E2660" t="s">
        <v>16</v>
      </c>
      <c r="F2660" t="s">
        <v>16</v>
      </c>
      <c r="H2660">
        <v>-0.05</v>
      </c>
      <c r="I2660">
        <v>-3.11</v>
      </c>
      <c r="J2660">
        <v>-1.94</v>
      </c>
      <c r="L2660">
        <v>-0.06</v>
      </c>
      <c r="M2660">
        <v>4.37</v>
      </c>
      <c r="N2660">
        <v>0</v>
      </c>
      <c r="O2660">
        <v>0.29</v>
      </c>
    </row>
    <row r="2661" spans="1:15">
      <c r="A2661" t="str">
        <f>"301268"</f>
        <v>301268</v>
      </c>
      <c r="B2661" t="s">
        <v>2699</v>
      </c>
      <c r="C2661">
        <v>0.49</v>
      </c>
      <c r="D2661">
        <v>16.32</v>
      </c>
      <c r="E2661" t="s">
        <v>16</v>
      </c>
      <c r="F2661" t="s">
        <v>16</v>
      </c>
      <c r="H2661">
        <v>0.12</v>
      </c>
      <c r="I2661">
        <v>-1.33</v>
      </c>
      <c r="J2661">
        <v>-0.06</v>
      </c>
      <c r="L2661">
        <v>-0.31</v>
      </c>
      <c r="M2661">
        <v>4.86</v>
      </c>
      <c r="N2661">
        <v>0</v>
      </c>
      <c r="O2661">
        <v>0.09</v>
      </c>
    </row>
    <row r="2662" spans="1:15">
      <c r="A2662" t="str">
        <f>"301269"</f>
        <v>301269</v>
      </c>
      <c r="B2662" t="s">
        <v>2700</v>
      </c>
      <c r="C2662">
        <v>-0.96</v>
      </c>
      <c r="D2662">
        <v>104</v>
      </c>
      <c r="E2662" t="s">
        <v>16</v>
      </c>
      <c r="F2662" t="s">
        <v>16</v>
      </c>
      <c r="H2662">
        <v>-0.03</v>
      </c>
      <c r="I2662">
        <v>0.36</v>
      </c>
      <c r="J2662">
        <v>-0.95</v>
      </c>
      <c r="L2662">
        <v>-0.96</v>
      </c>
      <c r="M2662">
        <v>879.84</v>
      </c>
      <c r="N2662">
        <v>0.04</v>
      </c>
      <c r="O2662">
        <v>0.75</v>
      </c>
    </row>
    <row r="2663" spans="1:15">
      <c r="A2663" t="str">
        <f>"301270"</f>
        <v>301270</v>
      </c>
      <c r="B2663" t="s">
        <v>2701</v>
      </c>
      <c r="C2663">
        <v>-2.57</v>
      </c>
      <c r="D2663">
        <v>28.48</v>
      </c>
      <c r="E2663" t="s">
        <v>16</v>
      </c>
      <c r="F2663" t="s">
        <v>16</v>
      </c>
      <c r="H2663">
        <v>0</v>
      </c>
      <c r="I2663">
        <v>-9.1</v>
      </c>
      <c r="J2663">
        <v>-3.39</v>
      </c>
      <c r="L2663">
        <v>0.03</v>
      </c>
      <c r="M2663">
        <v>0.88</v>
      </c>
      <c r="N2663">
        <v>0</v>
      </c>
      <c r="O2663">
        <v>0.08</v>
      </c>
    </row>
    <row r="2664" spans="1:15">
      <c r="A2664" t="str">
        <f>"301272"</f>
        <v>301272</v>
      </c>
      <c r="B2664" t="s">
        <v>2702</v>
      </c>
      <c r="C2664">
        <v>0.08</v>
      </c>
      <c r="D2664">
        <v>36.29</v>
      </c>
      <c r="E2664" t="s">
        <v>16</v>
      </c>
      <c r="F2664" t="s">
        <v>16</v>
      </c>
      <c r="H2664">
        <v>-0.1</v>
      </c>
      <c r="I2664">
        <v>-4.47</v>
      </c>
      <c r="J2664">
        <v>-2.73</v>
      </c>
      <c r="L2664">
        <v>0</v>
      </c>
      <c r="M2664">
        <v>6.53</v>
      </c>
      <c r="N2664">
        <v>0.01</v>
      </c>
      <c r="O2664">
        <v>0.34</v>
      </c>
    </row>
    <row r="2665" spans="1:15">
      <c r="A2665" t="str">
        <f>"301273"</f>
        <v>301273</v>
      </c>
      <c r="B2665" t="s">
        <v>2703</v>
      </c>
      <c r="C2665">
        <v>-1.89</v>
      </c>
      <c r="D2665">
        <v>32.22</v>
      </c>
      <c r="E2665" t="s">
        <v>16</v>
      </c>
      <c r="F2665" t="s">
        <v>16</v>
      </c>
      <c r="H2665">
        <v>0.06</v>
      </c>
      <c r="I2665">
        <v>-6.04</v>
      </c>
      <c r="J2665">
        <v>-1.83</v>
      </c>
      <c r="L2665">
        <v>-0.7</v>
      </c>
      <c r="M2665">
        <v>15.33</v>
      </c>
      <c r="N2665">
        <v>0.01</v>
      </c>
      <c r="O2665">
        <v>0.33</v>
      </c>
    </row>
    <row r="2666" spans="1:15">
      <c r="A2666" t="str">
        <f>"301275"</f>
        <v>301275</v>
      </c>
      <c r="B2666" t="s">
        <v>2704</v>
      </c>
      <c r="C2666">
        <v>-2.4</v>
      </c>
      <c r="D2666">
        <v>44.8</v>
      </c>
      <c r="E2666" t="s">
        <v>16</v>
      </c>
      <c r="F2666" t="s">
        <v>16</v>
      </c>
      <c r="H2666">
        <v>0.02</v>
      </c>
      <c r="I2666">
        <v>4.87</v>
      </c>
      <c r="J2666">
        <v>-2.44</v>
      </c>
      <c r="L2666">
        <v>0.02</v>
      </c>
      <c r="M2666">
        <v>242.4</v>
      </c>
      <c r="N2666">
        <v>0.03</v>
      </c>
      <c r="O2666">
        <v>2.58</v>
      </c>
    </row>
    <row r="2667" spans="1:15">
      <c r="A2667" t="str">
        <f>"301276"</f>
        <v>301276</v>
      </c>
      <c r="B2667" t="s">
        <v>2705</v>
      </c>
      <c r="C2667">
        <v>-7.67</v>
      </c>
      <c r="D2667">
        <v>24.06</v>
      </c>
      <c r="E2667" t="s">
        <v>16</v>
      </c>
      <c r="F2667" t="s">
        <v>16</v>
      </c>
      <c r="H2667">
        <v>0.12</v>
      </c>
      <c r="I2667">
        <v>-1.47</v>
      </c>
      <c r="J2667">
        <v>-6.31</v>
      </c>
      <c r="L2667">
        <v>-1.96</v>
      </c>
      <c r="M2667">
        <v>245.28</v>
      </c>
      <c r="N2667">
        <v>0.21</v>
      </c>
      <c r="O2667">
        <v>0.33</v>
      </c>
    </row>
    <row r="2668" spans="1:15">
      <c r="A2668" t="str">
        <f>"301277"</f>
        <v>301277</v>
      </c>
      <c r="B2668" t="s">
        <v>2706</v>
      </c>
      <c r="C2668">
        <v>0.33</v>
      </c>
      <c r="D2668">
        <v>9</v>
      </c>
      <c r="E2668" t="s">
        <v>16</v>
      </c>
      <c r="F2668" t="s">
        <v>16</v>
      </c>
      <c r="H2668">
        <v>0.22</v>
      </c>
      <c r="I2668">
        <v>-3.85</v>
      </c>
      <c r="J2668">
        <v>-1.42</v>
      </c>
      <c r="L2668">
        <v>0</v>
      </c>
      <c r="M2668">
        <v>0</v>
      </c>
      <c r="N2668">
        <v>0</v>
      </c>
      <c r="O2668">
        <v>0</v>
      </c>
    </row>
    <row r="2669" spans="1:15">
      <c r="A2669" t="str">
        <f>"301278"</f>
        <v>301278</v>
      </c>
      <c r="B2669" t="s">
        <v>2707</v>
      </c>
      <c r="C2669">
        <v>-2.91</v>
      </c>
      <c r="D2669">
        <v>31.7</v>
      </c>
      <c r="E2669" t="s">
        <v>16</v>
      </c>
      <c r="F2669" t="s">
        <v>16</v>
      </c>
      <c r="H2669">
        <v>-0.15</v>
      </c>
      <c r="I2669">
        <v>-7.23</v>
      </c>
      <c r="J2669">
        <v>-3.68</v>
      </c>
      <c r="L2669">
        <v>0</v>
      </c>
      <c r="M2669">
        <v>1.63</v>
      </c>
      <c r="N2669">
        <v>0</v>
      </c>
      <c r="O2669" t="s">
        <v>16</v>
      </c>
    </row>
    <row r="2670" spans="1:15">
      <c r="A2670" t="str">
        <f>"301279"</f>
        <v>301279</v>
      </c>
      <c r="B2670" t="s">
        <v>2708</v>
      </c>
      <c r="C2670">
        <v>-1.96</v>
      </c>
      <c r="D2670">
        <v>24.06</v>
      </c>
      <c r="E2670" t="s">
        <v>16</v>
      </c>
      <c r="F2670" t="s">
        <v>16</v>
      </c>
      <c r="H2670">
        <v>-0.81</v>
      </c>
      <c r="I2670">
        <v>14.08</v>
      </c>
      <c r="J2670">
        <v>-2.75</v>
      </c>
      <c r="L2670">
        <v>-0.57</v>
      </c>
      <c r="M2670">
        <v>8.05</v>
      </c>
      <c r="N2670">
        <v>0.01</v>
      </c>
      <c r="O2670">
        <v>0.4</v>
      </c>
    </row>
    <row r="2671" spans="1:15">
      <c r="A2671" t="str">
        <f>"301280"</f>
        <v>301280</v>
      </c>
      <c r="B2671" t="s">
        <v>2709</v>
      </c>
      <c r="C2671">
        <v>5.76</v>
      </c>
      <c r="D2671">
        <v>50.82</v>
      </c>
      <c r="E2671" t="s">
        <v>16</v>
      </c>
      <c r="F2671" t="s">
        <v>16</v>
      </c>
      <c r="H2671">
        <v>0.12</v>
      </c>
      <c r="I2671">
        <v>19.04</v>
      </c>
      <c r="J2671">
        <v>-1.49</v>
      </c>
      <c r="L2671">
        <v>-0.1</v>
      </c>
      <c r="M2671">
        <v>58.56</v>
      </c>
      <c r="N2671">
        <v>0.02</v>
      </c>
      <c r="O2671">
        <v>0.21</v>
      </c>
    </row>
    <row r="2672" spans="1:15">
      <c r="A2672" t="str">
        <f>"301281"</f>
        <v>301281</v>
      </c>
      <c r="B2672" t="s">
        <v>2710</v>
      </c>
      <c r="C2672">
        <v>-0.22</v>
      </c>
      <c r="D2672">
        <v>50.07</v>
      </c>
      <c r="E2672" t="s">
        <v>16</v>
      </c>
      <c r="F2672" t="s">
        <v>16</v>
      </c>
      <c r="H2672">
        <v>0.18</v>
      </c>
      <c r="I2672">
        <v>8.21</v>
      </c>
      <c r="J2672">
        <v>-1.77</v>
      </c>
      <c r="L2672">
        <v>-0.4</v>
      </c>
      <c r="M2672">
        <v>40.98</v>
      </c>
      <c r="N2672">
        <v>0.02</v>
      </c>
      <c r="O2672">
        <v>0.95</v>
      </c>
    </row>
    <row r="2673" spans="1:15">
      <c r="A2673" t="str">
        <f>"301282"</f>
        <v>301282</v>
      </c>
      <c r="B2673" t="s">
        <v>2711</v>
      </c>
      <c r="C2673">
        <v>1.94</v>
      </c>
      <c r="D2673">
        <v>29.98</v>
      </c>
      <c r="E2673" t="s">
        <v>16</v>
      </c>
      <c r="F2673" t="s">
        <v>16</v>
      </c>
      <c r="H2673">
        <v>0.07</v>
      </c>
      <c r="I2673">
        <v>-3.97</v>
      </c>
      <c r="J2673">
        <v>-0.37</v>
      </c>
      <c r="L2673">
        <v>-0.99</v>
      </c>
      <c r="M2673">
        <v>153.46</v>
      </c>
      <c r="N2673">
        <v>0.05</v>
      </c>
      <c r="O2673">
        <v>1.6</v>
      </c>
    </row>
    <row r="2674" spans="1:15">
      <c r="A2674" t="str">
        <f>"301283"</f>
        <v>301283</v>
      </c>
      <c r="B2674" t="s">
        <v>2712</v>
      </c>
      <c r="C2674">
        <v>4.05</v>
      </c>
      <c r="D2674">
        <v>27.77</v>
      </c>
      <c r="E2674" t="s">
        <v>16</v>
      </c>
      <c r="F2674" t="s">
        <v>16</v>
      </c>
      <c r="H2674">
        <v>0.36</v>
      </c>
      <c r="I2674">
        <v>4.79</v>
      </c>
      <c r="J2674">
        <v>-2.36</v>
      </c>
      <c r="L2674">
        <v>-1.16</v>
      </c>
      <c r="M2674">
        <v>6.6</v>
      </c>
      <c r="N2674">
        <v>0</v>
      </c>
      <c r="O2674">
        <v>0.3</v>
      </c>
    </row>
    <row r="2675" spans="1:15">
      <c r="A2675" t="str">
        <f>"301285"</f>
        <v>301285</v>
      </c>
      <c r="B2675" t="s">
        <v>2713</v>
      </c>
      <c r="C2675">
        <v>8.31</v>
      </c>
      <c r="D2675">
        <v>135.3</v>
      </c>
      <c r="E2675" t="s">
        <v>16</v>
      </c>
      <c r="F2675" t="s">
        <v>16</v>
      </c>
      <c r="H2675">
        <v>-0.34</v>
      </c>
      <c r="I2675">
        <v>19.52</v>
      </c>
      <c r="J2675">
        <v>-1.32</v>
      </c>
      <c r="L2675">
        <v>2.41</v>
      </c>
      <c r="M2675">
        <v>1223.01</v>
      </c>
      <c r="N2675">
        <v>0.12</v>
      </c>
      <c r="O2675">
        <v>2.84</v>
      </c>
    </row>
    <row r="2676" spans="1:15">
      <c r="A2676" t="str">
        <f>"301286"</f>
        <v>301286</v>
      </c>
      <c r="B2676" t="s">
        <v>2714</v>
      </c>
      <c r="C2676">
        <v>-2.15</v>
      </c>
      <c r="D2676">
        <v>59.25</v>
      </c>
      <c r="E2676" t="s">
        <v>16</v>
      </c>
      <c r="F2676" t="s">
        <v>16</v>
      </c>
      <c r="H2676">
        <v>-0.29</v>
      </c>
      <c r="I2676">
        <v>-3.71</v>
      </c>
      <c r="J2676">
        <v>-3.69</v>
      </c>
      <c r="L2676">
        <v>-0.91</v>
      </c>
      <c r="M2676">
        <v>42.6</v>
      </c>
      <c r="N2676">
        <v>0.02</v>
      </c>
      <c r="O2676">
        <v>0.2</v>
      </c>
    </row>
    <row r="2677" spans="1:15">
      <c r="A2677" t="str">
        <f>"301287"</f>
        <v>301287</v>
      </c>
      <c r="B2677" t="s">
        <v>2715</v>
      </c>
      <c r="C2677">
        <v>0.55</v>
      </c>
      <c r="D2677">
        <v>34.85</v>
      </c>
      <c r="E2677" t="s">
        <v>16</v>
      </c>
      <c r="F2677" t="s">
        <v>16</v>
      </c>
      <c r="H2677">
        <v>0</v>
      </c>
      <c r="I2677">
        <v>-1.16</v>
      </c>
      <c r="J2677">
        <v>-1.02</v>
      </c>
      <c r="L2677">
        <v>-1.33</v>
      </c>
      <c r="M2677">
        <v>0</v>
      </c>
      <c r="N2677">
        <v>0</v>
      </c>
      <c r="O2677">
        <v>0</v>
      </c>
    </row>
    <row r="2678" spans="1:15">
      <c r="A2678" t="str">
        <f>"301288"</f>
        <v>301288</v>
      </c>
      <c r="B2678" t="s">
        <v>2716</v>
      </c>
      <c r="C2678">
        <v>-4.17</v>
      </c>
      <c r="D2678">
        <v>17.91</v>
      </c>
      <c r="E2678" t="s">
        <v>16</v>
      </c>
      <c r="F2678" t="s">
        <v>16</v>
      </c>
      <c r="H2678">
        <v>0.17</v>
      </c>
      <c r="I2678">
        <v>-1.59</v>
      </c>
      <c r="J2678">
        <v>-3.97</v>
      </c>
      <c r="L2678">
        <v>-0.59</v>
      </c>
      <c r="M2678">
        <v>54.63</v>
      </c>
      <c r="N2678">
        <v>0.07</v>
      </c>
      <c r="O2678">
        <v>4.32</v>
      </c>
    </row>
    <row r="2679" spans="1:15">
      <c r="A2679" t="str">
        <f>"301289"</f>
        <v>301289</v>
      </c>
      <c r="B2679" t="s">
        <v>2717</v>
      </c>
      <c r="C2679">
        <v>0.36</v>
      </c>
      <c r="D2679">
        <v>50.1</v>
      </c>
      <c r="E2679" t="s">
        <v>16</v>
      </c>
      <c r="F2679" t="s">
        <v>16</v>
      </c>
      <c r="H2679">
        <v>-0.11</v>
      </c>
      <c r="I2679">
        <v>5.5</v>
      </c>
      <c r="J2679">
        <v>-1.63</v>
      </c>
      <c r="L2679">
        <v>0</v>
      </c>
      <c r="M2679">
        <v>3.49</v>
      </c>
      <c r="N2679">
        <v>0</v>
      </c>
      <c r="O2679">
        <v>0.54</v>
      </c>
    </row>
    <row r="2680" spans="1:15">
      <c r="A2680" t="str">
        <f>"301290"</f>
        <v>301290</v>
      </c>
      <c r="B2680" t="s">
        <v>2718</v>
      </c>
      <c r="C2680">
        <v>-0.48</v>
      </c>
      <c r="D2680">
        <v>29.11</v>
      </c>
      <c r="E2680" t="s">
        <v>16</v>
      </c>
      <c r="F2680" t="s">
        <v>16</v>
      </c>
      <c r="H2680">
        <v>-0.09</v>
      </c>
      <c r="I2680">
        <v>-8.46</v>
      </c>
      <c r="J2680">
        <v>-2.32</v>
      </c>
      <c r="L2680">
        <v>1.71</v>
      </c>
      <c r="M2680">
        <v>19.64</v>
      </c>
      <c r="N2680">
        <v>0.01</v>
      </c>
      <c r="O2680">
        <v>0.86</v>
      </c>
    </row>
    <row r="2681" spans="1:15">
      <c r="A2681" t="str">
        <f>"301291"</f>
        <v>301291</v>
      </c>
      <c r="B2681" t="s">
        <v>2719</v>
      </c>
      <c r="C2681">
        <v>-2.43</v>
      </c>
      <c r="D2681">
        <v>41.42</v>
      </c>
      <c r="E2681" t="s">
        <v>16</v>
      </c>
      <c r="F2681" t="s">
        <v>16</v>
      </c>
      <c r="H2681">
        <v>-0.18</v>
      </c>
      <c r="I2681">
        <v>-21.1</v>
      </c>
      <c r="J2681">
        <v>-3.27</v>
      </c>
      <c r="L2681">
        <v>-0.49</v>
      </c>
      <c r="M2681">
        <v>137.7</v>
      </c>
      <c r="N2681">
        <v>0.02</v>
      </c>
      <c r="O2681">
        <v>1.23</v>
      </c>
    </row>
    <row r="2682" spans="1:15">
      <c r="A2682" t="str">
        <f>"301292"</f>
        <v>301292</v>
      </c>
      <c r="B2682" t="s">
        <v>2720</v>
      </c>
      <c r="C2682">
        <v>-3.54</v>
      </c>
      <c r="D2682">
        <v>76.11</v>
      </c>
      <c r="E2682" t="s">
        <v>16</v>
      </c>
      <c r="F2682" t="s">
        <v>16</v>
      </c>
      <c r="H2682">
        <v>0</v>
      </c>
      <c r="I2682">
        <v>13.6</v>
      </c>
      <c r="J2682">
        <v>-7.59</v>
      </c>
      <c r="L2682">
        <v>-0.51</v>
      </c>
      <c r="M2682">
        <v>825.04</v>
      </c>
      <c r="N2682">
        <v>0.12</v>
      </c>
      <c r="O2682">
        <v>0.65</v>
      </c>
    </row>
    <row r="2683" spans="1:15">
      <c r="A2683" t="str">
        <f>"301293"</f>
        <v>301293</v>
      </c>
      <c r="B2683" t="s">
        <v>2721</v>
      </c>
      <c r="C2683">
        <v>0.35</v>
      </c>
      <c r="D2683">
        <v>54.14</v>
      </c>
      <c r="E2683" t="s">
        <v>16</v>
      </c>
      <c r="F2683" t="s">
        <v>16</v>
      </c>
      <c r="H2683">
        <v>0.02</v>
      </c>
      <c r="I2683">
        <v>-6.06</v>
      </c>
      <c r="J2683">
        <v>-2.22</v>
      </c>
      <c r="L2683">
        <v>-0.46</v>
      </c>
      <c r="M2683">
        <v>47.26</v>
      </c>
      <c r="N2683">
        <v>0.01</v>
      </c>
      <c r="O2683">
        <v>0.58</v>
      </c>
    </row>
    <row r="2684" spans="1:15">
      <c r="A2684" t="str">
        <f>"301295"</f>
        <v>301295</v>
      </c>
      <c r="B2684" t="s">
        <v>2722</v>
      </c>
      <c r="C2684">
        <v>-3.95</v>
      </c>
      <c r="D2684">
        <v>44.69</v>
      </c>
      <c r="E2684" t="s">
        <v>16</v>
      </c>
      <c r="F2684" t="s">
        <v>16</v>
      </c>
      <c r="H2684">
        <v>-0.26</v>
      </c>
      <c r="I2684">
        <v>-0.95</v>
      </c>
      <c r="J2684">
        <v>-3.93</v>
      </c>
      <c r="L2684">
        <v>-0.06</v>
      </c>
      <c r="M2684">
        <v>15.81</v>
      </c>
      <c r="N2684">
        <v>0.01</v>
      </c>
      <c r="O2684">
        <v>0.68</v>
      </c>
    </row>
    <row r="2685" spans="1:15">
      <c r="A2685" t="str">
        <f>"301296"</f>
        <v>301296</v>
      </c>
      <c r="B2685" t="s">
        <v>2723</v>
      </c>
      <c r="C2685">
        <v>-0.94</v>
      </c>
      <c r="D2685">
        <v>6.32</v>
      </c>
      <c r="E2685" t="s">
        <v>16</v>
      </c>
      <c r="F2685" t="s">
        <v>16</v>
      </c>
      <c r="H2685">
        <v>0.16</v>
      </c>
      <c r="I2685">
        <v>-5.11</v>
      </c>
      <c r="J2685">
        <v>-1.1</v>
      </c>
      <c r="L2685">
        <v>-0.16</v>
      </c>
      <c r="M2685">
        <v>0</v>
      </c>
      <c r="N2685">
        <v>0</v>
      </c>
      <c r="O2685">
        <v>0</v>
      </c>
    </row>
    <row r="2686" spans="1:15">
      <c r="A2686" t="str">
        <f>"301297"</f>
        <v>301297</v>
      </c>
      <c r="B2686" t="s">
        <v>2724</v>
      </c>
      <c r="C2686">
        <v>4.23</v>
      </c>
      <c r="D2686">
        <v>51.28</v>
      </c>
      <c r="E2686" t="s">
        <v>16</v>
      </c>
      <c r="F2686" t="s">
        <v>16</v>
      </c>
      <c r="H2686">
        <v>-0.13</v>
      </c>
      <c r="I2686">
        <v>19.23</v>
      </c>
      <c r="J2686">
        <v>-2.03</v>
      </c>
      <c r="L2686">
        <v>1.54</v>
      </c>
      <c r="M2686">
        <v>1576.24</v>
      </c>
      <c r="N2686">
        <v>0.19</v>
      </c>
      <c r="O2686">
        <v>1.33</v>
      </c>
    </row>
    <row r="2687" spans="1:15">
      <c r="A2687" t="str">
        <f>"301298"</f>
        <v>301298</v>
      </c>
      <c r="B2687" t="s">
        <v>2725</v>
      </c>
      <c r="C2687">
        <v>-0.16</v>
      </c>
      <c r="D2687">
        <v>12.66</v>
      </c>
      <c r="E2687" t="s">
        <v>16</v>
      </c>
      <c r="F2687" t="s">
        <v>16</v>
      </c>
      <c r="H2687">
        <v>-0.15</v>
      </c>
      <c r="I2687">
        <v>-9.05</v>
      </c>
      <c r="J2687">
        <v>-1.4</v>
      </c>
      <c r="L2687">
        <v>-0.55</v>
      </c>
      <c r="M2687">
        <v>22.7</v>
      </c>
      <c r="N2687">
        <v>0.02</v>
      </c>
      <c r="O2687">
        <v>1.08</v>
      </c>
    </row>
    <row r="2688" spans="1:15">
      <c r="A2688" t="str">
        <f>"301299"</f>
        <v>301299</v>
      </c>
      <c r="B2688" t="s">
        <v>2726</v>
      </c>
      <c r="C2688">
        <v>-1.03</v>
      </c>
      <c r="D2688">
        <v>49.9</v>
      </c>
      <c r="E2688" t="s">
        <v>16</v>
      </c>
      <c r="F2688" t="s">
        <v>16</v>
      </c>
      <c r="H2688">
        <v>0.3</v>
      </c>
      <c r="I2688">
        <v>-2.5</v>
      </c>
      <c r="J2688">
        <v>-1.52</v>
      </c>
      <c r="L2688">
        <v>-0.08</v>
      </c>
      <c r="M2688">
        <v>5.54</v>
      </c>
      <c r="N2688">
        <v>0</v>
      </c>
      <c r="O2688">
        <v>0.85</v>
      </c>
    </row>
    <row r="2689" spans="1:15">
      <c r="A2689" t="str">
        <f>"301300"</f>
        <v>301300</v>
      </c>
      <c r="B2689" t="s">
        <v>2727</v>
      </c>
      <c r="C2689">
        <v>-0.38</v>
      </c>
      <c r="D2689">
        <v>33.82</v>
      </c>
      <c r="E2689" t="s">
        <v>16</v>
      </c>
      <c r="F2689" t="s">
        <v>16</v>
      </c>
      <c r="H2689">
        <v>0.59</v>
      </c>
      <c r="I2689">
        <v>-1.54</v>
      </c>
      <c r="J2689">
        <v>-1.02</v>
      </c>
      <c r="L2689">
        <v>-0.44</v>
      </c>
      <c r="M2689">
        <v>11.15</v>
      </c>
      <c r="N2689">
        <v>0.01</v>
      </c>
      <c r="O2689">
        <v>0.5</v>
      </c>
    </row>
    <row r="2690" spans="1:15">
      <c r="A2690" t="str">
        <f>"301301"</f>
        <v>301301</v>
      </c>
      <c r="B2690" t="s">
        <v>2728</v>
      </c>
      <c r="C2690">
        <v>0.84</v>
      </c>
      <c r="D2690">
        <v>8.42</v>
      </c>
      <c r="E2690" t="s">
        <v>16</v>
      </c>
      <c r="F2690" t="s">
        <v>16</v>
      </c>
      <c r="H2690">
        <v>0.24</v>
      </c>
      <c r="I2690">
        <v>-1.06</v>
      </c>
      <c r="J2690">
        <v>-1.06</v>
      </c>
      <c r="L2690">
        <v>0.36</v>
      </c>
      <c r="M2690">
        <v>26.15</v>
      </c>
      <c r="N2690">
        <v>0.01</v>
      </c>
      <c r="O2690">
        <v>0.8</v>
      </c>
    </row>
    <row r="2691" spans="1:15">
      <c r="A2691" t="str">
        <f>"301302"</f>
        <v>301302</v>
      </c>
      <c r="B2691" t="s">
        <v>2729</v>
      </c>
      <c r="C2691">
        <v>-0.86</v>
      </c>
      <c r="D2691">
        <v>30.12</v>
      </c>
      <c r="E2691" t="s">
        <v>16</v>
      </c>
      <c r="F2691" t="s">
        <v>16</v>
      </c>
      <c r="H2691">
        <v>-0.06</v>
      </c>
      <c r="I2691">
        <v>21.89</v>
      </c>
      <c r="J2691">
        <v>-2.78</v>
      </c>
      <c r="L2691">
        <v>1.28</v>
      </c>
      <c r="M2691">
        <v>243.39</v>
      </c>
      <c r="N2691">
        <v>0.09</v>
      </c>
      <c r="O2691">
        <v>1.06</v>
      </c>
    </row>
    <row r="2692" spans="1:15">
      <c r="A2692" t="str">
        <f>"301303"</f>
        <v>301303</v>
      </c>
      <c r="B2692" t="s">
        <v>2730</v>
      </c>
      <c r="C2692">
        <v>-1.75</v>
      </c>
      <c r="D2692">
        <v>17.98</v>
      </c>
      <c r="E2692" t="s">
        <v>16</v>
      </c>
      <c r="F2692" t="s">
        <v>16</v>
      </c>
      <c r="H2692">
        <v>-0.16</v>
      </c>
      <c r="I2692">
        <v>21.16</v>
      </c>
      <c r="J2692">
        <v>-3.23</v>
      </c>
      <c r="L2692">
        <v>-0.33</v>
      </c>
      <c r="M2692">
        <v>537.72</v>
      </c>
      <c r="N2692">
        <v>0.29</v>
      </c>
      <c r="O2692">
        <v>2.57</v>
      </c>
    </row>
    <row r="2693" spans="1:15">
      <c r="A2693" t="str">
        <f>"301305"</f>
        <v>301305</v>
      </c>
      <c r="B2693" t="s">
        <v>2731</v>
      </c>
      <c r="C2693">
        <v>-1.69</v>
      </c>
      <c r="D2693">
        <v>30.21</v>
      </c>
      <c r="E2693" t="s">
        <v>16</v>
      </c>
      <c r="F2693" t="s">
        <v>16</v>
      </c>
      <c r="H2693">
        <v>0.1</v>
      </c>
      <c r="I2693">
        <v>-5.15</v>
      </c>
      <c r="J2693">
        <v>-3.48</v>
      </c>
      <c r="L2693">
        <v>-0.75</v>
      </c>
      <c r="M2693">
        <v>88.15</v>
      </c>
      <c r="N2693">
        <v>0.02</v>
      </c>
      <c r="O2693">
        <v>0.56</v>
      </c>
    </row>
    <row r="2694" spans="1:15">
      <c r="A2694" t="str">
        <f>"301306"</f>
        <v>301306</v>
      </c>
      <c r="B2694" t="s">
        <v>2732</v>
      </c>
      <c r="C2694">
        <v>5.52</v>
      </c>
      <c r="D2694">
        <v>174</v>
      </c>
      <c r="E2694" t="s">
        <v>16</v>
      </c>
      <c r="F2694" t="s">
        <v>16</v>
      </c>
      <c r="H2694">
        <v>-0.16</v>
      </c>
      <c r="I2694">
        <v>30.34</v>
      </c>
      <c r="J2694">
        <v>-2.25</v>
      </c>
      <c r="L2694">
        <v>-0.24</v>
      </c>
      <c r="M2694">
        <v>1204.14</v>
      </c>
      <c r="N2694">
        <v>0.19</v>
      </c>
      <c r="O2694">
        <v>1.38</v>
      </c>
    </row>
    <row r="2695" spans="1:15">
      <c r="A2695" t="str">
        <f>"301307"</f>
        <v>301307</v>
      </c>
      <c r="B2695" t="s">
        <v>2733</v>
      </c>
      <c r="C2695">
        <v>-4.31</v>
      </c>
      <c r="D2695">
        <v>65.88</v>
      </c>
      <c r="E2695" t="s">
        <v>16</v>
      </c>
      <c r="F2695" t="s">
        <v>16</v>
      </c>
      <c r="H2695">
        <v>0.3</v>
      </c>
      <c r="I2695">
        <v>9.76</v>
      </c>
      <c r="J2695">
        <v>-3.81</v>
      </c>
      <c r="L2695">
        <v>-1.23</v>
      </c>
      <c r="M2695">
        <v>235.96</v>
      </c>
      <c r="N2695">
        <v>0.03</v>
      </c>
      <c r="O2695">
        <v>1.07</v>
      </c>
    </row>
    <row r="2696" spans="1:15">
      <c r="A2696" t="str">
        <f>"301308"</f>
        <v>301308</v>
      </c>
      <c r="B2696" t="s">
        <v>2734</v>
      </c>
      <c r="C2696">
        <v>1.07</v>
      </c>
      <c r="D2696">
        <v>577.79</v>
      </c>
      <c r="E2696" t="s">
        <v>16</v>
      </c>
      <c r="F2696" t="s">
        <v>16</v>
      </c>
      <c r="H2696">
        <v>-0.06</v>
      </c>
      <c r="I2696">
        <v>1.64</v>
      </c>
      <c r="J2696">
        <v>-3.44</v>
      </c>
      <c r="L2696">
        <v>-1.47</v>
      </c>
      <c r="M2696">
        <v>7153.68</v>
      </c>
      <c r="N2696">
        <v>0.06</v>
      </c>
      <c r="O2696">
        <v>0.83</v>
      </c>
    </row>
    <row r="2697" spans="1:15">
      <c r="A2697" t="str">
        <f>"301309"</f>
        <v>301309</v>
      </c>
      <c r="B2697" t="s">
        <v>2735</v>
      </c>
      <c r="C2697">
        <v>-0.34</v>
      </c>
      <c r="D2697">
        <v>31.89</v>
      </c>
      <c r="E2697" t="s">
        <v>16</v>
      </c>
      <c r="F2697" t="s">
        <v>16</v>
      </c>
      <c r="H2697">
        <v>-0.33</v>
      </c>
      <c r="I2697">
        <v>1.4</v>
      </c>
      <c r="J2697">
        <v>-1.27</v>
      </c>
      <c r="L2697">
        <v>-0.63</v>
      </c>
      <c r="M2697">
        <v>5.41</v>
      </c>
      <c r="N2697">
        <v>0.01</v>
      </c>
      <c r="O2697">
        <v>3.4</v>
      </c>
    </row>
    <row r="2698" spans="1:15">
      <c r="A2698" t="str">
        <f>"301310"</f>
        <v>301310</v>
      </c>
      <c r="B2698" t="s">
        <v>2736</v>
      </c>
      <c r="C2698">
        <v>19.99</v>
      </c>
      <c r="D2698">
        <v>46.75</v>
      </c>
      <c r="E2698">
        <v>68.72</v>
      </c>
      <c r="F2698">
        <v>1</v>
      </c>
      <c r="H2698">
        <v>0</v>
      </c>
      <c r="I2698">
        <v>39.89</v>
      </c>
      <c r="J2698">
        <v>0</v>
      </c>
      <c r="K2698" t="s">
        <v>140</v>
      </c>
      <c r="L2698">
        <v>0.1</v>
      </c>
      <c r="M2698">
        <v>349.83</v>
      </c>
      <c r="N2698">
        <v>0.15</v>
      </c>
      <c r="O2698">
        <v>0.21</v>
      </c>
    </row>
    <row r="2699" spans="1:15">
      <c r="A2699" t="str">
        <f>"301311"</f>
        <v>301311</v>
      </c>
      <c r="B2699" t="s">
        <v>2737</v>
      </c>
      <c r="C2699">
        <v>-0.63</v>
      </c>
      <c r="D2699">
        <v>14.15</v>
      </c>
      <c r="E2699" t="s">
        <v>16</v>
      </c>
      <c r="F2699" t="s">
        <v>16</v>
      </c>
      <c r="H2699">
        <v>-0.06</v>
      </c>
      <c r="I2699">
        <v>-4</v>
      </c>
      <c r="J2699">
        <v>-1.87</v>
      </c>
      <c r="L2699">
        <v>-0.07</v>
      </c>
      <c r="M2699">
        <v>1.71</v>
      </c>
      <c r="N2699">
        <v>0</v>
      </c>
      <c r="O2699">
        <v>1.34</v>
      </c>
    </row>
    <row r="2700" spans="1:15">
      <c r="A2700" t="str">
        <f>"301312"</f>
        <v>301312</v>
      </c>
      <c r="B2700" t="s">
        <v>2738</v>
      </c>
      <c r="C2700">
        <v>1.8</v>
      </c>
      <c r="D2700">
        <v>113</v>
      </c>
      <c r="E2700" t="s">
        <v>16</v>
      </c>
      <c r="F2700" t="s">
        <v>16</v>
      </c>
      <c r="H2700">
        <v>-0.05</v>
      </c>
      <c r="I2700">
        <v>21.71</v>
      </c>
      <c r="J2700">
        <v>-0.55</v>
      </c>
      <c r="L2700">
        <v>-0.62</v>
      </c>
      <c r="M2700">
        <v>717.9</v>
      </c>
      <c r="N2700">
        <v>0.12</v>
      </c>
      <c r="O2700">
        <v>0.84</v>
      </c>
    </row>
    <row r="2701" spans="1:15">
      <c r="A2701" t="str">
        <f>"301313"</f>
        <v>301313</v>
      </c>
      <c r="B2701" t="s">
        <v>2739</v>
      </c>
      <c r="C2701">
        <v>-4.62</v>
      </c>
      <c r="D2701">
        <v>59.24</v>
      </c>
      <c r="E2701" t="s">
        <v>16</v>
      </c>
      <c r="F2701" t="s">
        <v>16</v>
      </c>
      <c r="H2701">
        <v>0</v>
      </c>
      <c r="I2701">
        <v>33.54</v>
      </c>
      <c r="J2701">
        <v>-8.89</v>
      </c>
      <c r="L2701">
        <v>0.03</v>
      </c>
      <c r="M2701">
        <v>861.74</v>
      </c>
      <c r="N2701">
        <v>0.21</v>
      </c>
      <c r="O2701">
        <v>1.08</v>
      </c>
    </row>
    <row r="2702" spans="1:15">
      <c r="A2702" t="str">
        <f>"301314"</f>
        <v>301314</v>
      </c>
      <c r="B2702" t="s">
        <v>2740</v>
      </c>
      <c r="C2702">
        <v>0.35</v>
      </c>
      <c r="D2702">
        <v>54.52</v>
      </c>
      <c r="E2702" t="s">
        <v>16</v>
      </c>
      <c r="F2702" t="s">
        <v>16</v>
      </c>
      <c r="H2702">
        <v>-0.15</v>
      </c>
      <c r="I2702">
        <v>14.27</v>
      </c>
      <c r="J2702">
        <v>-4.97</v>
      </c>
      <c r="L2702">
        <v>-0.09</v>
      </c>
      <c r="M2702">
        <v>87.93</v>
      </c>
      <c r="N2702">
        <v>0.1</v>
      </c>
      <c r="O2702">
        <v>1.13</v>
      </c>
    </row>
    <row r="2703" spans="1:15">
      <c r="A2703" t="str">
        <f>"301315"</f>
        <v>301315</v>
      </c>
      <c r="B2703" t="s">
        <v>2741</v>
      </c>
      <c r="C2703">
        <v>0.25</v>
      </c>
      <c r="D2703">
        <v>40.75</v>
      </c>
      <c r="E2703" t="s">
        <v>16</v>
      </c>
      <c r="F2703" t="s">
        <v>16</v>
      </c>
      <c r="H2703">
        <v>0.02</v>
      </c>
      <c r="I2703">
        <v>-0.17</v>
      </c>
      <c r="J2703">
        <v>-0.92</v>
      </c>
      <c r="L2703">
        <v>-0.49</v>
      </c>
      <c r="M2703">
        <v>33.17</v>
      </c>
      <c r="N2703">
        <v>0.03</v>
      </c>
      <c r="O2703">
        <v>0.61</v>
      </c>
    </row>
    <row r="2704" spans="1:15">
      <c r="A2704" t="str">
        <f>"301316"</f>
        <v>301316</v>
      </c>
      <c r="B2704" t="s">
        <v>2742</v>
      </c>
      <c r="C2704">
        <v>4.27</v>
      </c>
      <c r="D2704">
        <v>42.78</v>
      </c>
      <c r="E2704" t="s">
        <v>16</v>
      </c>
      <c r="F2704" t="s">
        <v>16</v>
      </c>
      <c r="H2704">
        <v>-0.04</v>
      </c>
      <c r="I2704">
        <v>4.49</v>
      </c>
      <c r="J2704">
        <v>-2.73</v>
      </c>
      <c r="L2704">
        <v>0.93</v>
      </c>
      <c r="M2704">
        <v>204.15</v>
      </c>
      <c r="N2704">
        <v>0.02</v>
      </c>
      <c r="O2704">
        <v>1.97</v>
      </c>
    </row>
    <row r="2705" spans="1:15">
      <c r="A2705" t="str">
        <f>"301317"</f>
        <v>301317</v>
      </c>
      <c r="B2705" t="s">
        <v>2743</v>
      </c>
      <c r="C2705">
        <v>5.35</v>
      </c>
      <c r="D2705">
        <v>67.5</v>
      </c>
      <c r="E2705" t="s">
        <v>16</v>
      </c>
      <c r="F2705" t="s">
        <v>16</v>
      </c>
      <c r="H2705">
        <v>0.28</v>
      </c>
      <c r="I2705">
        <v>0.3</v>
      </c>
      <c r="J2705">
        <v>-3.31</v>
      </c>
      <c r="L2705">
        <v>1.3</v>
      </c>
      <c r="M2705">
        <v>24.66</v>
      </c>
      <c r="N2705">
        <v>0.01</v>
      </c>
      <c r="O2705">
        <v>0.3</v>
      </c>
    </row>
    <row r="2706" spans="1:15">
      <c r="A2706" t="str">
        <f>"301318"</f>
        <v>301318</v>
      </c>
      <c r="B2706" t="s">
        <v>2744</v>
      </c>
      <c r="C2706">
        <v>6.78</v>
      </c>
      <c r="D2706">
        <v>22.04</v>
      </c>
      <c r="E2706" t="s">
        <v>16</v>
      </c>
      <c r="F2706" t="s">
        <v>16</v>
      </c>
      <c r="H2706">
        <v>0</v>
      </c>
      <c r="I2706">
        <v>4.16</v>
      </c>
      <c r="J2706">
        <v>-1.87</v>
      </c>
      <c r="L2706">
        <v>-0.34</v>
      </c>
      <c r="M2706">
        <v>7.2</v>
      </c>
      <c r="N2706">
        <v>0.01</v>
      </c>
      <c r="O2706">
        <v>3.18</v>
      </c>
    </row>
    <row r="2707" spans="1:15">
      <c r="A2707" t="str">
        <f>"301319"</f>
        <v>301319</v>
      </c>
      <c r="B2707" t="s">
        <v>2745</v>
      </c>
      <c r="C2707">
        <v>3.53</v>
      </c>
      <c r="D2707">
        <v>170.31</v>
      </c>
      <c r="E2707" t="s">
        <v>16</v>
      </c>
      <c r="F2707" t="s">
        <v>16</v>
      </c>
      <c r="H2707">
        <v>-0.09</v>
      </c>
      <c r="I2707">
        <v>23.8</v>
      </c>
      <c r="J2707">
        <v>-1.27</v>
      </c>
      <c r="L2707">
        <v>-0.91</v>
      </c>
      <c r="M2707">
        <v>1867.98</v>
      </c>
      <c r="N2707">
        <v>0.16</v>
      </c>
      <c r="O2707">
        <v>0.97</v>
      </c>
    </row>
    <row r="2708" spans="1:15">
      <c r="A2708" t="str">
        <f>"301320"</f>
        <v>301320</v>
      </c>
      <c r="B2708" t="s">
        <v>2746</v>
      </c>
      <c r="C2708">
        <v>-0.76</v>
      </c>
      <c r="D2708">
        <v>14.32</v>
      </c>
      <c r="E2708" t="s">
        <v>16</v>
      </c>
      <c r="F2708" t="s">
        <v>16</v>
      </c>
      <c r="H2708">
        <v>-0.13</v>
      </c>
      <c r="I2708">
        <v>-6.1</v>
      </c>
      <c r="J2708">
        <v>-2.25</v>
      </c>
      <c r="L2708">
        <v>-1.32</v>
      </c>
      <c r="M2708">
        <v>25.77</v>
      </c>
      <c r="N2708">
        <v>0.03</v>
      </c>
      <c r="O2708">
        <v>25.85</v>
      </c>
    </row>
    <row r="2709" spans="1:15">
      <c r="A2709" t="str">
        <f>"301321"</f>
        <v>301321</v>
      </c>
      <c r="B2709" t="s">
        <v>2747</v>
      </c>
      <c r="C2709">
        <v>3.22</v>
      </c>
      <c r="D2709">
        <v>39.39</v>
      </c>
      <c r="E2709" t="s">
        <v>16</v>
      </c>
      <c r="F2709" t="s">
        <v>16</v>
      </c>
      <c r="H2709">
        <v>0.1</v>
      </c>
      <c r="I2709">
        <v>30.26</v>
      </c>
      <c r="J2709">
        <v>-2.76</v>
      </c>
      <c r="L2709">
        <v>2.46</v>
      </c>
      <c r="M2709">
        <v>666.26</v>
      </c>
      <c r="N2709">
        <v>0.18</v>
      </c>
      <c r="O2709">
        <v>10.85</v>
      </c>
    </row>
    <row r="2710" spans="1:15">
      <c r="A2710" t="str">
        <f>"301322"</f>
        <v>301322</v>
      </c>
      <c r="B2710" t="s">
        <v>2748</v>
      </c>
      <c r="C2710">
        <v>2.54</v>
      </c>
      <c r="D2710">
        <v>58.56</v>
      </c>
      <c r="E2710" t="s">
        <v>16</v>
      </c>
      <c r="F2710" t="s">
        <v>16</v>
      </c>
      <c r="H2710">
        <v>0.1</v>
      </c>
      <c r="I2710">
        <v>21.52</v>
      </c>
      <c r="J2710">
        <v>-2.37</v>
      </c>
      <c r="L2710">
        <v>-0.09</v>
      </c>
      <c r="M2710">
        <v>246.73</v>
      </c>
      <c r="N2710">
        <v>0.06</v>
      </c>
      <c r="O2710">
        <v>2.6</v>
      </c>
    </row>
    <row r="2711" spans="1:15">
      <c r="A2711" t="str">
        <f>"301323"</f>
        <v>301323</v>
      </c>
      <c r="B2711" t="s">
        <v>2749</v>
      </c>
      <c r="C2711">
        <v>-0.37</v>
      </c>
      <c r="D2711">
        <v>102.7</v>
      </c>
      <c r="E2711" t="s">
        <v>16</v>
      </c>
      <c r="F2711" t="s">
        <v>16</v>
      </c>
      <c r="H2711">
        <v>-0.08</v>
      </c>
      <c r="I2711">
        <v>26.51</v>
      </c>
      <c r="J2711">
        <v>-1.89</v>
      </c>
      <c r="L2711">
        <v>-1.05</v>
      </c>
      <c r="M2711">
        <v>155.04</v>
      </c>
      <c r="N2711">
        <v>0.05</v>
      </c>
      <c r="O2711">
        <v>0.63</v>
      </c>
    </row>
    <row r="2712" spans="1:15">
      <c r="A2712" t="str">
        <f>"301325"</f>
        <v>301325</v>
      </c>
      <c r="B2712" t="s">
        <v>2750</v>
      </c>
      <c r="C2712">
        <v>-2.82</v>
      </c>
      <c r="D2712">
        <v>39.34</v>
      </c>
      <c r="E2712" t="s">
        <v>16</v>
      </c>
      <c r="F2712" t="s">
        <v>16</v>
      </c>
      <c r="H2712">
        <v>-0.4</v>
      </c>
      <c r="I2712">
        <v>-10.08</v>
      </c>
      <c r="J2712">
        <v>-3.37</v>
      </c>
      <c r="L2712">
        <v>-0.1</v>
      </c>
      <c r="M2712">
        <v>54.19</v>
      </c>
      <c r="N2712">
        <v>0.02</v>
      </c>
      <c r="O2712">
        <v>1.86</v>
      </c>
    </row>
    <row r="2713" spans="1:15">
      <c r="A2713" t="str">
        <f>"301326"</f>
        <v>301326</v>
      </c>
      <c r="B2713" t="s">
        <v>2751</v>
      </c>
      <c r="C2713">
        <v>2.08</v>
      </c>
      <c r="D2713">
        <v>152</v>
      </c>
      <c r="E2713" t="s">
        <v>16</v>
      </c>
      <c r="F2713" t="s">
        <v>16</v>
      </c>
      <c r="H2713">
        <v>0</v>
      </c>
      <c r="I2713">
        <v>3.82</v>
      </c>
      <c r="J2713">
        <v>-1.94</v>
      </c>
      <c r="L2713">
        <v>0.42</v>
      </c>
      <c r="M2713">
        <v>47.85</v>
      </c>
      <c r="N2713">
        <v>0.01</v>
      </c>
      <c r="O2713">
        <v>1.1</v>
      </c>
    </row>
    <row r="2714" spans="1:15">
      <c r="A2714" t="str">
        <f>"301327"</f>
        <v>301327</v>
      </c>
      <c r="B2714" t="s">
        <v>2752</v>
      </c>
      <c r="C2714">
        <v>-1.53</v>
      </c>
      <c r="D2714">
        <v>50.16</v>
      </c>
      <c r="E2714" t="s">
        <v>16</v>
      </c>
      <c r="F2714" t="s">
        <v>16</v>
      </c>
      <c r="H2714">
        <v>-0.41</v>
      </c>
      <c r="I2714">
        <v>-8.47</v>
      </c>
      <c r="J2714">
        <v>-1.51</v>
      </c>
      <c r="L2714">
        <v>-0.06</v>
      </c>
      <c r="M2714">
        <v>6.11</v>
      </c>
      <c r="N2714">
        <v>0</v>
      </c>
      <c r="O2714">
        <v>0.32</v>
      </c>
    </row>
    <row r="2715" spans="1:15">
      <c r="A2715" t="str">
        <f>"301328"</f>
        <v>301328</v>
      </c>
      <c r="B2715" t="s">
        <v>2753</v>
      </c>
      <c r="C2715">
        <v>-3.27</v>
      </c>
      <c r="D2715">
        <v>61.15</v>
      </c>
      <c r="E2715" t="s">
        <v>16</v>
      </c>
      <c r="F2715" t="s">
        <v>16</v>
      </c>
      <c r="H2715">
        <v>0.1</v>
      </c>
      <c r="I2715">
        <v>9</v>
      </c>
      <c r="J2715">
        <v>-3.91</v>
      </c>
      <c r="L2715">
        <v>-0.35</v>
      </c>
      <c r="M2715">
        <v>182.7</v>
      </c>
      <c r="N2715">
        <v>0.06</v>
      </c>
      <c r="O2715">
        <v>3.54</v>
      </c>
    </row>
    <row r="2716" spans="1:15">
      <c r="A2716" t="str">
        <f>"301329"</f>
        <v>301329</v>
      </c>
      <c r="B2716" t="s">
        <v>2754</v>
      </c>
      <c r="C2716">
        <v>-0.08</v>
      </c>
      <c r="D2716">
        <v>26.37</v>
      </c>
      <c r="E2716" t="s">
        <v>16</v>
      </c>
      <c r="F2716" t="s">
        <v>16</v>
      </c>
      <c r="H2716">
        <v>-0.03</v>
      </c>
      <c r="I2716">
        <v>-19.33</v>
      </c>
      <c r="J2716">
        <v>-1.71</v>
      </c>
      <c r="L2716">
        <v>-0.76</v>
      </c>
      <c r="M2716">
        <v>93.24</v>
      </c>
      <c r="N2716">
        <v>0.06</v>
      </c>
      <c r="O2716">
        <v>1.34</v>
      </c>
    </row>
    <row r="2717" spans="1:15">
      <c r="A2717" t="str">
        <f>"301330"</f>
        <v>301330</v>
      </c>
      <c r="B2717" t="s">
        <v>2755</v>
      </c>
      <c r="C2717">
        <v>2.52</v>
      </c>
      <c r="D2717">
        <v>28.52</v>
      </c>
      <c r="E2717" t="s">
        <v>16</v>
      </c>
      <c r="F2717" t="s">
        <v>16</v>
      </c>
      <c r="H2717">
        <v>0.07</v>
      </c>
      <c r="I2717">
        <v>8.81</v>
      </c>
      <c r="J2717">
        <v>-2.06</v>
      </c>
      <c r="L2717">
        <v>2.01</v>
      </c>
      <c r="M2717">
        <v>115.51</v>
      </c>
      <c r="N2717">
        <v>0.05</v>
      </c>
      <c r="O2717">
        <v>20.35</v>
      </c>
    </row>
    <row r="2718" spans="1:15">
      <c r="A2718" t="str">
        <f>"301331"</f>
        <v>301331</v>
      </c>
      <c r="B2718" t="s">
        <v>2756</v>
      </c>
      <c r="C2718">
        <v>4.45</v>
      </c>
      <c r="D2718">
        <v>22.77</v>
      </c>
      <c r="E2718" t="s">
        <v>16</v>
      </c>
      <c r="F2718" t="s">
        <v>16</v>
      </c>
      <c r="H2718">
        <v>2.66</v>
      </c>
      <c r="I2718">
        <v>-4.77</v>
      </c>
      <c r="J2718">
        <v>0</v>
      </c>
      <c r="L2718">
        <v>-1.65</v>
      </c>
      <c r="M2718">
        <v>21.87</v>
      </c>
      <c r="N2718">
        <v>0.03</v>
      </c>
      <c r="O2718">
        <v>2.49</v>
      </c>
    </row>
    <row r="2719" spans="1:15">
      <c r="A2719" t="str">
        <f>"301332"</f>
        <v>301332</v>
      </c>
      <c r="B2719" t="s">
        <v>2757</v>
      </c>
      <c r="C2719">
        <v>0.37</v>
      </c>
      <c r="D2719">
        <v>8.23</v>
      </c>
      <c r="E2719" t="s">
        <v>16</v>
      </c>
      <c r="F2719" t="s">
        <v>16</v>
      </c>
      <c r="H2719">
        <v>0</v>
      </c>
      <c r="I2719">
        <v>0.49</v>
      </c>
      <c r="J2719">
        <v>-0.24</v>
      </c>
      <c r="L2719">
        <v>-0.37</v>
      </c>
      <c r="M2719">
        <v>0.57</v>
      </c>
      <c r="N2719">
        <v>0</v>
      </c>
      <c r="O2719">
        <v>0.23</v>
      </c>
    </row>
    <row r="2720" spans="1:15">
      <c r="A2720" t="str">
        <f>"301333"</f>
        <v>301333</v>
      </c>
      <c r="B2720" t="s">
        <v>2758</v>
      </c>
      <c r="C2720">
        <v>0.41</v>
      </c>
      <c r="D2720">
        <v>47.05</v>
      </c>
      <c r="E2720" t="s">
        <v>16</v>
      </c>
      <c r="F2720" t="s">
        <v>16</v>
      </c>
      <c r="H2720">
        <v>0.17</v>
      </c>
      <c r="I2720">
        <v>1.44</v>
      </c>
      <c r="J2720">
        <v>-2.14</v>
      </c>
      <c r="L2720">
        <v>-0.9</v>
      </c>
      <c r="M2720">
        <v>16.72</v>
      </c>
      <c r="N2720">
        <v>0.01</v>
      </c>
      <c r="O2720">
        <v>0.48</v>
      </c>
    </row>
    <row r="2721" spans="1:15">
      <c r="A2721" t="str">
        <f>"301335"</f>
        <v>301335</v>
      </c>
      <c r="B2721" t="s">
        <v>2759</v>
      </c>
      <c r="C2721">
        <v>-1.85</v>
      </c>
      <c r="D2721">
        <v>20.7</v>
      </c>
      <c r="E2721" t="s">
        <v>16</v>
      </c>
      <c r="F2721" t="s">
        <v>16</v>
      </c>
      <c r="H2721">
        <v>0.05</v>
      </c>
      <c r="I2721">
        <v>-2.68</v>
      </c>
      <c r="J2721">
        <v>-2.36</v>
      </c>
      <c r="L2721">
        <v>-0.9</v>
      </c>
      <c r="M2721">
        <v>14.21</v>
      </c>
      <c r="N2721">
        <v>0.01</v>
      </c>
      <c r="O2721">
        <v>6.8</v>
      </c>
    </row>
    <row r="2722" spans="1:15">
      <c r="A2722" t="str">
        <f>"301336"</f>
        <v>301336</v>
      </c>
      <c r="B2722" t="s">
        <v>2760</v>
      </c>
      <c r="C2722">
        <v>-0.61</v>
      </c>
      <c r="D2722">
        <v>37.57</v>
      </c>
      <c r="E2722" t="s">
        <v>16</v>
      </c>
      <c r="F2722" t="s">
        <v>16</v>
      </c>
      <c r="H2722">
        <v>0.24</v>
      </c>
      <c r="I2722">
        <v>-8.12</v>
      </c>
      <c r="J2722">
        <v>-1.39</v>
      </c>
      <c r="L2722">
        <v>-0.5</v>
      </c>
      <c r="M2722">
        <v>4.51</v>
      </c>
      <c r="N2722">
        <v>0</v>
      </c>
      <c r="O2722">
        <v>0.48</v>
      </c>
    </row>
    <row r="2723" spans="1:15">
      <c r="A2723" t="str">
        <f>"301337"</f>
        <v>301337</v>
      </c>
      <c r="B2723" t="s">
        <v>2761</v>
      </c>
      <c r="C2723">
        <v>1.22</v>
      </c>
      <c r="D2723">
        <v>28.94</v>
      </c>
      <c r="E2723" t="s">
        <v>16</v>
      </c>
      <c r="F2723" t="s">
        <v>16</v>
      </c>
      <c r="H2723">
        <v>0.17</v>
      </c>
      <c r="I2723">
        <v>19.59</v>
      </c>
      <c r="J2723">
        <v>-0.38</v>
      </c>
      <c r="L2723">
        <v>-0.1</v>
      </c>
      <c r="M2723">
        <v>5.14</v>
      </c>
      <c r="N2723">
        <v>0</v>
      </c>
      <c r="O2723">
        <v>0.07</v>
      </c>
    </row>
    <row r="2724" spans="1:15">
      <c r="A2724" t="str">
        <f>"301338"</f>
        <v>301338</v>
      </c>
      <c r="B2724" t="s">
        <v>2762</v>
      </c>
      <c r="C2724">
        <v>3.87</v>
      </c>
      <c r="D2724">
        <v>169</v>
      </c>
      <c r="E2724" t="s">
        <v>16</v>
      </c>
      <c r="F2724" t="s">
        <v>16</v>
      </c>
      <c r="H2724">
        <v>0.07</v>
      </c>
      <c r="I2724">
        <v>-6.72</v>
      </c>
      <c r="J2724">
        <v>-0.59</v>
      </c>
      <c r="L2724">
        <v>0.96</v>
      </c>
      <c r="M2724">
        <v>532.56</v>
      </c>
      <c r="N2724">
        <v>0.04</v>
      </c>
      <c r="O2724">
        <v>0.7</v>
      </c>
    </row>
    <row r="2725" spans="1:15">
      <c r="A2725" t="str">
        <f>"301339"</f>
        <v>301339</v>
      </c>
      <c r="B2725" t="s">
        <v>2763</v>
      </c>
      <c r="C2725">
        <v>-0.71</v>
      </c>
      <c r="D2725">
        <v>11.13</v>
      </c>
      <c r="E2725" t="s">
        <v>16</v>
      </c>
      <c r="F2725" t="s">
        <v>16</v>
      </c>
      <c r="H2725">
        <v>0.09</v>
      </c>
      <c r="I2725">
        <v>-0.18</v>
      </c>
      <c r="J2725">
        <v>-0.71</v>
      </c>
      <c r="L2725">
        <v>-0.18</v>
      </c>
      <c r="M2725">
        <v>1.79</v>
      </c>
      <c r="N2725">
        <v>0</v>
      </c>
      <c r="O2725">
        <v>0.12</v>
      </c>
    </row>
    <row r="2726" spans="1:15">
      <c r="A2726" t="str">
        <f>"301345"</f>
        <v>301345</v>
      </c>
      <c r="B2726" t="s">
        <v>2764</v>
      </c>
      <c r="C2726">
        <v>-2.44</v>
      </c>
      <c r="D2726">
        <v>204.38</v>
      </c>
      <c r="E2726" t="s">
        <v>16</v>
      </c>
      <c r="F2726" t="s">
        <v>16</v>
      </c>
      <c r="H2726">
        <v>0</v>
      </c>
      <c r="I2726">
        <v>0.29</v>
      </c>
      <c r="J2726">
        <v>-3.14</v>
      </c>
      <c r="L2726">
        <v>0</v>
      </c>
      <c r="M2726">
        <v>50.28</v>
      </c>
      <c r="N2726">
        <v>0.01</v>
      </c>
      <c r="O2726">
        <v>1.04</v>
      </c>
    </row>
    <row r="2727" spans="1:15">
      <c r="A2727" t="str">
        <f>"301348"</f>
        <v>301348</v>
      </c>
      <c r="B2727" t="s">
        <v>2765</v>
      </c>
      <c r="C2727">
        <v>-3.29</v>
      </c>
      <c r="D2727">
        <v>28.2</v>
      </c>
      <c r="E2727" t="s">
        <v>16</v>
      </c>
      <c r="F2727" t="s">
        <v>16</v>
      </c>
      <c r="H2727">
        <v>0.04</v>
      </c>
      <c r="I2727">
        <v>14.49</v>
      </c>
      <c r="J2727">
        <v>-2.73</v>
      </c>
      <c r="L2727">
        <v>-0.99</v>
      </c>
      <c r="M2727">
        <v>257.52</v>
      </c>
      <c r="N2727">
        <v>0.06</v>
      </c>
      <c r="O2727">
        <v>0.46</v>
      </c>
    </row>
    <row r="2728" spans="1:15">
      <c r="A2728" t="str">
        <f>"301349"</f>
        <v>301349</v>
      </c>
      <c r="B2728" t="s">
        <v>2766</v>
      </c>
      <c r="C2728">
        <v>1.05</v>
      </c>
      <c r="D2728">
        <v>64.63</v>
      </c>
      <c r="E2728" t="s">
        <v>16</v>
      </c>
      <c r="F2728" t="s">
        <v>16</v>
      </c>
      <c r="H2728">
        <v>-0.07</v>
      </c>
      <c r="I2728">
        <v>10.4</v>
      </c>
      <c r="J2728">
        <v>-2.02</v>
      </c>
      <c r="L2728">
        <v>-1.05</v>
      </c>
      <c r="M2728">
        <v>707.58</v>
      </c>
      <c r="N2728">
        <v>0.19</v>
      </c>
      <c r="O2728">
        <v>0.58</v>
      </c>
    </row>
    <row r="2729" spans="1:15">
      <c r="A2729" t="str">
        <f>"301353"</f>
        <v>301353</v>
      </c>
      <c r="B2729" t="s">
        <v>2767</v>
      </c>
      <c r="C2729">
        <v>-0.71</v>
      </c>
      <c r="D2729">
        <v>18.17</v>
      </c>
      <c r="E2729" t="s">
        <v>16</v>
      </c>
      <c r="F2729" t="s">
        <v>16</v>
      </c>
      <c r="H2729">
        <v>-0.15</v>
      </c>
      <c r="I2729">
        <v>-5.56</v>
      </c>
      <c r="J2729">
        <v>-1.36</v>
      </c>
      <c r="L2729">
        <v>-0.55</v>
      </c>
      <c r="M2729">
        <v>24.26</v>
      </c>
      <c r="N2729">
        <v>0.03</v>
      </c>
      <c r="O2729">
        <v>1.73</v>
      </c>
    </row>
    <row r="2730" spans="1:15">
      <c r="A2730" t="str">
        <f>"301355"</f>
        <v>301355</v>
      </c>
      <c r="B2730" t="s">
        <v>2768</v>
      </c>
      <c r="C2730">
        <v>0.4</v>
      </c>
      <c r="D2730">
        <v>10.1</v>
      </c>
      <c r="E2730" t="s">
        <v>16</v>
      </c>
      <c r="F2730" t="s">
        <v>16</v>
      </c>
      <c r="H2730">
        <v>-0.19</v>
      </c>
      <c r="I2730">
        <v>-4.27</v>
      </c>
      <c r="J2730">
        <v>-2.42</v>
      </c>
      <c r="L2730">
        <v>-0.6</v>
      </c>
      <c r="M2730">
        <v>21</v>
      </c>
      <c r="N2730">
        <v>0.02</v>
      </c>
      <c r="O2730">
        <v>1.83</v>
      </c>
    </row>
    <row r="2731" spans="1:15">
      <c r="A2731" t="str">
        <f>"301356"</f>
        <v>301356</v>
      </c>
      <c r="B2731" t="s">
        <v>2769</v>
      </c>
      <c r="C2731">
        <v>1.96</v>
      </c>
      <c r="D2731">
        <v>23.94</v>
      </c>
      <c r="E2731" t="s">
        <v>16</v>
      </c>
      <c r="F2731" t="s">
        <v>16</v>
      </c>
      <c r="H2731">
        <v>0.08</v>
      </c>
      <c r="I2731">
        <v>9.37</v>
      </c>
      <c r="J2731">
        <v>0</v>
      </c>
      <c r="L2731">
        <v>-0.64</v>
      </c>
      <c r="M2731">
        <v>4.67</v>
      </c>
      <c r="N2731">
        <v>0</v>
      </c>
      <c r="O2731">
        <v>0.61</v>
      </c>
    </row>
    <row r="2732" spans="1:15">
      <c r="A2732" t="str">
        <f>"301357"</f>
        <v>301357</v>
      </c>
      <c r="B2732" t="s">
        <v>2770</v>
      </c>
      <c r="C2732">
        <v>-0.37</v>
      </c>
      <c r="D2732">
        <v>85.91</v>
      </c>
      <c r="E2732" t="s">
        <v>16</v>
      </c>
      <c r="F2732" t="s">
        <v>16</v>
      </c>
      <c r="H2732">
        <v>0.13</v>
      </c>
      <c r="I2732">
        <v>-4.96</v>
      </c>
      <c r="J2732">
        <v>-2.12</v>
      </c>
      <c r="L2732">
        <v>-0.3</v>
      </c>
      <c r="M2732">
        <v>53.3</v>
      </c>
      <c r="N2732">
        <v>0.03</v>
      </c>
      <c r="O2732">
        <v>2.48</v>
      </c>
    </row>
    <row r="2733" spans="1:15">
      <c r="A2733" t="str">
        <f>"301358"</f>
        <v>301358</v>
      </c>
      <c r="B2733" t="s">
        <v>2771</v>
      </c>
      <c r="C2733">
        <v>0.57</v>
      </c>
      <c r="D2733">
        <v>76.08</v>
      </c>
      <c r="E2733" t="s">
        <v>16</v>
      </c>
      <c r="F2733" t="s">
        <v>16</v>
      </c>
      <c r="H2733">
        <v>-0.13</v>
      </c>
      <c r="I2733">
        <v>2.33</v>
      </c>
      <c r="J2733">
        <v>-2.4</v>
      </c>
      <c r="L2733">
        <v>-1.32</v>
      </c>
      <c r="M2733">
        <v>736.05</v>
      </c>
      <c r="N2733">
        <v>0.02</v>
      </c>
      <c r="O2733">
        <v>0.56</v>
      </c>
    </row>
    <row r="2734" spans="1:15">
      <c r="A2734" t="str">
        <f>"301359"</f>
        <v>301359</v>
      </c>
      <c r="B2734" t="s">
        <v>2772</v>
      </c>
      <c r="C2734">
        <v>-1.81</v>
      </c>
      <c r="D2734">
        <v>17.88</v>
      </c>
      <c r="E2734" t="s">
        <v>16</v>
      </c>
      <c r="F2734" t="s">
        <v>16</v>
      </c>
      <c r="H2734">
        <v>-0.16</v>
      </c>
      <c r="I2734">
        <v>-8.87</v>
      </c>
      <c r="J2734">
        <v>-2.24</v>
      </c>
      <c r="L2734">
        <v>-0.66</v>
      </c>
      <c r="M2734">
        <v>21.89</v>
      </c>
      <c r="N2734">
        <v>0.03</v>
      </c>
      <c r="O2734">
        <v>1.61</v>
      </c>
    </row>
    <row r="2735" spans="1:15">
      <c r="A2735" t="str">
        <f>"301360"</f>
        <v>301360</v>
      </c>
      <c r="B2735" t="s">
        <v>2773</v>
      </c>
      <c r="C2735">
        <v>1.6</v>
      </c>
      <c r="D2735">
        <v>78.29</v>
      </c>
      <c r="E2735" t="s">
        <v>16</v>
      </c>
      <c r="F2735" t="s">
        <v>16</v>
      </c>
      <c r="H2735">
        <v>0.05</v>
      </c>
      <c r="I2735">
        <v>-2.5</v>
      </c>
      <c r="J2735">
        <v>-1.25</v>
      </c>
      <c r="L2735">
        <v>0.12</v>
      </c>
      <c r="M2735">
        <v>62.49</v>
      </c>
      <c r="N2735">
        <v>0.02</v>
      </c>
      <c r="O2735">
        <v>0.19</v>
      </c>
    </row>
    <row r="2736" spans="1:15">
      <c r="A2736" t="str">
        <f>"301361"</f>
        <v>301361</v>
      </c>
      <c r="B2736" t="s">
        <v>2774</v>
      </c>
      <c r="C2736">
        <v>6.42</v>
      </c>
      <c r="D2736">
        <v>34.96</v>
      </c>
      <c r="E2736" t="s">
        <v>16</v>
      </c>
      <c r="F2736" t="s">
        <v>16</v>
      </c>
      <c r="H2736">
        <v>0.06</v>
      </c>
      <c r="I2736">
        <v>-0.34</v>
      </c>
      <c r="J2736">
        <v>-3.4</v>
      </c>
      <c r="L2736">
        <v>3.65</v>
      </c>
      <c r="M2736">
        <v>366.72</v>
      </c>
      <c r="N2736">
        <v>0.36</v>
      </c>
      <c r="O2736">
        <v>17.66</v>
      </c>
    </row>
    <row r="2737" spans="1:15">
      <c r="A2737" t="str">
        <f>"301362"</f>
        <v>301362</v>
      </c>
      <c r="B2737" t="s">
        <v>2775</v>
      </c>
      <c r="C2737">
        <v>2.9</v>
      </c>
      <c r="D2737">
        <v>240.77</v>
      </c>
      <c r="E2737" t="s">
        <v>16</v>
      </c>
      <c r="F2737" t="s">
        <v>16</v>
      </c>
      <c r="H2737">
        <v>0.02</v>
      </c>
      <c r="I2737">
        <v>23.01</v>
      </c>
      <c r="J2737">
        <v>-4.17</v>
      </c>
      <c r="K2737" t="s">
        <v>57</v>
      </c>
      <c r="L2737">
        <v>-2</v>
      </c>
      <c r="M2737">
        <v>742.96</v>
      </c>
      <c r="N2737">
        <v>0.08</v>
      </c>
      <c r="O2737">
        <v>0.62</v>
      </c>
    </row>
    <row r="2738" spans="1:15">
      <c r="A2738" t="str">
        <f>"301363"</f>
        <v>301363</v>
      </c>
      <c r="B2738" t="s">
        <v>2776</v>
      </c>
      <c r="C2738">
        <v>6.45</v>
      </c>
      <c r="D2738">
        <v>19.81</v>
      </c>
      <c r="E2738" t="s">
        <v>16</v>
      </c>
      <c r="F2738" t="s">
        <v>16</v>
      </c>
      <c r="H2738">
        <v>0</v>
      </c>
      <c r="I2738">
        <v>1.64</v>
      </c>
      <c r="J2738">
        <v>-7</v>
      </c>
      <c r="L2738">
        <v>3.06</v>
      </c>
      <c r="M2738">
        <v>365.85</v>
      </c>
      <c r="N2738">
        <v>0.09</v>
      </c>
      <c r="O2738">
        <v>6.06</v>
      </c>
    </row>
    <row r="2739" spans="1:15">
      <c r="A2739" t="str">
        <f>"301365"</f>
        <v>301365</v>
      </c>
      <c r="B2739" t="s">
        <v>2777</v>
      </c>
      <c r="C2739">
        <v>2.89</v>
      </c>
      <c r="D2739">
        <v>34.85</v>
      </c>
      <c r="E2739" t="s">
        <v>16</v>
      </c>
      <c r="F2739" t="s">
        <v>16</v>
      </c>
      <c r="H2739">
        <v>0.17</v>
      </c>
      <c r="I2739">
        <v>15.44</v>
      </c>
      <c r="J2739">
        <v>-1.27</v>
      </c>
      <c r="L2739">
        <v>-0.62</v>
      </c>
      <c r="M2739">
        <v>52.17</v>
      </c>
      <c r="N2739">
        <v>0.03</v>
      </c>
      <c r="O2739">
        <v>0.82</v>
      </c>
    </row>
    <row r="2740" spans="1:15">
      <c r="A2740" t="str">
        <f>"301366"</f>
        <v>301366</v>
      </c>
      <c r="B2740" t="s">
        <v>2778</v>
      </c>
      <c r="C2740">
        <v>-4.09</v>
      </c>
      <c r="D2740">
        <v>55.82</v>
      </c>
      <c r="E2740" t="s">
        <v>16</v>
      </c>
      <c r="F2740" t="s">
        <v>16</v>
      </c>
      <c r="H2740">
        <v>-0.12</v>
      </c>
      <c r="I2740">
        <v>10.97</v>
      </c>
      <c r="J2740">
        <v>-2.94</v>
      </c>
      <c r="K2740" t="s">
        <v>54</v>
      </c>
      <c r="L2740">
        <v>-2.06</v>
      </c>
      <c r="M2740">
        <v>4458.54</v>
      </c>
      <c r="N2740">
        <v>1.03</v>
      </c>
      <c r="O2740">
        <v>1.89</v>
      </c>
    </row>
    <row r="2741" spans="1:15">
      <c r="A2741" t="str">
        <f>"301367"</f>
        <v>301367</v>
      </c>
      <c r="B2741" t="s">
        <v>2779</v>
      </c>
      <c r="C2741">
        <v>-1.11</v>
      </c>
      <c r="D2741">
        <v>39.94</v>
      </c>
      <c r="E2741" t="s">
        <v>16</v>
      </c>
      <c r="F2741" t="s">
        <v>16</v>
      </c>
      <c r="H2741">
        <v>-0.02</v>
      </c>
      <c r="I2741">
        <v>-10.75</v>
      </c>
      <c r="J2741">
        <v>-2.49</v>
      </c>
      <c r="L2741">
        <v>0</v>
      </c>
      <c r="M2741">
        <v>1.21</v>
      </c>
      <c r="N2741">
        <v>0</v>
      </c>
      <c r="O2741">
        <v>0.25</v>
      </c>
    </row>
    <row r="2742" spans="1:15">
      <c r="A2742" t="str">
        <f>"301368"</f>
        <v>301368</v>
      </c>
      <c r="B2742" t="s">
        <v>2780</v>
      </c>
      <c r="C2742">
        <v>0.66</v>
      </c>
      <c r="D2742">
        <v>44.4</v>
      </c>
      <c r="E2742" t="s">
        <v>16</v>
      </c>
      <c r="F2742" t="s">
        <v>16</v>
      </c>
      <c r="H2742">
        <v>-0.03</v>
      </c>
      <c r="I2742">
        <v>1.02</v>
      </c>
      <c r="J2742">
        <v>-2.37</v>
      </c>
      <c r="L2742">
        <v>-1.34</v>
      </c>
      <c r="M2742">
        <v>25.24</v>
      </c>
      <c r="N2742">
        <v>0.01</v>
      </c>
      <c r="O2742">
        <v>0.92</v>
      </c>
    </row>
    <row r="2743" spans="1:15">
      <c r="A2743" t="str">
        <f>"301369"</f>
        <v>301369</v>
      </c>
      <c r="B2743" t="s">
        <v>2781</v>
      </c>
      <c r="C2743">
        <v>5.95</v>
      </c>
      <c r="D2743">
        <v>221.2</v>
      </c>
      <c r="E2743" t="s">
        <v>16</v>
      </c>
      <c r="F2743" t="s">
        <v>16</v>
      </c>
      <c r="H2743">
        <v>0.05</v>
      </c>
      <c r="I2743">
        <v>16.32</v>
      </c>
      <c r="J2743">
        <v>-1.44</v>
      </c>
      <c r="L2743">
        <v>0.58</v>
      </c>
      <c r="M2743">
        <v>728.7</v>
      </c>
      <c r="N2743">
        <v>0.09</v>
      </c>
      <c r="O2743">
        <v>9.13</v>
      </c>
    </row>
    <row r="2744" spans="1:15">
      <c r="A2744" t="str">
        <f>"301370"</f>
        <v>301370</v>
      </c>
      <c r="B2744" t="s">
        <v>2782</v>
      </c>
      <c r="C2744">
        <v>-0.58</v>
      </c>
      <c r="D2744">
        <v>8.6</v>
      </c>
      <c r="E2744" t="s">
        <v>16</v>
      </c>
      <c r="F2744" t="s">
        <v>16</v>
      </c>
      <c r="H2744">
        <v>-0.11</v>
      </c>
      <c r="I2744">
        <v>-4.76</v>
      </c>
      <c r="J2744">
        <v>-1.38</v>
      </c>
      <c r="L2744">
        <v>-0.12</v>
      </c>
      <c r="M2744">
        <v>0.95</v>
      </c>
      <c r="N2744">
        <v>0</v>
      </c>
      <c r="O2744">
        <v>0.08</v>
      </c>
    </row>
    <row r="2745" spans="1:15">
      <c r="A2745" t="str">
        <f>"301371"</f>
        <v>301371</v>
      </c>
      <c r="B2745" t="s">
        <v>2783</v>
      </c>
      <c r="C2745">
        <v>1.29</v>
      </c>
      <c r="D2745">
        <v>27.49</v>
      </c>
      <c r="E2745" t="s">
        <v>16</v>
      </c>
      <c r="F2745" t="s">
        <v>16</v>
      </c>
      <c r="H2745">
        <v>0.51</v>
      </c>
      <c r="I2745">
        <v>-1.68</v>
      </c>
      <c r="J2745">
        <v>-0.58</v>
      </c>
      <c r="L2745">
        <v>0.11</v>
      </c>
      <c r="M2745">
        <v>16.03</v>
      </c>
      <c r="N2745">
        <v>0.01</v>
      </c>
      <c r="O2745">
        <v>0.87</v>
      </c>
    </row>
    <row r="2746" spans="1:15">
      <c r="A2746" t="str">
        <f>"301372"</f>
        <v>301372</v>
      </c>
      <c r="B2746" t="s">
        <v>2784</v>
      </c>
      <c r="C2746">
        <v>-1.16</v>
      </c>
      <c r="D2746">
        <v>34.84</v>
      </c>
      <c r="E2746" t="s">
        <v>16</v>
      </c>
      <c r="F2746" t="s">
        <v>16</v>
      </c>
      <c r="H2746">
        <v>0.52</v>
      </c>
      <c r="I2746">
        <v>-1.08</v>
      </c>
      <c r="J2746">
        <v>-2.84</v>
      </c>
      <c r="L2746">
        <v>-0.57</v>
      </c>
      <c r="M2746">
        <v>37.85</v>
      </c>
      <c r="N2746">
        <v>0.03</v>
      </c>
      <c r="O2746">
        <v>1.57</v>
      </c>
    </row>
    <row r="2747" spans="1:15">
      <c r="A2747" t="str">
        <f>"301373"</f>
        <v>301373</v>
      </c>
      <c r="B2747" t="s">
        <v>2785</v>
      </c>
      <c r="C2747">
        <v>-0.14</v>
      </c>
      <c r="D2747">
        <v>194.9</v>
      </c>
      <c r="E2747" t="s">
        <v>16</v>
      </c>
      <c r="F2747" t="s">
        <v>16</v>
      </c>
      <c r="H2747">
        <v>0.05</v>
      </c>
      <c r="I2747">
        <v>38.52</v>
      </c>
      <c r="J2747">
        <v>-1.71</v>
      </c>
      <c r="K2747" t="s">
        <v>57</v>
      </c>
      <c r="L2747">
        <v>-8.86</v>
      </c>
      <c r="M2747">
        <v>3466.88</v>
      </c>
      <c r="N2747">
        <v>0.51</v>
      </c>
      <c r="O2747">
        <v>1.13</v>
      </c>
    </row>
    <row r="2748" spans="1:15">
      <c r="A2748" t="str">
        <f>"301376"</f>
        <v>301376</v>
      </c>
      <c r="B2748" t="s">
        <v>2786</v>
      </c>
      <c r="C2748">
        <v>-2.36</v>
      </c>
      <c r="D2748">
        <v>15.28</v>
      </c>
      <c r="E2748" t="s">
        <v>16</v>
      </c>
      <c r="F2748" t="s">
        <v>16</v>
      </c>
      <c r="H2748">
        <v>-0.64</v>
      </c>
      <c r="I2748">
        <v>-15.39</v>
      </c>
      <c r="J2748">
        <v>-2.24</v>
      </c>
      <c r="L2748">
        <v>-0.58</v>
      </c>
      <c r="M2748">
        <v>19.14</v>
      </c>
      <c r="N2748">
        <v>0.01</v>
      </c>
      <c r="O2748">
        <v>1.69</v>
      </c>
    </row>
    <row r="2749" spans="1:15">
      <c r="A2749" t="str">
        <f>"301377"</f>
        <v>301377</v>
      </c>
      <c r="B2749" t="s">
        <v>2787</v>
      </c>
      <c r="C2749">
        <v>1.69</v>
      </c>
      <c r="D2749">
        <v>600</v>
      </c>
      <c r="E2749" t="s">
        <v>16</v>
      </c>
      <c r="F2749" t="s">
        <v>16</v>
      </c>
      <c r="H2749">
        <v>-0.57</v>
      </c>
      <c r="I2749">
        <v>46.87</v>
      </c>
      <c r="J2749">
        <v>-4.49</v>
      </c>
      <c r="L2749">
        <v>-3.37</v>
      </c>
      <c r="M2749">
        <v>1976.08</v>
      </c>
      <c r="N2749">
        <v>0.05</v>
      </c>
      <c r="O2749">
        <v>1.33</v>
      </c>
    </row>
    <row r="2750" spans="1:15">
      <c r="A2750" t="str">
        <f>"301378"</f>
        <v>301378</v>
      </c>
      <c r="B2750" t="s">
        <v>2788</v>
      </c>
      <c r="C2750">
        <v>0.89</v>
      </c>
      <c r="D2750">
        <v>27.24</v>
      </c>
      <c r="E2750" t="s">
        <v>16</v>
      </c>
      <c r="F2750" t="s">
        <v>16</v>
      </c>
      <c r="H2750">
        <v>-0.17</v>
      </c>
      <c r="I2750">
        <v>-2.82</v>
      </c>
      <c r="J2750">
        <v>-0.77</v>
      </c>
      <c r="L2750">
        <v>-0.26</v>
      </c>
      <c r="M2750">
        <v>24.51</v>
      </c>
      <c r="N2750">
        <v>0.03</v>
      </c>
      <c r="O2750">
        <v>0.34</v>
      </c>
    </row>
    <row r="2751" spans="1:15">
      <c r="A2751" t="str">
        <f>"301379"</f>
        <v>301379</v>
      </c>
      <c r="B2751" t="s">
        <v>2789</v>
      </c>
      <c r="C2751">
        <v>-2.01</v>
      </c>
      <c r="D2751">
        <v>25.4</v>
      </c>
      <c r="E2751" t="s">
        <v>16</v>
      </c>
      <c r="F2751" t="s">
        <v>16</v>
      </c>
      <c r="H2751">
        <v>-0.3</v>
      </c>
      <c r="I2751">
        <v>-5.19</v>
      </c>
      <c r="J2751">
        <v>-2.79</v>
      </c>
      <c r="L2751">
        <v>-0.93</v>
      </c>
      <c r="M2751">
        <v>316.89</v>
      </c>
      <c r="N2751">
        <v>0.07</v>
      </c>
      <c r="O2751">
        <v>1.74</v>
      </c>
    </row>
    <row r="2752" spans="1:15">
      <c r="A2752" t="str">
        <f>"301380"</f>
        <v>301380</v>
      </c>
      <c r="B2752" t="s">
        <v>2790</v>
      </c>
      <c r="C2752">
        <v>0.07</v>
      </c>
      <c r="D2752">
        <v>29.02</v>
      </c>
      <c r="E2752" t="s">
        <v>16</v>
      </c>
      <c r="F2752" t="s">
        <v>16</v>
      </c>
      <c r="H2752">
        <v>-0.02</v>
      </c>
      <c r="I2752">
        <v>-6.36</v>
      </c>
      <c r="J2752">
        <v>-1.89</v>
      </c>
      <c r="L2752">
        <v>2</v>
      </c>
      <c r="M2752">
        <v>3.55</v>
      </c>
      <c r="N2752">
        <v>0</v>
      </c>
      <c r="O2752">
        <v>1.09</v>
      </c>
    </row>
    <row r="2753" spans="1:15">
      <c r="A2753" t="str">
        <f>"301381"</f>
        <v>301381</v>
      </c>
      <c r="B2753" t="s">
        <v>2791</v>
      </c>
      <c r="C2753">
        <v>1.2</v>
      </c>
      <c r="D2753">
        <v>19.32</v>
      </c>
      <c r="E2753" t="s">
        <v>16</v>
      </c>
      <c r="F2753" t="s">
        <v>16</v>
      </c>
      <c r="H2753">
        <v>0.05</v>
      </c>
      <c r="I2753">
        <v>10.72</v>
      </c>
      <c r="J2753">
        <v>0</v>
      </c>
      <c r="L2753">
        <v>-0.47</v>
      </c>
      <c r="M2753">
        <v>4.56</v>
      </c>
      <c r="N2753">
        <v>0</v>
      </c>
      <c r="O2753">
        <v>0.24</v>
      </c>
    </row>
    <row r="2754" spans="1:15">
      <c r="A2754" t="str">
        <f>"301382"</f>
        <v>301382</v>
      </c>
      <c r="B2754" t="s">
        <v>2792</v>
      </c>
      <c r="C2754">
        <v>0.34</v>
      </c>
      <c r="D2754">
        <v>40.88</v>
      </c>
      <c r="E2754" t="s">
        <v>16</v>
      </c>
      <c r="F2754" t="s">
        <v>16</v>
      </c>
      <c r="H2754">
        <v>0.27</v>
      </c>
      <c r="I2754">
        <v>1.72</v>
      </c>
      <c r="J2754">
        <v>-3.15</v>
      </c>
      <c r="L2754">
        <v>0.15</v>
      </c>
      <c r="M2754">
        <v>309.67</v>
      </c>
      <c r="N2754">
        <v>0.05</v>
      </c>
      <c r="O2754">
        <v>1.85</v>
      </c>
    </row>
    <row r="2755" spans="1:15">
      <c r="A2755" t="str">
        <f>"301383"</f>
        <v>301383</v>
      </c>
      <c r="B2755" t="s">
        <v>2793</v>
      </c>
      <c r="C2755">
        <v>1.14</v>
      </c>
      <c r="D2755">
        <v>27.56</v>
      </c>
      <c r="E2755" t="s">
        <v>16</v>
      </c>
      <c r="F2755" t="s">
        <v>16</v>
      </c>
      <c r="H2755">
        <v>0.04</v>
      </c>
      <c r="I2755">
        <v>-4.74</v>
      </c>
      <c r="J2755">
        <v>-2.1</v>
      </c>
      <c r="L2755">
        <v>-0.73</v>
      </c>
      <c r="M2755">
        <v>12.17</v>
      </c>
      <c r="N2755">
        <v>0.01</v>
      </c>
      <c r="O2755">
        <v>0.98</v>
      </c>
    </row>
    <row r="2756" spans="1:15">
      <c r="A2756" t="str">
        <f>"301386"</f>
        <v>301386</v>
      </c>
      <c r="B2756" t="s">
        <v>2794</v>
      </c>
      <c r="C2756">
        <v>0.62</v>
      </c>
      <c r="D2756">
        <v>20.99</v>
      </c>
      <c r="E2756" t="s">
        <v>16</v>
      </c>
      <c r="F2756" t="s">
        <v>16</v>
      </c>
      <c r="H2756">
        <v>0.05</v>
      </c>
      <c r="I2756">
        <v>-4.81</v>
      </c>
      <c r="J2756">
        <v>-0.33</v>
      </c>
      <c r="L2756">
        <v>-1.15</v>
      </c>
      <c r="M2756">
        <v>5.36</v>
      </c>
      <c r="N2756">
        <v>0.01</v>
      </c>
      <c r="O2756">
        <v>4.33</v>
      </c>
    </row>
    <row r="2757" spans="1:15">
      <c r="A2757" t="str">
        <f>"301387"</f>
        <v>301387</v>
      </c>
      <c r="B2757" t="s">
        <v>2795</v>
      </c>
      <c r="C2757">
        <v>-1.42</v>
      </c>
      <c r="D2757">
        <v>106.97</v>
      </c>
      <c r="E2757" t="s">
        <v>16</v>
      </c>
      <c r="F2757" t="s">
        <v>16</v>
      </c>
      <c r="H2757">
        <v>0.48</v>
      </c>
      <c r="I2757">
        <v>15.27</v>
      </c>
      <c r="J2757">
        <v>-2.66</v>
      </c>
      <c r="K2757" t="s">
        <v>57</v>
      </c>
      <c r="L2757">
        <v>-0.61</v>
      </c>
      <c r="M2757">
        <v>402.28</v>
      </c>
      <c r="N2757">
        <v>0.11</v>
      </c>
      <c r="O2757">
        <v>0.96</v>
      </c>
    </row>
    <row r="2758" spans="1:15">
      <c r="A2758" t="str">
        <f>"301388"</f>
        <v>301388</v>
      </c>
      <c r="B2758" t="s">
        <v>2796</v>
      </c>
      <c r="C2758">
        <v>-1.5</v>
      </c>
      <c r="D2758">
        <v>25.6</v>
      </c>
      <c r="E2758" t="s">
        <v>16</v>
      </c>
      <c r="F2758" t="s">
        <v>16</v>
      </c>
      <c r="H2758">
        <v>0.04</v>
      </c>
      <c r="I2758">
        <v>-4.94</v>
      </c>
      <c r="J2758">
        <v>-1.73</v>
      </c>
      <c r="L2758">
        <v>-0.5</v>
      </c>
      <c r="M2758">
        <v>9.83</v>
      </c>
      <c r="N2758">
        <v>0.01</v>
      </c>
      <c r="O2758">
        <v>0.63</v>
      </c>
    </row>
    <row r="2759" spans="1:15">
      <c r="A2759" t="str">
        <f>"301389"</f>
        <v>301389</v>
      </c>
      <c r="B2759" t="s">
        <v>2797</v>
      </c>
      <c r="C2759">
        <v>0.17</v>
      </c>
      <c r="D2759">
        <v>103.17</v>
      </c>
      <c r="E2759" t="s">
        <v>16</v>
      </c>
      <c r="F2759" t="s">
        <v>16</v>
      </c>
      <c r="H2759">
        <v>0</v>
      </c>
      <c r="I2759">
        <v>25.71</v>
      </c>
      <c r="J2759">
        <v>-1.92</v>
      </c>
      <c r="L2759">
        <v>-1.94</v>
      </c>
      <c r="M2759">
        <v>1427.13</v>
      </c>
      <c r="N2759">
        <v>0.16</v>
      </c>
      <c r="O2759">
        <v>0.34</v>
      </c>
    </row>
    <row r="2760" spans="1:15">
      <c r="A2760" t="str">
        <f>"301390"</f>
        <v>301390</v>
      </c>
      <c r="B2760" t="s">
        <v>2798</v>
      </c>
      <c r="C2760">
        <v>-0.41</v>
      </c>
      <c r="D2760">
        <v>29.25</v>
      </c>
      <c r="E2760" t="s">
        <v>16</v>
      </c>
      <c r="F2760" t="s">
        <v>16</v>
      </c>
      <c r="H2760">
        <v>-0.02</v>
      </c>
      <c r="I2760">
        <v>-6.97</v>
      </c>
      <c r="J2760">
        <v>-1.42</v>
      </c>
      <c r="L2760">
        <v>0.14</v>
      </c>
      <c r="M2760">
        <v>18.82</v>
      </c>
      <c r="N2760">
        <v>0.02</v>
      </c>
      <c r="O2760">
        <v>1.25</v>
      </c>
    </row>
    <row r="2761" spans="1:15">
      <c r="A2761" t="str">
        <f>"301391"</f>
        <v>301391</v>
      </c>
      <c r="B2761" t="s">
        <v>2799</v>
      </c>
      <c r="C2761">
        <v>-0.41</v>
      </c>
      <c r="D2761">
        <v>65.85</v>
      </c>
      <c r="E2761" t="s">
        <v>16</v>
      </c>
      <c r="F2761" t="s">
        <v>16</v>
      </c>
      <c r="H2761">
        <v>0.14</v>
      </c>
      <c r="I2761">
        <v>1.15</v>
      </c>
      <c r="J2761">
        <v>-4.29</v>
      </c>
      <c r="L2761">
        <v>-0.65</v>
      </c>
      <c r="M2761">
        <v>6.57</v>
      </c>
      <c r="N2761">
        <v>0</v>
      </c>
      <c r="O2761">
        <v>0.4</v>
      </c>
    </row>
    <row r="2762" spans="1:15">
      <c r="A2762" t="str">
        <f>"301392"</f>
        <v>301392</v>
      </c>
      <c r="B2762" t="s">
        <v>2800</v>
      </c>
      <c r="C2762">
        <v>4.26</v>
      </c>
      <c r="D2762">
        <v>210.61</v>
      </c>
      <c r="E2762" t="s">
        <v>16</v>
      </c>
      <c r="F2762" t="s">
        <v>16</v>
      </c>
      <c r="H2762">
        <v>-0.12</v>
      </c>
      <c r="I2762">
        <v>24.09</v>
      </c>
      <c r="J2762">
        <v>-1.11</v>
      </c>
      <c r="L2762">
        <v>-4.44</v>
      </c>
      <c r="M2762">
        <v>1978.56</v>
      </c>
      <c r="N2762">
        <v>0.25</v>
      </c>
      <c r="O2762">
        <v>2.1</v>
      </c>
    </row>
    <row r="2763" spans="1:15">
      <c r="A2763" t="str">
        <f>"301393"</f>
        <v>301393</v>
      </c>
      <c r="B2763" t="s">
        <v>2801</v>
      </c>
      <c r="C2763">
        <v>2.3</v>
      </c>
      <c r="D2763">
        <v>52.87</v>
      </c>
      <c r="E2763" t="s">
        <v>16</v>
      </c>
      <c r="F2763" t="s">
        <v>16</v>
      </c>
      <c r="H2763">
        <v>-0.1</v>
      </c>
      <c r="I2763">
        <v>-2.24</v>
      </c>
      <c r="J2763">
        <v>-2.45</v>
      </c>
      <c r="L2763">
        <v>0.54</v>
      </c>
      <c r="M2763">
        <v>3.12</v>
      </c>
      <c r="N2763">
        <v>0</v>
      </c>
      <c r="O2763">
        <v>0.6</v>
      </c>
    </row>
    <row r="2764" spans="1:15">
      <c r="A2764" t="str">
        <f>"301395"</f>
        <v>301395</v>
      </c>
      <c r="B2764" t="s">
        <v>2802</v>
      </c>
      <c r="C2764">
        <v>-2.52</v>
      </c>
      <c r="D2764">
        <v>11.21</v>
      </c>
      <c r="E2764" t="s">
        <v>16</v>
      </c>
      <c r="F2764" t="s">
        <v>16</v>
      </c>
      <c r="H2764">
        <v>-0.35</v>
      </c>
      <c r="I2764">
        <v>-4.84</v>
      </c>
      <c r="J2764">
        <v>-3.11</v>
      </c>
      <c r="L2764">
        <v>-0.17</v>
      </c>
      <c r="M2764">
        <v>5.05</v>
      </c>
      <c r="N2764">
        <v>0</v>
      </c>
      <c r="O2764">
        <v>0.54</v>
      </c>
    </row>
    <row r="2765" spans="1:15">
      <c r="A2765" t="str">
        <f>"301396"</f>
        <v>301396</v>
      </c>
      <c r="B2765" t="s">
        <v>2803</v>
      </c>
      <c r="C2765">
        <v>3.41</v>
      </c>
      <c r="D2765">
        <v>222.97</v>
      </c>
      <c r="E2765" t="s">
        <v>16</v>
      </c>
      <c r="F2765" t="s">
        <v>16</v>
      </c>
      <c r="H2765">
        <v>0.29</v>
      </c>
      <c r="I2765">
        <v>31.72</v>
      </c>
      <c r="J2765">
        <v>-2.63</v>
      </c>
      <c r="L2765">
        <v>0.35</v>
      </c>
      <c r="M2765">
        <v>4029.72</v>
      </c>
      <c r="N2765">
        <v>0.17</v>
      </c>
      <c r="O2765">
        <v>3.15</v>
      </c>
    </row>
    <row r="2766" spans="1:15">
      <c r="A2766" t="str">
        <f>"301397"</f>
        <v>301397</v>
      </c>
      <c r="B2766" t="s">
        <v>2804</v>
      </c>
      <c r="C2766">
        <v>-0.18</v>
      </c>
      <c r="D2766">
        <v>33.3</v>
      </c>
      <c r="E2766" t="s">
        <v>16</v>
      </c>
      <c r="F2766" t="s">
        <v>16</v>
      </c>
      <c r="H2766">
        <v>0.03</v>
      </c>
      <c r="I2766">
        <v>6.8</v>
      </c>
      <c r="J2766">
        <v>-2.75</v>
      </c>
      <c r="L2766">
        <v>0.27</v>
      </c>
      <c r="M2766">
        <v>8.7</v>
      </c>
      <c r="N2766">
        <v>0</v>
      </c>
      <c r="O2766">
        <v>0.34</v>
      </c>
    </row>
    <row r="2767" spans="1:15">
      <c r="A2767" t="str">
        <f>"301398"</f>
        <v>301398</v>
      </c>
      <c r="B2767" t="s">
        <v>2805</v>
      </c>
      <c r="C2767">
        <v>-3.15</v>
      </c>
      <c r="D2767">
        <v>39.35</v>
      </c>
      <c r="E2767" t="s">
        <v>16</v>
      </c>
      <c r="F2767" t="s">
        <v>16</v>
      </c>
      <c r="H2767">
        <v>0.25</v>
      </c>
      <c r="I2767">
        <v>2.63</v>
      </c>
      <c r="J2767">
        <v>-3.88</v>
      </c>
      <c r="L2767">
        <v>-0.74</v>
      </c>
      <c r="M2767">
        <v>4.03</v>
      </c>
      <c r="N2767">
        <v>0</v>
      </c>
      <c r="O2767">
        <v>0.21</v>
      </c>
    </row>
    <row r="2768" spans="1:15">
      <c r="A2768" t="str">
        <f>"301399"</f>
        <v>301399</v>
      </c>
      <c r="B2768" t="s">
        <v>2806</v>
      </c>
      <c r="C2768">
        <v>1.85</v>
      </c>
      <c r="D2768">
        <v>18.18</v>
      </c>
      <c r="E2768" t="s">
        <v>16</v>
      </c>
      <c r="F2768" t="s">
        <v>16</v>
      </c>
      <c r="H2768">
        <v>0.17</v>
      </c>
      <c r="I2768">
        <v>0.94</v>
      </c>
      <c r="J2768">
        <v>-0.49</v>
      </c>
      <c r="L2768">
        <v>-0.62</v>
      </c>
      <c r="M2768">
        <v>5.32</v>
      </c>
      <c r="N2768">
        <v>0.01</v>
      </c>
      <c r="O2768">
        <v>0.44</v>
      </c>
    </row>
    <row r="2769" spans="1:15">
      <c r="A2769" t="str">
        <f>"301408"</f>
        <v>301408</v>
      </c>
      <c r="B2769" t="s">
        <v>2807</v>
      </c>
      <c r="C2769">
        <v>0.46</v>
      </c>
      <c r="D2769">
        <v>15.39</v>
      </c>
      <c r="E2769" t="s">
        <v>16</v>
      </c>
      <c r="F2769" t="s">
        <v>16</v>
      </c>
      <c r="H2769">
        <v>0</v>
      </c>
      <c r="I2769">
        <v>-6.27</v>
      </c>
      <c r="J2769">
        <v>-1.47</v>
      </c>
      <c r="L2769">
        <v>-0.85</v>
      </c>
      <c r="M2769">
        <v>25.06</v>
      </c>
      <c r="N2769">
        <v>0.01</v>
      </c>
      <c r="O2769">
        <v>1.4</v>
      </c>
    </row>
    <row r="2770" spans="1:15">
      <c r="A2770" t="str">
        <f>"301413"</f>
        <v>301413</v>
      </c>
      <c r="B2770" t="s">
        <v>2808</v>
      </c>
      <c r="C2770">
        <v>-0.75</v>
      </c>
      <c r="D2770">
        <v>80.28</v>
      </c>
      <c r="E2770" t="s">
        <v>16</v>
      </c>
      <c r="F2770" t="s">
        <v>16</v>
      </c>
      <c r="H2770">
        <v>0.11</v>
      </c>
      <c r="I2770">
        <v>-8.88</v>
      </c>
      <c r="J2770">
        <v>-1.85</v>
      </c>
      <c r="L2770">
        <v>0.74</v>
      </c>
      <c r="M2770">
        <v>53.78</v>
      </c>
      <c r="N2770">
        <v>0.01</v>
      </c>
      <c r="O2770">
        <v>1.65</v>
      </c>
    </row>
    <row r="2771" spans="1:15">
      <c r="A2771" t="str">
        <f>"301418"</f>
        <v>301418</v>
      </c>
      <c r="B2771" t="s">
        <v>2809</v>
      </c>
      <c r="C2771">
        <v>-4.69</v>
      </c>
      <c r="D2771">
        <v>48.18</v>
      </c>
      <c r="E2771" t="s">
        <v>16</v>
      </c>
      <c r="F2771" t="s">
        <v>16</v>
      </c>
      <c r="H2771">
        <v>-0.51</v>
      </c>
      <c r="I2771">
        <v>10.08</v>
      </c>
      <c r="J2771">
        <v>-4.37</v>
      </c>
      <c r="L2771">
        <v>-0.99</v>
      </c>
      <c r="M2771">
        <v>134.13</v>
      </c>
      <c r="N2771">
        <v>0.09</v>
      </c>
      <c r="O2771">
        <v>0.46</v>
      </c>
    </row>
    <row r="2772" spans="1:15">
      <c r="A2772" t="str">
        <f>"301419"</f>
        <v>301419</v>
      </c>
      <c r="B2772" t="s">
        <v>2810</v>
      </c>
      <c r="C2772">
        <v>5.07</v>
      </c>
      <c r="D2772">
        <v>45.6</v>
      </c>
      <c r="E2772" t="s">
        <v>16</v>
      </c>
      <c r="F2772" t="s">
        <v>16</v>
      </c>
      <c r="H2772">
        <v>0.82</v>
      </c>
      <c r="I2772">
        <v>-4.52</v>
      </c>
      <c r="J2772">
        <v>-4.9</v>
      </c>
      <c r="L2772">
        <v>1.45</v>
      </c>
      <c r="M2772">
        <v>782.41</v>
      </c>
      <c r="N2772">
        <v>0.35</v>
      </c>
      <c r="O2772">
        <v>7.56</v>
      </c>
    </row>
    <row r="2773" spans="1:15">
      <c r="A2773" t="str">
        <f>"301421"</f>
        <v>301421</v>
      </c>
      <c r="B2773" t="s">
        <v>2811</v>
      </c>
      <c r="C2773">
        <v>0.39</v>
      </c>
      <c r="D2773">
        <v>101.11</v>
      </c>
      <c r="E2773" t="s">
        <v>16</v>
      </c>
      <c r="F2773" t="s">
        <v>16</v>
      </c>
      <c r="H2773">
        <v>-0.06</v>
      </c>
      <c r="I2773">
        <v>6.24</v>
      </c>
      <c r="J2773">
        <v>-1.33</v>
      </c>
      <c r="L2773">
        <v>-1.71</v>
      </c>
      <c r="M2773">
        <v>514.8</v>
      </c>
      <c r="N2773">
        <v>0.11</v>
      </c>
      <c r="O2773">
        <v>2.37</v>
      </c>
    </row>
    <row r="2774" spans="1:15">
      <c r="A2774" t="str">
        <f>"301428"</f>
        <v>301428</v>
      </c>
      <c r="B2774" t="s">
        <v>2812</v>
      </c>
      <c r="C2774">
        <v>-0.89</v>
      </c>
      <c r="D2774">
        <v>37.85</v>
      </c>
      <c r="E2774" t="s">
        <v>16</v>
      </c>
      <c r="F2774" t="s">
        <v>16</v>
      </c>
      <c r="H2774">
        <v>0.03</v>
      </c>
      <c r="I2774">
        <v>4.13</v>
      </c>
      <c r="J2774">
        <v>-1.05</v>
      </c>
      <c r="L2774">
        <v>-2.59</v>
      </c>
      <c r="M2774">
        <v>270.07</v>
      </c>
      <c r="N2774">
        <v>0.12</v>
      </c>
      <c r="O2774">
        <v>1.79</v>
      </c>
    </row>
    <row r="2775" spans="1:15">
      <c r="A2775" t="str">
        <f>"301429"</f>
        <v>301429</v>
      </c>
      <c r="B2775" t="s">
        <v>2813</v>
      </c>
      <c r="C2775">
        <v>-0.63</v>
      </c>
      <c r="D2775">
        <v>17.44</v>
      </c>
      <c r="E2775" t="s">
        <v>16</v>
      </c>
      <c r="F2775" t="s">
        <v>16</v>
      </c>
      <c r="H2775">
        <v>0.06</v>
      </c>
      <c r="I2775">
        <v>-7.77</v>
      </c>
      <c r="J2775">
        <v>-1.3</v>
      </c>
      <c r="L2775">
        <v>0.06</v>
      </c>
      <c r="M2775">
        <v>25.46</v>
      </c>
      <c r="N2775">
        <v>0.04</v>
      </c>
      <c r="O2775">
        <v>1.07</v>
      </c>
    </row>
    <row r="2776" spans="1:15">
      <c r="A2776" t="str">
        <f>"301439"</f>
        <v>301439</v>
      </c>
      <c r="B2776" t="s">
        <v>2814</v>
      </c>
      <c r="C2776">
        <v>0.17</v>
      </c>
      <c r="D2776">
        <v>17.25</v>
      </c>
      <c r="E2776" t="s">
        <v>16</v>
      </c>
      <c r="F2776" t="s">
        <v>16</v>
      </c>
      <c r="H2776">
        <v>0.06</v>
      </c>
      <c r="I2776">
        <v>-18.52</v>
      </c>
      <c r="J2776">
        <v>-3.31</v>
      </c>
      <c r="L2776">
        <v>1.51</v>
      </c>
      <c r="M2776">
        <v>449.24</v>
      </c>
      <c r="N2776">
        <v>0.23</v>
      </c>
      <c r="O2776">
        <v>0.77</v>
      </c>
    </row>
    <row r="2777" spans="1:15">
      <c r="A2777" t="str">
        <f>"301446"</f>
        <v>301446</v>
      </c>
      <c r="B2777" t="s">
        <v>2815</v>
      </c>
      <c r="C2777">
        <v>0.71</v>
      </c>
      <c r="D2777">
        <v>42.6</v>
      </c>
      <c r="E2777" t="s">
        <v>16</v>
      </c>
      <c r="F2777" t="s">
        <v>16</v>
      </c>
      <c r="H2777">
        <v>0.24</v>
      </c>
      <c r="I2777">
        <v>-3.03</v>
      </c>
      <c r="J2777">
        <v>-0.65</v>
      </c>
      <c r="L2777">
        <v>0</v>
      </c>
      <c r="M2777">
        <v>2.12</v>
      </c>
      <c r="N2777">
        <v>0</v>
      </c>
      <c r="O2777">
        <v>1.67</v>
      </c>
    </row>
    <row r="2778" spans="1:15">
      <c r="A2778" t="str">
        <f>"301448"</f>
        <v>301448</v>
      </c>
      <c r="B2778" t="s">
        <v>2816</v>
      </c>
      <c r="C2778">
        <v>7.67</v>
      </c>
      <c r="D2778">
        <v>42.83</v>
      </c>
      <c r="E2778" t="s">
        <v>16</v>
      </c>
      <c r="F2778" t="s">
        <v>16</v>
      </c>
      <c r="H2778">
        <v>-0.13</v>
      </c>
      <c r="I2778">
        <v>28.58</v>
      </c>
      <c r="J2778">
        <v>-1.09</v>
      </c>
      <c r="L2778">
        <v>-1.63</v>
      </c>
      <c r="M2778">
        <v>132.65</v>
      </c>
      <c r="N2778">
        <v>0.1</v>
      </c>
      <c r="O2778">
        <v>0.58</v>
      </c>
    </row>
    <row r="2779" spans="1:15">
      <c r="A2779" t="str">
        <f>"301449"</f>
        <v>301449</v>
      </c>
      <c r="B2779" t="s">
        <v>2817</v>
      </c>
      <c r="C2779">
        <v>1.07</v>
      </c>
      <c r="D2779">
        <v>42.46</v>
      </c>
      <c r="E2779" t="s">
        <v>16</v>
      </c>
      <c r="F2779" t="s">
        <v>16</v>
      </c>
      <c r="H2779">
        <v>0</v>
      </c>
      <c r="I2779">
        <v>-3.28</v>
      </c>
      <c r="J2779">
        <v>-1.48</v>
      </c>
      <c r="L2779">
        <v>0.33</v>
      </c>
      <c r="M2779">
        <v>7.59</v>
      </c>
      <c r="N2779">
        <v>0.01</v>
      </c>
      <c r="O2779">
        <v>0.69</v>
      </c>
    </row>
    <row r="2780" spans="1:15">
      <c r="A2780" t="str">
        <f>"301456"</f>
        <v>301456</v>
      </c>
      <c r="B2780" t="s">
        <v>2818</v>
      </c>
      <c r="C2780">
        <v>-0.6</v>
      </c>
      <c r="D2780">
        <v>24.9</v>
      </c>
      <c r="E2780" t="s">
        <v>16</v>
      </c>
      <c r="F2780" t="s">
        <v>16</v>
      </c>
      <c r="H2780">
        <v>-0.07</v>
      </c>
      <c r="I2780">
        <v>-5.43</v>
      </c>
      <c r="J2780">
        <v>-1.46</v>
      </c>
      <c r="L2780">
        <v>-0.32</v>
      </c>
      <c r="M2780">
        <v>13.73</v>
      </c>
      <c r="N2780">
        <v>0.01</v>
      </c>
      <c r="O2780">
        <v>3.93</v>
      </c>
    </row>
    <row r="2781" spans="1:15">
      <c r="A2781" t="str">
        <f>"301458"</f>
        <v>301458</v>
      </c>
      <c r="B2781" t="s">
        <v>2819</v>
      </c>
      <c r="C2781">
        <v>4.83</v>
      </c>
      <c r="D2781">
        <v>60.58</v>
      </c>
      <c r="E2781" t="s">
        <v>16</v>
      </c>
      <c r="F2781" t="s">
        <v>16</v>
      </c>
      <c r="H2781">
        <v>0.17</v>
      </c>
      <c r="I2781">
        <v>6.09</v>
      </c>
      <c r="J2781">
        <v>-2.29</v>
      </c>
      <c r="L2781">
        <v>-1</v>
      </c>
      <c r="M2781">
        <v>727.14</v>
      </c>
      <c r="N2781">
        <v>0.12</v>
      </c>
      <c r="O2781">
        <v>1.49</v>
      </c>
    </row>
    <row r="2782" spans="1:15">
      <c r="A2782" t="str">
        <f>"301459"</f>
        <v>301459</v>
      </c>
      <c r="B2782" t="s">
        <v>2820</v>
      </c>
      <c r="C2782">
        <v>0.26</v>
      </c>
      <c r="D2782">
        <v>35.33</v>
      </c>
      <c r="E2782" t="s">
        <v>16</v>
      </c>
      <c r="F2782" t="s">
        <v>16</v>
      </c>
      <c r="H2782">
        <v>0.28</v>
      </c>
      <c r="I2782">
        <v>5.84</v>
      </c>
      <c r="J2782">
        <v>-0.93</v>
      </c>
      <c r="L2782">
        <v>0</v>
      </c>
      <c r="M2782">
        <v>0.81</v>
      </c>
      <c r="N2782">
        <v>0</v>
      </c>
      <c r="O2782">
        <v>0.23</v>
      </c>
    </row>
    <row r="2783" spans="1:15">
      <c r="A2783" t="str">
        <f>"301468"</f>
        <v>301468</v>
      </c>
      <c r="B2783" t="s">
        <v>2821</v>
      </c>
      <c r="C2783">
        <v>0.53</v>
      </c>
      <c r="D2783">
        <v>48.89</v>
      </c>
      <c r="E2783" t="s">
        <v>16</v>
      </c>
      <c r="F2783" t="s">
        <v>16</v>
      </c>
      <c r="H2783">
        <v>0.25</v>
      </c>
      <c r="I2783">
        <v>-5.93</v>
      </c>
      <c r="J2783">
        <v>-7.74</v>
      </c>
      <c r="L2783">
        <v>4.26</v>
      </c>
      <c r="M2783">
        <v>714.97</v>
      </c>
      <c r="N2783">
        <v>0.15</v>
      </c>
      <c r="O2783">
        <v>2.06</v>
      </c>
    </row>
    <row r="2784" spans="1:15">
      <c r="A2784" t="str">
        <f>"301469"</f>
        <v>301469</v>
      </c>
      <c r="B2784" t="s">
        <v>2822</v>
      </c>
      <c r="C2784">
        <v>0.7</v>
      </c>
      <c r="D2784">
        <v>30.32</v>
      </c>
      <c r="E2784" t="s">
        <v>16</v>
      </c>
      <c r="F2784" t="s">
        <v>16</v>
      </c>
      <c r="H2784">
        <v>-0.29</v>
      </c>
      <c r="I2784">
        <v>-1.27</v>
      </c>
      <c r="J2784">
        <v>-2.66</v>
      </c>
      <c r="L2784">
        <v>-0.76</v>
      </c>
      <c r="M2784">
        <v>18.82</v>
      </c>
      <c r="N2784">
        <v>0.03</v>
      </c>
      <c r="O2784">
        <v>7.87</v>
      </c>
    </row>
    <row r="2785" spans="1:15">
      <c r="A2785" t="str">
        <f>"301479"</f>
        <v>301479</v>
      </c>
      <c r="B2785" t="s">
        <v>2823</v>
      </c>
      <c r="C2785">
        <v>-2.07</v>
      </c>
      <c r="D2785">
        <v>63.9</v>
      </c>
      <c r="E2785" t="s">
        <v>16</v>
      </c>
      <c r="F2785" t="s">
        <v>16</v>
      </c>
      <c r="H2785">
        <v>-0.02</v>
      </c>
      <c r="I2785">
        <v>-6.62</v>
      </c>
      <c r="J2785">
        <v>-2.07</v>
      </c>
      <c r="L2785">
        <v>0</v>
      </c>
      <c r="M2785">
        <v>71.78</v>
      </c>
      <c r="N2785">
        <v>0.02</v>
      </c>
      <c r="O2785">
        <v>0.92</v>
      </c>
    </row>
    <row r="2786" spans="1:15">
      <c r="A2786" t="str">
        <f>"301486"</f>
        <v>301486</v>
      </c>
      <c r="B2786" t="s">
        <v>2824</v>
      </c>
      <c r="C2786">
        <v>-1.79</v>
      </c>
      <c r="D2786">
        <v>255.47</v>
      </c>
      <c r="E2786" t="s">
        <v>16</v>
      </c>
      <c r="F2786" t="s">
        <v>16</v>
      </c>
      <c r="H2786">
        <v>0.01</v>
      </c>
      <c r="I2786">
        <v>16.12</v>
      </c>
      <c r="J2786">
        <v>-1.36</v>
      </c>
      <c r="L2786">
        <v>-0.58</v>
      </c>
      <c r="M2786">
        <v>2948.04</v>
      </c>
      <c r="N2786">
        <v>0.2</v>
      </c>
      <c r="O2786">
        <v>1.63</v>
      </c>
    </row>
    <row r="2787" spans="1:15">
      <c r="A2787" t="str">
        <f>"301487"</f>
        <v>301487</v>
      </c>
      <c r="B2787" t="s">
        <v>2825</v>
      </c>
      <c r="C2787">
        <v>-0.94</v>
      </c>
      <c r="D2787">
        <v>22.18</v>
      </c>
      <c r="E2787" t="s">
        <v>16</v>
      </c>
      <c r="F2787" t="s">
        <v>16</v>
      </c>
      <c r="H2787">
        <v>-0.13</v>
      </c>
      <c r="I2787">
        <v>-4.19</v>
      </c>
      <c r="J2787">
        <v>-3.14</v>
      </c>
      <c r="L2787">
        <v>-0.85</v>
      </c>
      <c r="M2787">
        <v>31.08</v>
      </c>
      <c r="N2787">
        <v>0.01</v>
      </c>
      <c r="O2787">
        <v>0.33</v>
      </c>
    </row>
    <row r="2788" spans="1:15">
      <c r="A2788" t="str">
        <f>"301488"</f>
        <v>301488</v>
      </c>
      <c r="B2788" t="s">
        <v>2826</v>
      </c>
      <c r="C2788">
        <v>-2.05</v>
      </c>
      <c r="D2788">
        <v>142.15</v>
      </c>
      <c r="E2788" t="s">
        <v>16</v>
      </c>
      <c r="F2788" t="s">
        <v>16</v>
      </c>
      <c r="H2788">
        <v>-0.12</v>
      </c>
      <c r="I2788">
        <v>2.97</v>
      </c>
      <c r="J2788">
        <v>-3.43</v>
      </c>
      <c r="L2788">
        <v>-0.7</v>
      </c>
      <c r="M2788">
        <v>162.84</v>
      </c>
      <c r="N2788">
        <v>0.05</v>
      </c>
      <c r="O2788">
        <v>0.56</v>
      </c>
    </row>
    <row r="2789" spans="1:15">
      <c r="A2789" t="str">
        <f>"301489"</f>
        <v>301489</v>
      </c>
      <c r="B2789" t="s">
        <v>2827</v>
      </c>
      <c r="C2789">
        <v>7.87</v>
      </c>
      <c r="D2789">
        <v>171.51</v>
      </c>
      <c r="E2789" t="s">
        <v>16</v>
      </c>
      <c r="F2789" t="s">
        <v>16</v>
      </c>
      <c r="H2789">
        <v>0.02</v>
      </c>
      <c r="I2789">
        <v>14.14</v>
      </c>
      <c r="J2789">
        <v>-2.92</v>
      </c>
      <c r="L2789">
        <v>0.03</v>
      </c>
      <c r="M2789">
        <v>583.71</v>
      </c>
      <c r="N2789">
        <v>0.06</v>
      </c>
      <c r="O2789">
        <v>1.03</v>
      </c>
    </row>
    <row r="2790" spans="1:15">
      <c r="A2790" t="str">
        <f>"301491"</f>
        <v>301491</v>
      </c>
      <c r="B2790" t="s">
        <v>2828</v>
      </c>
      <c r="C2790">
        <v>0.45</v>
      </c>
      <c r="D2790">
        <v>44.31</v>
      </c>
      <c r="E2790" t="s">
        <v>16</v>
      </c>
      <c r="F2790" t="s">
        <v>16</v>
      </c>
      <c r="H2790">
        <v>0.09</v>
      </c>
      <c r="I2790">
        <v>1.98</v>
      </c>
      <c r="J2790">
        <v>-1.29</v>
      </c>
      <c r="L2790">
        <v>-0.25</v>
      </c>
      <c r="M2790">
        <v>15.4</v>
      </c>
      <c r="N2790">
        <v>0.01</v>
      </c>
      <c r="O2790">
        <v>2.69</v>
      </c>
    </row>
    <row r="2791" spans="1:15">
      <c r="A2791" t="str">
        <f>"301498"</f>
        <v>301498</v>
      </c>
      <c r="B2791" t="s">
        <v>2829</v>
      </c>
      <c r="C2791">
        <v>-0.32</v>
      </c>
      <c r="D2791">
        <v>40.87</v>
      </c>
      <c r="E2791" t="s">
        <v>16</v>
      </c>
      <c r="F2791" t="s">
        <v>16</v>
      </c>
      <c r="H2791">
        <v>0.12</v>
      </c>
      <c r="I2791">
        <v>-1.9</v>
      </c>
      <c r="J2791">
        <v>-1.47</v>
      </c>
      <c r="L2791">
        <v>0</v>
      </c>
      <c r="M2791">
        <v>35.67</v>
      </c>
      <c r="N2791">
        <v>0.01</v>
      </c>
      <c r="O2791">
        <v>5.8</v>
      </c>
    </row>
    <row r="2792" spans="1:15">
      <c r="A2792" t="str">
        <f>"301499"</f>
        <v>301499</v>
      </c>
      <c r="B2792" t="s">
        <v>2830</v>
      </c>
      <c r="C2792">
        <v>0.92</v>
      </c>
      <c r="D2792">
        <v>36.3</v>
      </c>
      <c r="E2792" t="s">
        <v>16</v>
      </c>
      <c r="F2792" t="s">
        <v>16</v>
      </c>
      <c r="H2792">
        <v>-0.05</v>
      </c>
      <c r="I2792">
        <v>11.86</v>
      </c>
      <c r="J2792">
        <v>-1.84</v>
      </c>
      <c r="L2792">
        <v>0</v>
      </c>
      <c r="M2792">
        <v>2.88</v>
      </c>
      <c r="N2792">
        <v>0</v>
      </c>
      <c r="O2792">
        <v>0.15</v>
      </c>
    </row>
    <row r="2793" spans="1:15">
      <c r="A2793" t="str">
        <f>"301500"</f>
        <v>301500</v>
      </c>
      <c r="B2793" t="s">
        <v>2831</v>
      </c>
      <c r="C2793">
        <v>0.14</v>
      </c>
      <c r="D2793">
        <v>27.73</v>
      </c>
      <c r="E2793" t="s">
        <v>16</v>
      </c>
      <c r="F2793" t="s">
        <v>16</v>
      </c>
      <c r="H2793">
        <v>-0.03</v>
      </c>
      <c r="I2793">
        <v>6.33</v>
      </c>
      <c r="J2793">
        <v>-2.67</v>
      </c>
      <c r="L2793">
        <v>0</v>
      </c>
      <c r="M2793">
        <v>281.61</v>
      </c>
      <c r="N2793">
        <v>0.07</v>
      </c>
      <c r="O2793">
        <v>0.94</v>
      </c>
    </row>
    <row r="2794" spans="1:15">
      <c r="A2794" t="str">
        <f>"301501"</f>
        <v>301501</v>
      </c>
      <c r="B2794" t="s">
        <v>2832</v>
      </c>
      <c r="C2794">
        <v>-1.43</v>
      </c>
      <c r="D2794">
        <v>26.14</v>
      </c>
      <c r="E2794" t="s">
        <v>16</v>
      </c>
      <c r="F2794" t="s">
        <v>16</v>
      </c>
      <c r="H2794">
        <v>-0.1</v>
      </c>
      <c r="I2794">
        <v>-9.24</v>
      </c>
      <c r="J2794">
        <v>-1.69</v>
      </c>
      <c r="L2794">
        <v>0</v>
      </c>
      <c r="M2794">
        <v>8.22</v>
      </c>
      <c r="N2794">
        <v>0.01</v>
      </c>
      <c r="O2794">
        <v>0.55</v>
      </c>
    </row>
    <row r="2795" spans="1:15">
      <c r="A2795" t="str">
        <f>"301502"</f>
        <v>301502</v>
      </c>
      <c r="B2795" t="s">
        <v>2833</v>
      </c>
      <c r="C2795">
        <v>0.76</v>
      </c>
      <c r="D2795">
        <v>85.3</v>
      </c>
      <c r="E2795" t="s">
        <v>16</v>
      </c>
      <c r="F2795" t="s">
        <v>16</v>
      </c>
      <c r="H2795">
        <v>-0.24</v>
      </c>
      <c r="I2795">
        <v>5.36</v>
      </c>
      <c r="J2795">
        <v>-4.16</v>
      </c>
      <c r="L2795">
        <v>0.2</v>
      </c>
      <c r="M2795">
        <v>3.39</v>
      </c>
      <c r="N2795">
        <v>0</v>
      </c>
      <c r="O2795">
        <v>0.15</v>
      </c>
    </row>
    <row r="2796" spans="1:15">
      <c r="A2796" t="str">
        <f>"301503"</f>
        <v>301503</v>
      </c>
      <c r="B2796" t="s">
        <v>2834</v>
      </c>
      <c r="C2796">
        <v>-1.83</v>
      </c>
      <c r="D2796">
        <v>28.94</v>
      </c>
      <c r="E2796" t="s">
        <v>16</v>
      </c>
      <c r="F2796" t="s">
        <v>16</v>
      </c>
      <c r="H2796">
        <v>0</v>
      </c>
      <c r="I2796">
        <v>-6.74</v>
      </c>
      <c r="J2796">
        <v>-2.59</v>
      </c>
      <c r="L2796">
        <v>-0.03</v>
      </c>
      <c r="M2796">
        <v>16.21</v>
      </c>
      <c r="N2796">
        <v>0.02</v>
      </c>
      <c r="O2796">
        <v>5</v>
      </c>
    </row>
    <row r="2797" spans="1:15">
      <c r="A2797" t="str">
        <f>"301505"</f>
        <v>301505</v>
      </c>
      <c r="B2797" t="s">
        <v>2835</v>
      </c>
      <c r="C2797">
        <v>-0.9</v>
      </c>
      <c r="D2797">
        <v>17.55</v>
      </c>
      <c r="E2797" t="s">
        <v>16</v>
      </c>
      <c r="F2797" t="s">
        <v>16</v>
      </c>
      <c r="H2797">
        <v>0.11</v>
      </c>
      <c r="I2797">
        <v>-8.64</v>
      </c>
      <c r="J2797">
        <v>-1.46</v>
      </c>
      <c r="L2797">
        <v>0.06</v>
      </c>
      <c r="M2797">
        <v>4.96</v>
      </c>
      <c r="N2797">
        <v>0</v>
      </c>
      <c r="O2797">
        <v>0.39</v>
      </c>
    </row>
    <row r="2798" spans="1:15">
      <c r="A2798" t="str">
        <f>"301507"</f>
        <v>301507</v>
      </c>
      <c r="B2798" t="s">
        <v>2836</v>
      </c>
      <c r="C2798">
        <v>0.82</v>
      </c>
      <c r="D2798">
        <v>12.23</v>
      </c>
      <c r="E2798" t="s">
        <v>16</v>
      </c>
      <c r="F2798" t="s">
        <v>16</v>
      </c>
      <c r="H2798">
        <v>-0.07</v>
      </c>
      <c r="I2798">
        <v>-0.41</v>
      </c>
      <c r="J2798">
        <v>-1.69</v>
      </c>
      <c r="L2798">
        <v>-0.82</v>
      </c>
      <c r="M2798">
        <v>8.06</v>
      </c>
      <c r="N2798">
        <v>0.01</v>
      </c>
      <c r="O2798">
        <v>1.24</v>
      </c>
    </row>
    <row r="2799" spans="1:15">
      <c r="A2799" t="str">
        <f>"301508"</f>
        <v>301508</v>
      </c>
      <c r="B2799" t="s">
        <v>2837</v>
      </c>
      <c r="C2799">
        <v>-3.93</v>
      </c>
      <c r="D2799">
        <v>25.4</v>
      </c>
      <c r="E2799" t="s">
        <v>16</v>
      </c>
      <c r="F2799" t="s">
        <v>16</v>
      </c>
      <c r="H2799">
        <v>-0.03</v>
      </c>
      <c r="I2799">
        <v>1.2</v>
      </c>
      <c r="J2799">
        <v>-1.78</v>
      </c>
      <c r="L2799">
        <v>-2.65</v>
      </c>
      <c r="M2799">
        <v>201.29</v>
      </c>
      <c r="N2799">
        <v>0.13</v>
      </c>
      <c r="O2799">
        <v>13.72</v>
      </c>
    </row>
    <row r="2800" spans="1:15">
      <c r="A2800" t="str">
        <f>"301509"</f>
        <v>301509</v>
      </c>
      <c r="B2800" t="s">
        <v>2838</v>
      </c>
      <c r="C2800">
        <v>0.96</v>
      </c>
      <c r="D2800">
        <v>27.24</v>
      </c>
      <c r="E2800" t="s">
        <v>16</v>
      </c>
      <c r="F2800" t="s">
        <v>16</v>
      </c>
      <c r="H2800">
        <v>-0.14</v>
      </c>
      <c r="I2800">
        <v>-1.3</v>
      </c>
      <c r="J2800">
        <v>-1.38</v>
      </c>
      <c r="L2800">
        <v>0.07</v>
      </c>
      <c r="M2800">
        <v>14.85</v>
      </c>
      <c r="N2800">
        <v>0.01</v>
      </c>
      <c r="O2800">
        <v>0.35</v>
      </c>
    </row>
    <row r="2801" spans="1:15">
      <c r="A2801" t="str">
        <f>"301510"</f>
        <v>301510</v>
      </c>
      <c r="B2801" t="s">
        <v>2839</v>
      </c>
      <c r="C2801">
        <v>1.95</v>
      </c>
      <c r="D2801">
        <v>36.05</v>
      </c>
      <c r="E2801" t="s">
        <v>16</v>
      </c>
      <c r="F2801" t="s">
        <v>16</v>
      </c>
      <c r="H2801">
        <v>0.14</v>
      </c>
      <c r="I2801">
        <v>6.81</v>
      </c>
      <c r="J2801">
        <v>-1.31</v>
      </c>
      <c r="L2801">
        <v>0.48</v>
      </c>
      <c r="M2801">
        <v>112.99</v>
      </c>
      <c r="N2801">
        <v>0.01</v>
      </c>
      <c r="O2801">
        <v>2.27</v>
      </c>
    </row>
    <row r="2802" spans="1:15">
      <c r="A2802" t="str">
        <f>"301511"</f>
        <v>301511</v>
      </c>
      <c r="B2802" t="s">
        <v>2840</v>
      </c>
      <c r="C2802">
        <v>-1.17</v>
      </c>
      <c r="D2802">
        <v>160.9</v>
      </c>
      <c r="E2802" t="s">
        <v>16</v>
      </c>
      <c r="F2802" t="s">
        <v>16</v>
      </c>
      <c r="H2802">
        <v>0.12</v>
      </c>
      <c r="I2802">
        <v>31.55</v>
      </c>
      <c r="J2802">
        <v>-2.43</v>
      </c>
      <c r="L2802">
        <v>-2.95</v>
      </c>
      <c r="M2802">
        <v>6473.18</v>
      </c>
      <c r="N2802">
        <v>0.14</v>
      </c>
      <c r="O2802">
        <v>0.93</v>
      </c>
    </row>
    <row r="2803" spans="1:15">
      <c r="A2803" t="str">
        <f>"301512"</f>
        <v>301512</v>
      </c>
      <c r="B2803" t="s">
        <v>2841</v>
      </c>
      <c r="C2803">
        <v>1.13</v>
      </c>
      <c r="D2803">
        <v>57.09</v>
      </c>
      <c r="E2803" t="s">
        <v>16</v>
      </c>
      <c r="F2803" t="s">
        <v>16</v>
      </c>
      <c r="H2803">
        <v>0.07</v>
      </c>
      <c r="I2803">
        <v>7.35</v>
      </c>
      <c r="J2803">
        <v>-1.23</v>
      </c>
      <c r="L2803">
        <v>-0.81</v>
      </c>
      <c r="M2803">
        <v>28</v>
      </c>
      <c r="N2803">
        <v>0.03</v>
      </c>
      <c r="O2803">
        <v>0.62</v>
      </c>
    </row>
    <row r="2804" spans="1:15">
      <c r="A2804" t="str">
        <f>"301513"</f>
        <v>301513</v>
      </c>
      <c r="B2804" t="s">
        <v>2842</v>
      </c>
      <c r="C2804">
        <v>1.67</v>
      </c>
      <c r="D2804">
        <v>64.52</v>
      </c>
      <c r="E2804" t="s">
        <v>16</v>
      </c>
      <c r="F2804" t="s">
        <v>16</v>
      </c>
      <c r="H2804">
        <v>0</v>
      </c>
      <c r="I2804">
        <v>-1.96</v>
      </c>
      <c r="J2804">
        <v>-0.66</v>
      </c>
      <c r="L2804">
        <v>-0.72</v>
      </c>
      <c r="M2804">
        <v>22.68</v>
      </c>
      <c r="N2804">
        <v>0.02</v>
      </c>
      <c r="O2804">
        <v>0.28</v>
      </c>
    </row>
    <row r="2805" spans="1:15">
      <c r="A2805" t="str">
        <f>"301515"</f>
        <v>301515</v>
      </c>
      <c r="B2805" t="s">
        <v>2843</v>
      </c>
      <c r="C2805">
        <v>-0.26</v>
      </c>
      <c r="D2805">
        <v>19.39</v>
      </c>
      <c r="E2805" t="s">
        <v>16</v>
      </c>
      <c r="F2805" t="s">
        <v>16</v>
      </c>
      <c r="H2805">
        <v>0.31</v>
      </c>
      <c r="I2805">
        <v>-2.27</v>
      </c>
      <c r="J2805">
        <v>-1.57</v>
      </c>
      <c r="L2805">
        <v>0</v>
      </c>
      <c r="M2805">
        <v>17.3</v>
      </c>
      <c r="N2805">
        <v>0.02</v>
      </c>
      <c r="O2805">
        <v>1.24</v>
      </c>
    </row>
    <row r="2806" spans="1:15">
      <c r="A2806" t="str">
        <f>"301516"</f>
        <v>301516</v>
      </c>
      <c r="B2806" t="s">
        <v>2844</v>
      </c>
      <c r="C2806">
        <v>-1.87</v>
      </c>
      <c r="D2806">
        <v>15.76</v>
      </c>
      <c r="E2806" t="s">
        <v>16</v>
      </c>
      <c r="F2806" t="s">
        <v>16</v>
      </c>
      <c r="H2806">
        <v>-0.18</v>
      </c>
      <c r="I2806">
        <v>-6.02</v>
      </c>
      <c r="J2806">
        <v>-2.11</v>
      </c>
      <c r="L2806">
        <v>-0.12</v>
      </c>
      <c r="M2806">
        <v>21.17</v>
      </c>
      <c r="N2806">
        <v>0.02</v>
      </c>
      <c r="O2806">
        <v>1.42</v>
      </c>
    </row>
    <row r="2807" spans="1:15">
      <c r="A2807" t="str">
        <f>"301517"</f>
        <v>301517</v>
      </c>
      <c r="B2807" t="s">
        <v>2845</v>
      </c>
      <c r="C2807">
        <v>0.33</v>
      </c>
      <c r="D2807">
        <v>53.93</v>
      </c>
      <c r="E2807" t="s">
        <v>16</v>
      </c>
      <c r="F2807" t="s">
        <v>16</v>
      </c>
      <c r="H2807">
        <v>-0.05</v>
      </c>
      <c r="I2807">
        <v>-0.31</v>
      </c>
      <c r="J2807">
        <v>-1.32</v>
      </c>
      <c r="L2807">
        <v>-1.38</v>
      </c>
      <c r="M2807">
        <v>58.31</v>
      </c>
      <c r="N2807">
        <v>0.02</v>
      </c>
      <c r="O2807">
        <v>0.79</v>
      </c>
    </row>
    <row r="2808" spans="1:15">
      <c r="A2808" t="str">
        <f>"301518"</f>
        <v>301518</v>
      </c>
      <c r="B2808" t="s">
        <v>2846</v>
      </c>
      <c r="C2808">
        <v>-2.27</v>
      </c>
      <c r="D2808">
        <v>28.44</v>
      </c>
      <c r="E2808" t="s">
        <v>16</v>
      </c>
      <c r="F2808" t="s">
        <v>16</v>
      </c>
      <c r="H2808">
        <v>-0.1</v>
      </c>
      <c r="I2808">
        <v>-4.82</v>
      </c>
      <c r="J2808">
        <v>-2.8</v>
      </c>
      <c r="L2808">
        <v>-0.45</v>
      </c>
      <c r="M2808">
        <v>10.43</v>
      </c>
      <c r="N2808">
        <v>0.01</v>
      </c>
      <c r="O2808">
        <v>0.3</v>
      </c>
    </row>
    <row r="2809" spans="1:15">
      <c r="A2809" t="str">
        <f>"301519"</f>
        <v>301519</v>
      </c>
      <c r="B2809" t="s">
        <v>2847</v>
      </c>
      <c r="C2809">
        <v>-1.1</v>
      </c>
      <c r="D2809">
        <v>11.74</v>
      </c>
      <c r="E2809" t="s">
        <v>16</v>
      </c>
      <c r="F2809" t="s">
        <v>16</v>
      </c>
      <c r="H2809">
        <v>-0.08</v>
      </c>
      <c r="I2809">
        <v>-5.7</v>
      </c>
      <c r="J2809">
        <v>-1.43</v>
      </c>
      <c r="L2809">
        <v>-0.76</v>
      </c>
      <c r="M2809">
        <v>16.73</v>
      </c>
      <c r="N2809">
        <v>0.02</v>
      </c>
      <c r="O2809">
        <v>1.12</v>
      </c>
    </row>
    <row r="2810" spans="1:15">
      <c r="A2810" t="str">
        <f>"301520"</f>
        <v>301520</v>
      </c>
      <c r="B2810" t="s">
        <v>2848</v>
      </c>
      <c r="C2810">
        <v>0.91</v>
      </c>
      <c r="D2810">
        <v>24.4</v>
      </c>
      <c r="E2810" t="s">
        <v>16</v>
      </c>
      <c r="F2810" t="s">
        <v>16</v>
      </c>
      <c r="H2810">
        <v>-0.11</v>
      </c>
      <c r="I2810">
        <v>-2.71</v>
      </c>
      <c r="J2810">
        <v>-1.33</v>
      </c>
      <c r="L2810">
        <v>-0.12</v>
      </c>
      <c r="M2810">
        <v>0.48</v>
      </c>
      <c r="N2810">
        <v>0</v>
      </c>
      <c r="O2810">
        <v>0.04</v>
      </c>
    </row>
    <row r="2811" spans="1:15">
      <c r="A2811" t="str">
        <f>"301522"</f>
        <v>301522</v>
      </c>
      <c r="B2811" t="s">
        <v>2849</v>
      </c>
      <c r="C2811">
        <v>-2.61</v>
      </c>
      <c r="D2811">
        <v>28.74</v>
      </c>
      <c r="E2811" t="s">
        <v>16</v>
      </c>
      <c r="F2811" t="s">
        <v>16</v>
      </c>
      <c r="H2811">
        <v>-0.16</v>
      </c>
      <c r="I2811">
        <v>5.27</v>
      </c>
      <c r="J2811">
        <v>-3.39</v>
      </c>
      <c r="L2811">
        <v>-1.22</v>
      </c>
      <c r="M2811">
        <v>176.65</v>
      </c>
      <c r="N2811">
        <v>0.03</v>
      </c>
      <c r="O2811">
        <v>6.25</v>
      </c>
    </row>
    <row r="2812" spans="1:15">
      <c r="A2812" t="str">
        <f>"301525"</f>
        <v>301525</v>
      </c>
      <c r="B2812" t="s">
        <v>2850</v>
      </c>
      <c r="C2812">
        <v>7.68</v>
      </c>
      <c r="D2812">
        <v>53.59</v>
      </c>
      <c r="E2812" t="s">
        <v>16</v>
      </c>
      <c r="F2812" t="s">
        <v>16</v>
      </c>
      <c r="H2812">
        <v>-0.1</v>
      </c>
      <c r="I2812">
        <v>7.68</v>
      </c>
      <c r="J2812">
        <v>-2.05</v>
      </c>
      <c r="L2812">
        <v>-0.14</v>
      </c>
      <c r="M2812">
        <v>89.46</v>
      </c>
      <c r="N2812">
        <v>0.03</v>
      </c>
      <c r="O2812">
        <v>16.36</v>
      </c>
    </row>
    <row r="2813" spans="1:15">
      <c r="A2813" t="str">
        <f>"301526"</f>
        <v>301526</v>
      </c>
      <c r="B2813" t="s">
        <v>2851</v>
      </c>
      <c r="C2813">
        <v>1.64</v>
      </c>
      <c r="D2813">
        <v>40.89</v>
      </c>
      <c r="E2813" t="s">
        <v>16</v>
      </c>
      <c r="F2813" t="s">
        <v>16</v>
      </c>
      <c r="H2813">
        <v>0.52</v>
      </c>
      <c r="I2813">
        <v>80.21</v>
      </c>
      <c r="J2813">
        <v>-2.13</v>
      </c>
      <c r="L2813">
        <v>-1.79</v>
      </c>
      <c r="M2813">
        <v>9836.41</v>
      </c>
      <c r="N2813">
        <v>0.23</v>
      </c>
      <c r="O2813">
        <v>1.08</v>
      </c>
    </row>
    <row r="2814" spans="1:15">
      <c r="A2814" t="str">
        <f>"301528"</f>
        <v>301528</v>
      </c>
      <c r="B2814" t="s">
        <v>2852</v>
      </c>
      <c r="C2814">
        <v>2.27</v>
      </c>
      <c r="D2814">
        <v>94.99</v>
      </c>
      <c r="E2814" t="s">
        <v>16</v>
      </c>
      <c r="F2814" t="s">
        <v>16</v>
      </c>
      <c r="H2814">
        <v>0.2</v>
      </c>
      <c r="I2814">
        <v>17.63</v>
      </c>
      <c r="J2814">
        <v>-1.87</v>
      </c>
      <c r="L2814">
        <v>1.29</v>
      </c>
      <c r="M2814">
        <v>350.92</v>
      </c>
      <c r="N2814">
        <v>0.17</v>
      </c>
      <c r="O2814">
        <v>7.04</v>
      </c>
    </row>
    <row r="2815" spans="1:15">
      <c r="A2815" t="str">
        <f>"301529"</f>
        <v>301529</v>
      </c>
      <c r="B2815" t="s">
        <v>2853</v>
      </c>
      <c r="C2815">
        <v>-1.26</v>
      </c>
      <c r="D2815">
        <v>103.23</v>
      </c>
      <c r="E2815" t="s">
        <v>16</v>
      </c>
      <c r="F2815" t="s">
        <v>16</v>
      </c>
      <c r="H2815">
        <v>-0.34</v>
      </c>
      <c r="I2815">
        <v>-9.28</v>
      </c>
      <c r="J2815">
        <v>-5.29</v>
      </c>
      <c r="L2815">
        <v>1.71</v>
      </c>
      <c r="M2815">
        <v>80.82</v>
      </c>
      <c r="N2815">
        <v>0.01</v>
      </c>
      <c r="O2815">
        <v>1.33</v>
      </c>
    </row>
    <row r="2816" spans="1:15">
      <c r="A2816" t="str">
        <f>"301531"</f>
        <v>301531</v>
      </c>
      <c r="B2816" t="s">
        <v>2854</v>
      </c>
      <c r="C2816">
        <v>7.31</v>
      </c>
      <c r="D2816">
        <v>74.98</v>
      </c>
      <c r="E2816" t="s">
        <v>16</v>
      </c>
      <c r="F2816" t="s">
        <v>16</v>
      </c>
      <c r="H2816">
        <v>-0.04</v>
      </c>
      <c r="I2816">
        <v>-3.56</v>
      </c>
      <c r="J2816">
        <v>-2.88</v>
      </c>
      <c r="L2816">
        <v>-0.97</v>
      </c>
      <c r="M2816">
        <v>191.66</v>
      </c>
      <c r="N2816">
        <v>0.06</v>
      </c>
      <c r="O2816">
        <v>0.63</v>
      </c>
    </row>
    <row r="2817" spans="1:15">
      <c r="A2817" t="str">
        <f>"301533"</f>
        <v>301533</v>
      </c>
      <c r="B2817" t="s">
        <v>2855</v>
      </c>
      <c r="C2817">
        <v>-0.67</v>
      </c>
      <c r="D2817">
        <v>25.16</v>
      </c>
      <c r="E2817" t="s">
        <v>16</v>
      </c>
      <c r="F2817" t="s">
        <v>16</v>
      </c>
      <c r="H2817">
        <v>0.04</v>
      </c>
      <c r="I2817">
        <v>-6.92</v>
      </c>
      <c r="J2817">
        <v>-2.18</v>
      </c>
      <c r="L2817">
        <v>0</v>
      </c>
      <c r="M2817">
        <v>7.85</v>
      </c>
      <c r="N2817">
        <v>0.01</v>
      </c>
      <c r="O2817">
        <v>0.32</v>
      </c>
    </row>
    <row r="2818" spans="1:15">
      <c r="A2818" t="str">
        <f>"301535"</f>
        <v>301535</v>
      </c>
      <c r="B2818" t="s">
        <v>2856</v>
      </c>
      <c r="C2818">
        <v>-3.9</v>
      </c>
      <c r="D2818">
        <v>14.29</v>
      </c>
      <c r="E2818" t="s">
        <v>16</v>
      </c>
      <c r="F2818" t="s">
        <v>16</v>
      </c>
      <c r="H2818">
        <v>0.35</v>
      </c>
      <c r="I2818">
        <v>-10.46</v>
      </c>
      <c r="J2818">
        <v>-5.24</v>
      </c>
      <c r="L2818">
        <v>-0.27</v>
      </c>
      <c r="M2818">
        <v>8.9</v>
      </c>
      <c r="N2818">
        <v>0.01</v>
      </c>
      <c r="O2818">
        <v>0.16</v>
      </c>
    </row>
    <row r="2819" spans="1:15">
      <c r="A2819" t="str">
        <f>"301536"</f>
        <v>301536</v>
      </c>
      <c r="B2819" t="s">
        <v>2857</v>
      </c>
      <c r="C2819">
        <v>2.34</v>
      </c>
      <c r="D2819">
        <v>112.64</v>
      </c>
      <c r="E2819" t="s">
        <v>16</v>
      </c>
      <c r="F2819" t="s">
        <v>16</v>
      </c>
      <c r="H2819">
        <v>-0.12</v>
      </c>
      <c r="I2819">
        <v>42.78</v>
      </c>
      <c r="J2819">
        <v>-1.18</v>
      </c>
      <c r="L2819">
        <v>0</v>
      </c>
      <c r="M2819">
        <v>460.05</v>
      </c>
      <c r="N2819">
        <v>0.02</v>
      </c>
      <c r="O2819">
        <v>0.42</v>
      </c>
    </row>
    <row r="2820" spans="1:15">
      <c r="A2820" t="str">
        <f>"301538"</f>
        <v>301538</v>
      </c>
      <c r="B2820" t="s">
        <v>2858</v>
      </c>
      <c r="C2820">
        <v>0.18</v>
      </c>
      <c r="D2820">
        <v>66.54</v>
      </c>
      <c r="E2820" t="s">
        <v>16</v>
      </c>
      <c r="F2820" t="s">
        <v>16</v>
      </c>
      <c r="H2820">
        <v>-0.05</v>
      </c>
      <c r="I2820">
        <v>2.45</v>
      </c>
      <c r="J2820">
        <v>-0.64</v>
      </c>
      <c r="L2820">
        <v>-0.41</v>
      </c>
      <c r="M2820">
        <v>52.92</v>
      </c>
      <c r="N2820">
        <v>0.02</v>
      </c>
      <c r="O2820">
        <v>0.5</v>
      </c>
    </row>
    <row r="2821" spans="1:15">
      <c r="A2821" t="str">
        <f>"301539"</f>
        <v>301539</v>
      </c>
      <c r="B2821" t="s">
        <v>2859</v>
      </c>
      <c r="C2821">
        <v>-1.16</v>
      </c>
      <c r="D2821">
        <v>14.43</v>
      </c>
      <c r="E2821" t="s">
        <v>16</v>
      </c>
      <c r="F2821" t="s">
        <v>16</v>
      </c>
      <c r="H2821">
        <v>0.14</v>
      </c>
      <c r="I2821">
        <v>-5.07</v>
      </c>
      <c r="J2821">
        <v>-2.17</v>
      </c>
      <c r="L2821">
        <v>0</v>
      </c>
      <c r="M2821">
        <v>18.25</v>
      </c>
      <c r="N2821">
        <v>0.03</v>
      </c>
      <c r="O2821">
        <v>3.05</v>
      </c>
    </row>
    <row r="2822" spans="1:15">
      <c r="A2822" t="str">
        <f>"301548"</f>
        <v>301548</v>
      </c>
      <c r="B2822" t="s">
        <v>2860</v>
      </c>
      <c r="C2822">
        <v>4.3</v>
      </c>
      <c r="D2822">
        <v>77.55</v>
      </c>
      <c r="E2822" t="s">
        <v>16</v>
      </c>
      <c r="F2822" t="s">
        <v>16</v>
      </c>
      <c r="H2822">
        <v>0</v>
      </c>
      <c r="I2822">
        <v>0.1</v>
      </c>
      <c r="J2822">
        <v>-1.46</v>
      </c>
      <c r="L2822">
        <v>0</v>
      </c>
      <c r="M2822">
        <v>129.37</v>
      </c>
      <c r="N2822">
        <v>0.07</v>
      </c>
      <c r="O2822">
        <v>10.88</v>
      </c>
    </row>
    <row r="2823" spans="1:15">
      <c r="A2823" t="str">
        <f>"301550"</f>
        <v>301550</v>
      </c>
      <c r="B2823" t="s">
        <v>2861</v>
      </c>
      <c r="C2823">
        <v>0.2</v>
      </c>
      <c r="D2823">
        <v>100.05</v>
      </c>
      <c r="E2823" t="s">
        <v>16</v>
      </c>
      <c r="F2823" t="s">
        <v>16</v>
      </c>
      <c r="H2823">
        <v>0.23</v>
      </c>
      <c r="I2823">
        <v>-11.69</v>
      </c>
      <c r="J2823">
        <v>-2.12</v>
      </c>
      <c r="L2823">
        <v>-0.09</v>
      </c>
      <c r="M2823">
        <v>174.58</v>
      </c>
      <c r="N2823">
        <v>0.01</v>
      </c>
      <c r="O2823">
        <v>0.71</v>
      </c>
    </row>
    <row r="2824" spans="1:15">
      <c r="A2824" t="str">
        <f>"301551"</f>
        <v>301551</v>
      </c>
      <c r="B2824" t="s">
        <v>2862</v>
      </c>
      <c r="C2824">
        <v>-1.75</v>
      </c>
      <c r="D2824">
        <v>21.39</v>
      </c>
      <c r="E2824" t="s">
        <v>16</v>
      </c>
      <c r="F2824" t="s">
        <v>16</v>
      </c>
      <c r="H2824">
        <v>-0.13</v>
      </c>
      <c r="I2824">
        <v>-7.92</v>
      </c>
      <c r="J2824">
        <v>-2.06</v>
      </c>
      <c r="L2824">
        <v>0.14</v>
      </c>
      <c r="M2824">
        <v>77.83</v>
      </c>
      <c r="N2824">
        <v>0.03</v>
      </c>
      <c r="O2824">
        <v>1.17</v>
      </c>
    </row>
    <row r="2825" spans="1:15">
      <c r="A2825" t="str">
        <f>"301552"</f>
        <v>301552</v>
      </c>
      <c r="B2825" t="s">
        <v>2863</v>
      </c>
      <c r="C2825">
        <v>-0.77</v>
      </c>
      <c r="D2825">
        <v>24.5</v>
      </c>
      <c r="E2825" t="s">
        <v>16</v>
      </c>
      <c r="F2825" t="s">
        <v>16</v>
      </c>
      <c r="H2825">
        <v>-0.07</v>
      </c>
      <c r="I2825">
        <v>-4.18</v>
      </c>
      <c r="J2825">
        <v>-1.49</v>
      </c>
      <c r="L2825">
        <v>-0.57</v>
      </c>
      <c r="M2825">
        <v>1.47</v>
      </c>
      <c r="N2825">
        <v>0</v>
      </c>
      <c r="O2825">
        <v>0.33</v>
      </c>
    </row>
    <row r="2826" spans="1:15">
      <c r="A2826" t="str">
        <f>"301555"</f>
        <v>301555</v>
      </c>
      <c r="B2826" t="s">
        <v>2864</v>
      </c>
      <c r="C2826">
        <v>-2.28</v>
      </c>
      <c r="D2826">
        <v>43.35</v>
      </c>
      <c r="E2826" t="s">
        <v>16</v>
      </c>
      <c r="F2826" t="s">
        <v>16</v>
      </c>
      <c r="H2826">
        <v>-0.08</v>
      </c>
      <c r="I2826">
        <v>14.23</v>
      </c>
      <c r="J2826">
        <v>-3.39</v>
      </c>
      <c r="L2826">
        <v>-0.25</v>
      </c>
      <c r="M2826">
        <v>137.62</v>
      </c>
      <c r="N2826">
        <v>0.08</v>
      </c>
      <c r="O2826">
        <v>1.69</v>
      </c>
    </row>
    <row r="2827" spans="1:15">
      <c r="A2827" t="str">
        <f>"301556"</f>
        <v>301556</v>
      </c>
      <c r="B2827" t="s">
        <v>2865</v>
      </c>
      <c r="C2827">
        <v>0.62</v>
      </c>
      <c r="D2827">
        <v>64.49</v>
      </c>
      <c r="E2827" t="s">
        <v>16</v>
      </c>
      <c r="F2827" t="s">
        <v>16</v>
      </c>
      <c r="H2827">
        <v>-0.01</v>
      </c>
      <c r="I2827">
        <v>-4.22</v>
      </c>
      <c r="J2827">
        <v>-1.13</v>
      </c>
      <c r="L2827">
        <v>-0.03</v>
      </c>
      <c r="M2827">
        <v>3.84</v>
      </c>
      <c r="N2827">
        <v>0</v>
      </c>
      <c r="O2827">
        <v>0.22</v>
      </c>
    </row>
    <row r="2828" spans="1:15">
      <c r="A2828" t="str">
        <f>"301557"</f>
        <v>301557</v>
      </c>
      <c r="B2828" t="s">
        <v>2866</v>
      </c>
      <c r="C2828">
        <v>1.12</v>
      </c>
      <c r="D2828">
        <v>91.4</v>
      </c>
      <c r="E2828" t="s">
        <v>16</v>
      </c>
      <c r="F2828" t="s">
        <v>16</v>
      </c>
      <c r="H2828">
        <v>0</v>
      </c>
      <c r="I2828">
        <v>10.32</v>
      </c>
      <c r="J2828">
        <v>-1.19</v>
      </c>
      <c r="L2828">
        <v>0.98</v>
      </c>
      <c r="M2828">
        <v>82.15</v>
      </c>
      <c r="N2828">
        <v>0.04</v>
      </c>
      <c r="O2828">
        <v>2.2</v>
      </c>
    </row>
    <row r="2829" spans="1:15">
      <c r="A2829" t="str">
        <f>"301558"</f>
        <v>301558</v>
      </c>
      <c r="B2829" t="s">
        <v>2867</v>
      </c>
      <c r="C2829">
        <v>-0.15</v>
      </c>
      <c r="D2829">
        <v>6.59</v>
      </c>
      <c r="E2829" t="s">
        <v>16</v>
      </c>
      <c r="F2829" t="s">
        <v>16</v>
      </c>
      <c r="H2829">
        <v>-0.14</v>
      </c>
      <c r="I2829">
        <v>-1.93</v>
      </c>
      <c r="J2829">
        <v>-1.05</v>
      </c>
      <c r="L2829">
        <v>0.3</v>
      </c>
      <c r="M2829">
        <v>7.55</v>
      </c>
      <c r="N2829">
        <v>0.01</v>
      </c>
      <c r="O2829">
        <v>0.4</v>
      </c>
    </row>
    <row r="2830" spans="1:15">
      <c r="A2830" t="str">
        <f>"301559"</f>
        <v>301559</v>
      </c>
      <c r="B2830" t="s">
        <v>2868</v>
      </c>
      <c r="C2830">
        <v>0</v>
      </c>
      <c r="D2830">
        <v>13.3</v>
      </c>
      <c r="E2830" t="s">
        <v>16</v>
      </c>
      <c r="F2830" t="s">
        <v>16</v>
      </c>
      <c r="H2830">
        <v>0.38</v>
      </c>
      <c r="I2830">
        <v>-3.48</v>
      </c>
      <c r="J2830">
        <v>-0.67</v>
      </c>
      <c r="L2830">
        <v>-0.08</v>
      </c>
      <c r="M2830">
        <v>3.72</v>
      </c>
      <c r="N2830">
        <v>0</v>
      </c>
      <c r="O2830">
        <v>0.3</v>
      </c>
    </row>
    <row r="2831" spans="1:15">
      <c r="A2831" t="str">
        <f>"301560"</f>
        <v>301560</v>
      </c>
      <c r="B2831" t="s">
        <v>2869</v>
      </c>
      <c r="C2831">
        <v>1.51</v>
      </c>
      <c r="D2831">
        <v>30.98</v>
      </c>
      <c r="E2831" t="s">
        <v>16</v>
      </c>
      <c r="F2831" t="s">
        <v>16</v>
      </c>
      <c r="H2831">
        <v>-0.41</v>
      </c>
      <c r="I2831">
        <v>-2.21</v>
      </c>
      <c r="J2831">
        <v>-2.82</v>
      </c>
      <c r="L2831">
        <v>0</v>
      </c>
      <c r="M2831">
        <v>5.49</v>
      </c>
      <c r="N2831">
        <v>0</v>
      </c>
      <c r="O2831">
        <v>2.25</v>
      </c>
    </row>
    <row r="2832" spans="1:15">
      <c r="A2832" t="str">
        <f>"301563"</f>
        <v>301563</v>
      </c>
      <c r="B2832" t="s">
        <v>2870</v>
      </c>
      <c r="C2832">
        <v>3.97</v>
      </c>
      <c r="D2832">
        <v>198.59</v>
      </c>
      <c r="E2832" t="s">
        <v>16</v>
      </c>
      <c r="F2832" t="s">
        <v>16</v>
      </c>
      <c r="H2832">
        <v>0.1</v>
      </c>
      <c r="I2832">
        <v>-11.44</v>
      </c>
      <c r="J2832">
        <v>-1.69</v>
      </c>
      <c r="L2832">
        <v>-2.76</v>
      </c>
      <c r="M2832">
        <v>611.2</v>
      </c>
      <c r="N2832">
        <v>0.17</v>
      </c>
      <c r="O2832">
        <v>0.79</v>
      </c>
    </row>
    <row r="2833" spans="1:15">
      <c r="A2833" t="str">
        <f>"301565"</f>
        <v>301565</v>
      </c>
      <c r="B2833" t="s">
        <v>2871</v>
      </c>
      <c r="C2833">
        <v>5.29</v>
      </c>
      <c r="D2833">
        <v>28.66</v>
      </c>
      <c r="E2833" t="s">
        <v>16</v>
      </c>
      <c r="F2833" t="s">
        <v>16</v>
      </c>
      <c r="H2833">
        <v>0.46</v>
      </c>
      <c r="I2833">
        <v>9.01</v>
      </c>
      <c r="J2833">
        <v>0</v>
      </c>
      <c r="L2833">
        <v>-0.81</v>
      </c>
      <c r="M2833">
        <v>112.05</v>
      </c>
      <c r="N2833">
        <v>0.04</v>
      </c>
      <c r="O2833">
        <v>0.64</v>
      </c>
    </row>
    <row r="2834" spans="1:15">
      <c r="A2834" t="str">
        <f>"301566"</f>
        <v>301566</v>
      </c>
      <c r="B2834" t="s">
        <v>2872</v>
      </c>
      <c r="C2834">
        <v>1.05</v>
      </c>
      <c r="D2834">
        <v>40.28</v>
      </c>
      <c r="E2834" t="s">
        <v>16</v>
      </c>
      <c r="F2834" t="s">
        <v>16</v>
      </c>
      <c r="H2834">
        <v>-0.24</v>
      </c>
      <c r="I2834">
        <v>4.35</v>
      </c>
      <c r="J2834">
        <v>-3.77</v>
      </c>
      <c r="K2834" t="s">
        <v>57</v>
      </c>
      <c r="L2834">
        <v>-2.18</v>
      </c>
      <c r="M2834">
        <v>1027</v>
      </c>
      <c r="N2834">
        <v>0.12</v>
      </c>
      <c r="O2834">
        <v>0.38</v>
      </c>
    </row>
    <row r="2835" spans="1:15">
      <c r="A2835" t="str">
        <f>"301567"</f>
        <v>301567</v>
      </c>
      <c r="B2835" t="s">
        <v>2873</v>
      </c>
      <c r="C2835">
        <v>-0.1</v>
      </c>
      <c r="D2835">
        <v>39.52</v>
      </c>
      <c r="E2835" t="s">
        <v>16</v>
      </c>
      <c r="F2835" t="s">
        <v>16</v>
      </c>
      <c r="H2835">
        <v>-0.12</v>
      </c>
      <c r="I2835">
        <v>-5.05</v>
      </c>
      <c r="J2835">
        <v>-1.84</v>
      </c>
      <c r="L2835">
        <v>-0.91</v>
      </c>
      <c r="M2835">
        <v>22.74</v>
      </c>
      <c r="N2835">
        <v>0.03</v>
      </c>
      <c r="O2835">
        <v>5.27</v>
      </c>
    </row>
    <row r="2836" spans="1:15">
      <c r="A2836" t="str">
        <f>"301568"</f>
        <v>301568</v>
      </c>
      <c r="B2836" t="s">
        <v>2874</v>
      </c>
      <c r="C2836">
        <v>3.07</v>
      </c>
      <c r="D2836">
        <v>118.19</v>
      </c>
      <c r="E2836" t="s">
        <v>16</v>
      </c>
      <c r="F2836" t="s">
        <v>16</v>
      </c>
      <c r="H2836">
        <v>0.2</v>
      </c>
      <c r="I2836">
        <v>40.87</v>
      </c>
      <c r="J2836">
        <v>-1.51</v>
      </c>
      <c r="L2836">
        <v>2.03</v>
      </c>
      <c r="M2836">
        <v>490.23</v>
      </c>
      <c r="N2836">
        <v>0.09</v>
      </c>
      <c r="O2836">
        <v>0.5</v>
      </c>
    </row>
    <row r="2837" spans="1:15">
      <c r="A2837" t="str">
        <f>"301571"</f>
        <v>301571</v>
      </c>
      <c r="B2837" t="s">
        <v>2875</v>
      </c>
      <c r="C2837">
        <v>-0.2</v>
      </c>
      <c r="D2837">
        <v>70.16</v>
      </c>
      <c r="E2837" t="s">
        <v>16</v>
      </c>
      <c r="F2837" t="s">
        <v>16</v>
      </c>
      <c r="H2837">
        <v>0.01</v>
      </c>
      <c r="I2837">
        <v>21.91</v>
      </c>
      <c r="J2837">
        <v>-2.92</v>
      </c>
      <c r="L2837">
        <v>0</v>
      </c>
      <c r="M2837">
        <v>30.93</v>
      </c>
      <c r="N2837">
        <v>0</v>
      </c>
      <c r="O2837">
        <v>0.1</v>
      </c>
    </row>
    <row r="2838" spans="1:15">
      <c r="A2838" t="str">
        <f>"301575"</f>
        <v>301575</v>
      </c>
      <c r="B2838" t="s">
        <v>2876</v>
      </c>
      <c r="C2838">
        <v>1.12</v>
      </c>
      <c r="D2838">
        <v>28.83</v>
      </c>
      <c r="E2838" t="s">
        <v>16</v>
      </c>
      <c r="F2838" t="s">
        <v>16</v>
      </c>
      <c r="H2838">
        <v>-0.16</v>
      </c>
      <c r="I2838">
        <v>-4.66</v>
      </c>
      <c r="J2838">
        <v>-2.07</v>
      </c>
      <c r="L2838">
        <v>0.14</v>
      </c>
      <c r="M2838">
        <v>10.85</v>
      </c>
      <c r="N2838">
        <v>0.02</v>
      </c>
      <c r="O2838">
        <v>1.31</v>
      </c>
    </row>
    <row r="2839" spans="1:15">
      <c r="A2839" t="str">
        <f>"301577"</f>
        <v>301577</v>
      </c>
      <c r="B2839" t="s">
        <v>2877</v>
      </c>
      <c r="C2839">
        <v>2.15</v>
      </c>
      <c r="D2839">
        <v>96.96</v>
      </c>
      <c r="E2839" t="s">
        <v>16</v>
      </c>
      <c r="F2839" t="s">
        <v>16</v>
      </c>
      <c r="H2839">
        <v>0.63</v>
      </c>
      <c r="I2839">
        <v>-3.76</v>
      </c>
      <c r="J2839">
        <v>-2.05</v>
      </c>
      <c r="L2839">
        <v>-1.09</v>
      </c>
      <c r="M2839">
        <v>63.85</v>
      </c>
      <c r="N2839">
        <v>0.04</v>
      </c>
      <c r="O2839">
        <v>0.81</v>
      </c>
    </row>
    <row r="2840" spans="1:15">
      <c r="A2840" t="str">
        <f>"301578"</f>
        <v>301578</v>
      </c>
      <c r="B2840" t="s">
        <v>2878</v>
      </c>
      <c r="C2840">
        <v>-1.74</v>
      </c>
      <c r="D2840">
        <v>21.45</v>
      </c>
      <c r="E2840" t="s">
        <v>16</v>
      </c>
      <c r="F2840" t="s">
        <v>16</v>
      </c>
      <c r="H2840">
        <v>0</v>
      </c>
      <c r="I2840">
        <v>-7.94</v>
      </c>
      <c r="J2840">
        <v>-2.01</v>
      </c>
      <c r="L2840">
        <v>-0.55</v>
      </c>
      <c r="M2840">
        <v>19.34</v>
      </c>
      <c r="N2840">
        <v>0.03</v>
      </c>
      <c r="O2840">
        <v>2.97</v>
      </c>
    </row>
    <row r="2841" spans="1:15">
      <c r="A2841" t="str">
        <f>"301580"</f>
        <v>301580</v>
      </c>
      <c r="B2841" t="s">
        <v>2879</v>
      </c>
      <c r="C2841">
        <v>20</v>
      </c>
      <c r="D2841">
        <v>63.17</v>
      </c>
      <c r="E2841">
        <v>23412.7</v>
      </c>
      <c r="F2841">
        <v>1</v>
      </c>
      <c r="H2841">
        <v>0</v>
      </c>
      <c r="I2841">
        <v>60.13</v>
      </c>
      <c r="J2841">
        <v>0</v>
      </c>
      <c r="K2841" t="s">
        <v>140</v>
      </c>
      <c r="L2841">
        <v>20</v>
      </c>
      <c r="M2841">
        <v>4938.5</v>
      </c>
      <c r="N2841">
        <v>0.87</v>
      </c>
      <c r="O2841">
        <v>4.18</v>
      </c>
    </row>
    <row r="2842" spans="1:15">
      <c r="A2842" t="str">
        <f>"301581"</f>
        <v>301581</v>
      </c>
      <c r="B2842" t="s">
        <v>2880</v>
      </c>
      <c r="C2842">
        <v>0.61</v>
      </c>
      <c r="D2842">
        <v>47.61</v>
      </c>
      <c r="E2842" t="s">
        <v>16</v>
      </c>
      <c r="F2842" t="s">
        <v>16</v>
      </c>
      <c r="H2842">
        <v>-0.3</v>
      </c>
      <c r="I2842">
        <v>-1.71</v>
      </c>
      <c r="J2842">
        <v>-1.33</v>
      </c>
      <c r="L2842">
        <v>-0.63</v>
      </c>
      <c r="M2842">
        <v>48.9</v>
      </c>
      <c r="N2842">
        <v>0.04</v>
      </c>
      <c r="O2842">
        <v>1.62</v>
      </c>
    </row>
    <row r="2843" spans="1:15">
      <c r="A2843" t="str">
        <f>"301584"</f>
        <v>301584</v>
      </c>
      <c r="B2843" t="s">
        <v>2881</v>
      </c>
      <c r="C2843">
        <v>2.78</v>
      </c>
      <c r="D2843">
        <v>21.41</v>
      </c>
      <c r="E2843" t="s">
        <v>16</v>
      </c>
      <c r="F2843" t="s">
        <v>16</v>
      </c>
      <c r="H2843">
        <v>0</v>
      </c>
      <c r="I2843">
        <v>-4.63</v>
      </c>
      <c r="J2843">
        <v>-1.65</v>
      </c>
      <c r="L2843">
        <v>0.05</v>
      </c>
      <c r="M2843">
        <v>2.29</v>
      </c>
      <c r="N2843">
        <v>0</v>
      </c>
      <c r="O2843" t="s">
        <v>16</v>
      </c>
    </row>
    <row r="2844" spans="1:15">
      <c r="A2844" t="str">
        <f>"301585"</f>
        <v>301585</v>
      </c>
      <c r="B2844" t="s">
        <v>2882</v>
      </c>
      <c r="C2844">
        <v>0.08</v>
      </c>
      <c r="D2844">
        <v>24.89</v>
      </c>
      <c r="E2844" t="s">
        <v>16</v>
      </c>
      <c r="F2844" t="s">
        <v>16</v>
      </c>
      <c r="H2844">
        <v>-0.23</v>
      </c>
      <c r="I2844">
        <v>-2.66</v>
      </c>
      <c r="J2844">
        <v>-0.84</v>
      </c>
      <c r="L2844">
        <v>-0.97</v>
      </c>
      <c r="M2844">
        <v>7.64</v>
      </c>
      <c r="N2844">
        <v>0.01</v>
      </c>
      <c r="O2844">
        <v>0.51</v>
      </c>
    </row>
    <row r="2845" spans="1:15">
      <c r="A2845" t="str">
        <f>"301586"</f>
        <v>301586</v>
      </c>
      <c r="B2845" t="s">
        <v>2883</v>
      </c>
      <c r="C2845">
        <v>2.3</v>
      </c>
      <c r="D2845">
        <v>36.85</v>
      </c>
      <c r="E2845" t="s">
        <v>16</v>
      </c>
      <c r="F2845" t="s">
        <v>16</v>
      </c>
      <c r="H2845">
        <v>-0.29</v>
      </c>
      <c r="I2845">
        <v>2.85</v>
      </c>
      <c r="J2845">
        <v>-1.47</v>
      </c>
      <c r="L2845">
        <v>-1.42</v>
      </c>
      <c r="M2845">
        <v>15.27</v>
      </c>
      <c r="N2845">
        <v>0.01</v>
      </c>
      <c r="O2845">
        <v>0.9</v>
      </c>
    </row>
    <row r="2846" spans="1:15">
      <c r="A2846" t="str">
        <f>"301587"</f>
        <v>301587</v>
      </c>
      <c r="B2846" t="s">
        <v>2884</v>
      </c>
      <c r="C2846">
        <v>-2.07</v>
      </c>
      <c r="D2846">
        <v>24.62</v>
      </c>
      <c r="E2846" t="s">
        <v>16</v>
      </c>
      <c r="F2846" t="s">
        <v>16</v>
      </c>
      <c r="H2846">
        <v>-0.48</v>
      </c>
      <c r="I2846">
        <v>-0.61</v>
      </c>
      <c r="J2846">
        <v>-1.99</v>
      </c>
      <c r="L2846">
        <v>-1.63</v>
      </c>
      <c r="M2846">
        <v>15.83</v>
      </c>
      <c r="N2846">
        <v>0.01</v>
      </c>
      <c r="O2846">
        <v>0.05</v>
      </c>
    </row>
    <row r="2847" spans="1:15">
      <c r="A2847" t="str">
        <f>"301588"</f>
        <v>301588</v>
      </c>
      <c r="B2847" t="s">
        <v>2885</v>
      </c>
      <c r="C2847">
        <v>-0.44</v>
      </c>
      <c r="D2847">
        <v>41.14</v>
      </c>
      <c r="E2847" t="s">
        <v>16</v>
      </c>
      <c r="F2847" t="s">
        <v>16</v>
      </c>
      <c r="H2847">
        <v>-0.11</v>
      </c>
      <c r="I2847">
        <v>19.32</v>
      </c>
      <c r="J2847">
        <v>-0.96</v>
      </c>
      <c r="L2847">
        <v>-1.79</v>
      </c>
      <c r="M2847">
        <v>273.1</v>
      </c>
      <c r="N2847">
        <v>0.11</v>
      </c>
      <c r="O2847">
        <v>0.46</v>
      </c>
    </row>
    <row r="2848" spans="1:15">
      <c r="A2848" t="str">
        <f>"301589"</f>
        <v>301589</v>
      </c>
      <c r="B2848" t="s">
        <v>2886</v>
      </c>
      <c r="C2848">
        <v>4.58</v>
      </c>
      <c r="D2848">
        <v>156.73</v>
      </c>
      <c r="E2848" t="s">
        <v>16</v>
      </c>
      <c r="F2848" t="s">
        <v>16</v>
      </c>
      <c r="H2848">
        <v>0.09</v>
      </c>
      <c r="I2848">
        <v>2.98</v>
      </c>
      <c r="J2848">
        <v>-2.96</v>
      </c>
      <c r="L2848">
        <v>-0.01</v>
      </c>
      <c r="M2848">
        <v>17.98</v>
      </c>
      <c r="N2848">
        <v>0</v>
      </c>
      <c r="O2848">
        <v>12</v>
      </c>
    </row>
    <row r="2849" spans="1:15">
      <c r="A2849" t="str">
        <f>"301590"</f>
        <v>301590</v>
      </c>
      <c r="B2849" t="s">
        <v>2887</v>
      </c>
      <c r="C2849">
        <v>1.35</v>
      </c>
      <c r="D2849">
        <v>168.66</v>
      </c>
      <c r="E2849" t="s">
        <v>16</v>
      </c>
      <c r="F2849" t="s">
        <v>16</v>
      </c>
      <c r="H2849">
        <v>-0.02</v>
      </c>
      <c r="I2849">
        <v>-3.06</v>
      </c>
      <c r="J2849">
        <v>-1.93</v>
      </c>
      <c r="L2849">
        <v>-1.15</v>
      </c>
      <c r="M2849">
        <v>203.99</v>
      </c>
      <c r="N2849">
        <v>0.07</v>
      </c>
      <c r="O2849">
        <v>2.82</v>
      </c>
    </row>
    <row r="2850" spans="1:15">
      <c r="A2850" t="str">
        <f>"301591"</f>
        <v>301591</v>
      </c>
      <c r="B2850" t="s">
        <v>2888</v>
      </c>
      <c r="C2850">
        <v>-3.75</v>
      </c>
      <c r="D2850">
        <v>48.96</v>
      </c>
      <c r="E2850" t="s">
        <v>16</v>
      </c>
      <c r="F2850" t="s">
        <v>16</v>
      </c>
      <c r="H2850">
        <v>-0.01</v>
      </c>
      <c r="I2850">
        <v>-4.39</v>
      </c>
      <c r="J2850">
        <v>-5.12</v>
      </c>
      <c r="L2850">
        <v>1.12</v>
      </c>
      <c r="M2850">
        <v>918.43</v>
      </c>
      <c r="N2850">
        <v>0.4</v>
      </c>
      <c r="O2850">
        <v>6.35</v>
      </c>
    </row>
    <row r="2851" spans="1:15">
      <c r="A2851" t="str">
        <f>"301592"</f>
        <v>301592</v>
      </c>
      <c r="B2851" t="s">
        <v>2889</v>
      </c>
      <c r="C2851">
        <v>-1.19</v>
      </c>
      <c r="D2851">
        <v>104.24</v>
      </c>
      <c r="E2851" t="s">
        <v>16</v>
      </c>
      <c r="F2851" t="s">
        <v>16</v>
      </c>
      <c r="H2851">
        <v>-0.01</v>
      </c>
      <c r="I2851">
        <v>1.01</v>
      </c>
      <c r="J2851">
        <v>-2.12</v>
      </c>
      <c r="L2851">
        <v>-0.84</v>
      </c>
      <c r="M2851">
        <v>114.02</v>
      </c>
      <c r="N2851">
        <v>0.05</v>
      </c>
      <c r="O2851">
        <v>3.11</v>
      </c>
    </row>
    <row r="2852" spans="1:15">
      <c r="A2852" t="str">
        <f>"301595"</f>
        <v>301595</v>
      </c>
      <c r="B2852" t="s">
        <v>2890</v>
      </c>
      <c r="C2852">
        <v>-1.03</v>
      </c>
      <c r="D2852">
        <v>46.13</v>
      </c>
      <c r="E2852" t="s">
        <v>16</v>
      </c>
      <c r="F2852" t="s">
        <v>16</v>
      </c>
      <c r="H2852">
        <v>-0.03</v>
      </c>
      <c r="I2852">
        <v>5.56</v>
      </c>
      <c r="J2852">
        <v>-2.14</v>
      </c>
      <c r="L2852">
        <v>-0.32</v>
      </c>
      <c r="M2852">
        <v>250.88</v>
      </c>
      <c r="N2852">
        <v>0.13</v>
      </c>
      <c r="O2852">
        <v>9.64</v>
      </c>
    </row>
    <row r="2853" spans="1:15">
      <c r="A2853" t="str">
        <f>"301596"</f>
        <v>301596</v>
      </c>
      <c r="B2853" t="s">
        <v>2891</v>
      </c>
      <c r="C2853">
        <v>5.96</v>
      </c>
      <c r="D2853">
        <v>59.74</v>
      </c>
      <c r="E2853" t="s">
        <v>16</v>
      </c>
      <c r="F2853" t="s">
        <v>16</v>
      </c>
      <c r="H2853">
        <v>-0.01</v>
      </c>
      <c r="I2853">
        <v>11.06</v>
      </c>
      <c r="J2853">
        <v>-0.42</v>
      </c>
      <c r="L2853">
        <v>-0.25</v>
      </c>
      <c r="M2853">
        <v>33.18</v>
      </c>
      <c r="N2853">
        <v>0.02</v>
      </c>
      <c r="O2853">
        <v>0.82</v>
      </c>
    </row>
    <row r="2854" spans="1:15">
      <c r="A2854" t="str">
        <f>"301598"</f>
        <v>301598</v>
      </c>
      <c r="B2854" t="s">
        <v>2892</v>
      </c>
      <c r="C2854">
        <v>-1.36</v>
      </c>
      <c r="D2854">
        <v>53.8</v>
      </c>
      <c r="E2854" t="s">
        <v>16</v>
      </c>
      <c r="F2854" t="s">
        <v>16</v>
      </c>
      <c r="H2854">
        <v>-0.14</v>
      </c>
      <c r="I2854">
        <v>-0.92</v>
      </c>
      <c r="J2854">
        <v>-1.61</v>
      </c>
      <c r="L2854">
        <v>-1.21</v>
      </c>
      <c r="M2854">
        <v>24.25</v>
      </c>
      <c r="N2854">
        <v>0.03</v>
      </c>
      <c r="O2854">
        <v>22.5</v>
      </c>
    </row>
    <row r="2855" spans="1:15">
      <c r="A2855" t="str">
        <f>"301599"</f>
        <v>301599</v>
      </c>
      <c r="B2855" t="s">
        <v>2893</v>
      </c>
      <c r="C2855">
        <v>1.94</v>
      </c>
      <c r="D2855">
        <v>48.97</v>
      </c>
      <c r="E2855" t="s">
        <v>16</v>
      </c>
      <c r="F2855" t="s">
        <v>16</v>
      </c>
      <c r="H2855">
        <v>-0.05</v>
      </c>
      <c r="I2855">
        <v>-5.24</v>
      </c>
      <c r="J2855">
        <v>-1.82</v>
      </c>
      <c r="L2855">
        <v>-0.69</v>
      </c>
      <c r="M2855">
        <v>207.06</v>
      </c>
      <c r="N2855">
        <v>0.08</v>
      </c>
      <c r="O2855">
        <v>0.96</v>
      </c>
    </row>
    <row r="2856" spans="1:15">
      <c r="A2856" t="str">
        <f>"301600"</f>
        <v>301600</v>
      </c>
      <c r="B2856" t="s">
        <v>2894</v>
      </c>
      <c r="C2856">
        <v>-0.77</v>
      </c>
      <c r="D2856">
        <v>92.23</v>
      </c>
      <c r="E2856" t="s">
        <v>16</v>
      </c>
      <c r="F2856" t="s">
        <v>16</v>
      </c>
      <c r="H2856">
        <v>0.04</v>
      </c>
      <c r="I2856">
        <v>-8.42</v>
      </c>
      <c r="J2856">
        <v>-2.11</v>
      </c>
      <c r="L2856">
        <v>-0.39</v>
      </c>
      <c r="M2856">
        <v>0.93</v>
      </c>
      <c r="N2856">
        <v>0</v>
      </c>
      <c r="O2856">
        <v>1</v>
      </c>
    </row>
    <row r="2857" spans="1:15">
      <c r="A2857" t="str">
        <f>"301601"</f>
        <v>301601</v>
      </c>
      <c r="B2857" t="s">
        <v>2895</v>
      </c>
      <c r="C2857">
        <v>0.35</v>
      </c>
      <c r="D2857">
        <v>17.12</v>
      </c>
      <c r="E2857" t="s">
        <v>16</v>
      </c>
      <c r="F2857" t="s">
        <v>16</v>
      </c>
      <c r="H2857">
        <v>0.18</v>
      </c>
      <c r="I2857">
        <v>-4.25</v>
      </c>
      <c r="J2857">
        <v>-2.45</v>
      </c>
      <c r="L2857">
        <v>-0.23</v>
      </c>
      <c r="M2857">
        <v>14.98</v>
      </c>
      <c r="N2857">
        <v>0.01</v>
      </c>
      <c r="O2857">
        <v>0.66</v>
      </c>
    </row>
    <row r="2858" spans="1:15">
      <c r="A2858" t="str">
        <f>"301602"</f>
        <v>301602</v>
      </c>
      <c r="B2858" t="s">
        <v>2896</v>
      </c>
      <c r="C2858">
        <v>-0.53</v>
      </c>
      <c r="D2858">
        <v>15</v>
      </c>
      <c r="E2858" t="s">
        <v>16</v>
      </c>
      <c r="F2858" t="s">
        <v>16</v>
      </c>
      <c r="H2858">
        <v>-0.26</v>
      </c>
      <c r="I2858">
        <v>-3.23</v>
      </c>
      <c r="J2858">
        <v>-4.94</v>
      </c>
      <c r="L2858">
        <v>0.53</v>
      </c>
      <c r="M2858">
        <v>18.04</v>
      </c>
      <c r="N2858">
        <v>0.02</v>
      </c>
      <c r="O2858">
        <v>2.7</v>
      </c>
    </row>
    <row r="2859" spans="1:15">
      <c r="A2859" t="str">
        <f>"301603"</f>
        <v>301603</v>
      </c>
      <c r="B2859" t="s">
        <v>2897</v>
      </c>
      <c r="C2859">
        <v>0.2</v>
      </c>
      <c r="D2859">
        <v>146.8</v>
      </c>
      <c r="E2859" t="s">
        <v>16</v>
      </c>
      <c r="F2859" t="s">
        <v>16</v>
      </c>
      <c r="H2859">
        <v>-0.04</v>
      </c>
      <c r="I2859">
        <v>12.29</v>
      </c>
      <c r="J2859">
        <v>-1.72</v>
      </c>
      <c r="L2859">
        <v>-0.68</v>
      </c>
      <c r="M2859">
        <v>157.14</v>
      </c>
      <c r="N2859">
        <v>0.03</v>
      </c>
      <c r="O2859">
        <v>0.6</v>
      </c>
    </row>
    <row r="2860" spans="1:15">
      <c r="A2860" t="str">
        <f>"301606"</f>
        <v>301606</v>
      </c>
      <c r="B2860" t="s">
        <v>2898</v>
      </c>
      <c r="C2860">
        <v>-0.33</v>
      </c>
      <c r="D2860">
        <v>63.77</v>
      </c>
      <c r="E2860" t="s">
        <v>16</v>
      </c>
      <c r="F2860" t="s">
        <v>16</v>
      </c>
      <c r="H2860">
        <v>-0.04</v>
      </c>
      <c r="I2860">
        <v>-4.56</v>
      </c>
      <c r="J2860">
        <v>-1.38</v>
      </c>
      <c r="L2860">
        <v>0.09</v>
      </c>
      <c r="M2860">
        <v>27.54</v>
      </c>
      <c r="N2860">
        <v>0.01</v>
      </c>
      <c r="O2860">
        <v>0.83</v>
      </c>
    </row>
    <row r="2861" spans="1:15">
      <c r="A2861" t="str">
        <f>"301607"</f>
        <v>301607</v>
      </c>
      <c r="B2861" t="s">
        <v>2899</v>
      </c>
      <c r="C2861">
        <v>-4.22</v>
      </c>
      <c r="D2861">
        <v>41.05</v>
      </c>
      <c r="E2861" t="s">
        <v>16</v>
      </c>
      <c r="F2861" t="s">
        <v>16</v>
      </c>
      <c r="H2861">
        <v>0.49</v>
      </c>
      <c r="I2861">
        <v>-3.28</v>
      </c>
      <c r="J2861">
        <v>-4.82</v>
      </c>
      <c r="L2861">
        <v>-2.01</v>
      </c>
      <c r="M2861">
        <v>538.44</v>
      </c>
      <c r="N2861">
        <v>0.11</v>
      </c>
      <c r="O2861">
        <v>5.67</v>
      </c>
    </row>
    <row r="2862" spans="1:15">
      <c r="A2862" t="str">
        <f>"301608"</f>
        <v>301608</v>
      </c>
      <c r="B2862" t="s">
        <v>2900</v>
      </c>
      <c r="C2862">
        <v>1.21</v>
      </c>
      <c r="D2862">
        <v>54.54</v>
      </c>
      <c r="E2862" t="s">
        <v>16</v>
      </c>
      <c r="F2862" t="s">
        <v>16</v>
      </c>
      <c r="H2862">
        <v>0.55</v>
      </c>
      <c r="I2862">
        <v>0.94</v>
      </c>
      <c r="J2862">
        <v>-0.64</v>
      </c>
      <c r="L2862">
        <v>-0.89</v>
      </c>
      <c r="M2862">
        <v>34.72</v>
      </c>
      <c r="N2862">
        <v>0.02</v>
      </c>
      <c r="O2862">
        <v>3.1</v>
      </c>
    </row>
    <row r="2863" spans="1:15">
      <c r="A2863" t="str">
        <f>"301609"</f>
        <v>301609</v>
      </c>
      <c r="B2863" t="s">
        <v>2901</v>
      </c>
      <c r="C2863">
        <v>-1.09</v>
      </c>
      <c r="D2863">
        <v>37.28</v>
      </c>
      <c r="E2863" t="s">
        <v>16</v>
      </c>
      <c r="F2863" t="s">
        <v>16</v>
      </c>
      <c r="H2863">
        <v>-0.15</v>
      </c>
      <c r="I2863">
        <v>-24.24</v>
      </c>
      <c r="J2863">
        <v>-2.02</v>
      </c>
      <c r="L2863">
        <v>-0.64</v>
      </c>
      <c r="M2863">
        <v>13.48</v>
      </c>
      <c r="N2863">
        <v>0.01</v>
      </c>
      <c r="O2863">
        <v>0.92</v>
      </c>
    </row>
    <row r="2864" spans="1:15">
      <c r="A2864" t="str">
        <f>"301611"</f>
        <v>301611</v>
      </c>
      <c r="B2864" t="s">
        <v>2902</v>
      </c>
      <c r="C2864">
        <v>-2.33</v>
      </c>
      <c r="D2864">
        <v>121.77</v>
      </c>
      <c r="E2864" t="s">
        <v>16</v>
      </c>
      <c r="F2864" t="s">
        <v>16</v>
      </c>
      <c r="H2864">
        <v>0.07</v>
      </c>
      <c r="I2864">
        <v>12.76</v>
      </c>
      <c r="J2864">
        <v>-1.56</v>
      </c>
      <c r="L2864">
        <v>-1.59</v>
      </c>
      <c r="M2864">
        <v>1401.12</v>
      </c>
      <c r="N2864">
        <v>0.08</v>
      </c>
      <c r="O2864">
        <v>1.75</v>
      </c>
    </row>
    <row r="2865" spans="1:15">
      <c r="A2865" t="str">
        <f>"301613"</f>
        <v>301613</v>
      </c>
      <c r="B2865" t="s">
        <v>2903</v>
      </c>
      <c r="C2865">
        <v>-2.72</v>
      </c>
      <c r="D2865">
        <v>40.8</v>
      </c>
      <c r="E2865" t="s">
        <v>16</v>
      </c>
      <c r="F2865" t="s">
        <v>16</v>
      </c>
      <c r="H2865">
        <v>-0.4</v>
      </c>
      <c r="I2865">
        <v>-3.32</v>
      </c>
      <c r="J2865">
        <v>-3.57</v>
      </c>
      <c r="L2865">
        <v>-0.69</v>
      </c>
      <c r="M2865">
        <v>20.83</v>
      </c>
      <c r="N2865">
        <v>0.01</v>
      </c>
      <c r="O2865">
        <v>25.01</v>
      </c>
    </row>
    <row r="2866" spans="1:15">
      <c r="A2866" t="str">
        <f>"301616"</f>
        <v>301616</v>
      </c>
      <c r="B2866" t="s">
        <v>2904</v>
      </c>
      <c r="C2866">
        <v>0.14</v>
      </c>
      <c r="D2866">
        <v>36.64</v>
      </c>
      <c r="E2866" t="s">
        <v>16</v>
      </c>
      <c r="F2866" t="s">
        <v>16</v>
      </c>
      <c r="H2866">
        <v>0</v>
      </c>
      <c r="I2866">
        <v>-2.55</v>
      </c>
      <c r="J2866">
        <v>-1.19</v>
      </c>
      <c r="L2866">
        <v>0</v>
      </c>
      <c r="M2866">
        <v>1.46</v>
      </c>
      <c r="N2866">
        <v>0</v>
      </c>
      <c r="O2866">
        <v>0.12</v>
      </c>
    </row>
    <row r="2867" spans="1:15">
      <c r="A2867" t="str">
        <f>"301617"</f>
        <v>301617</v>
      </c>
      <c r="B2867" t="s">
        <v>2905</v>
      </c>
      <c r="C2867">
        <v>3.23</v>
      </c>
      <c r="D2867">
        <v>56.65</v>
      </c>
      <c r="E2867" t="s">
        <v>16</v>
      </c>
      <c r="F2867" t="s">
        <v>16</v>
      </c>
      <c r="H2867">
        <v>0.05</v>
      </c>
      <c r="I2867">
        <v>8.26</v>
      </c>
      <c r="J2867">
        <v>-1.65</v>
      </c>
      <c r="L2867">
        <v>-1.38</v>
      </c>
      <c r="M2867">
        <v>71.44</v>
      </c>
      <c r="N2867">
        <v>0.02</v>
      </c>
      <c r="O2867">
        <v>0.94</v>
      </c>
    </row>
    <row r="2868" spans="1:15">
      <c r="A2868" t="str">
        <f>"301618"</f>
        <v>301618</v>
      </c>
      <c r="B2868" t="s">
        <v>2906</v>
      </c>
      <c r="C2868">
        <v>-2.26</v>
      </c>
      <c r="D2868">
        <v>39</v>
      </c>
      <c r="E2868" t="s">
        <v>16</v>
      </c>
      <c r="F2868" t="s">
        <v>16</v>
      </c>
      <c r="H2868">
        <v>-0.25</v>
      </c>
      <c r="I2868">
        <v>-2.4</v>
      </c>
      <c r="J2868">
        <v>-3.63</v>
      </c>
      <c r="L2868">
        <v>0.05</v>
      </c>
      <c r="M2868">
        <v>135.33</v>
      </c>
      <c r="N2868">
        <v>0.09</v>
      </c>
      <c r="O2868">
        <v>2.51</v>
      </c>
    </row>
    <row r="2869" spans="1:15">
      <c r="A2869" t="str">
        <f>"301622"</f>
        <v>301622</v>
      </c>
      <c r="B2869" t="s">
        <v>2907</v>
      </c>
      <c r="C2869">
        <v>0.33</v>
      </c>
      <c r="D2869">
        <v>58.14</v>
      </c>
      <c r="E2869" t="s">
        <v>16</v>
      </c>
      <c r="F2869" t="s">
        <v>16</v>
      </c>
      <c r="H2869">
        <v>-0.02</v>
      </c>
      <c r="I2869">
        <v>6.29</v>
      </c>
      <c r="J2869">
        <v>-2.29</v>
      </c>
      <c r="L2869">
        <v>-0.17</v>
      </c>
      <c r="M2869">
        <v>5.79</v>
      </c>
      <c r="N2869">
        <v>0</v>
      </c>
      <c r="O2869">
        <v>0.11</v>
      </c>
    </row>
    <row r="2870" spans="1:15">
      <c r="A2870" t="str">
        <f>"301626"</f>
        <v>301626</v>
      </c>
      <c r="B2870" t="s">
        <v>2908</v>
      </c>
      <c r="C2870">
        <v>4.49</v>
      </c>
      <c r="D2870">
        <v>337.12</v>
      </c>
      <c r="E2870" t="s">
        <v>16</v>
      </c>
      <c r="F2870" t="s">
        <v>16</v>
      </c>
      <c r="H2870">
        <v>-0.11</v>
      </c>
      <c r="I2870">
        <v>6.46</v>
      </c>
      <c r="J2870">
        <v>-0.75</v>
      </c>
      <c r="L2870">
        <v>0</v>
      </c>
      <c r="M2870">
        <v>303.28</v>
      </c>
      <c r="N2870">
        <v>0.02</v>
      </c>
      <c r="O2870">
        <v>3.03</v>
      </c>
    </row>
    <row r="2871" spans="1:15">
      <c r="A2871" t="str">
        <f>"301628"</f>
        <v>301628</v>
      </c>
      <c r="B2871" t="s">
        <v>2909</v>
      </c>
      <c r="C2871">
        <v>-0.42</v>
      </c>
      <c r="D2871">
        <v>120.73</v>
      </c>
      <c r="E2871" t="s">
        <v>16</v>
      </c>
      <c r="F2871" t="s">
        <v>16</v>
      </c>
      <c r="H2871">
        <v>0.05</v>
      </c>
      <c r="I2871">
        <v>-0.14</v>
      </c>
      <c r="J2871">
        <v>-0.88</v>
      </c>
      <c r="L2871">
        <v>-1.03</v>
      </c>
      <c r="M2871">
        <v>109.19</v>
      </c>
      <c r="N2871">
        <v>0.03</v>
      </c>
      <c r="O2871">
        <v>0.59</v>
      </c>
    </row>
    <row r="2872" spans="1:15">
      <c r="A2872" t="str">
        <f>"301629"</f>
        <v>301629</v>
      </c>
      <c r="B2872" t="s">
        <v>2910</v>
      </c>
      <c r="C2872">
        <v>0</v>
      </c>
      <c r="D2872">
        <v>401.93</v>
      </c>
      <c r="E2872" t="s">
        <v>16</v>
      </c>
      <c r="F2872" t="s">
        <v>16</v>
      </c>
      <c r="H2872">
        <v>0</v>
      </c>
      <c r="I2872">
        <v>11.54</v>
      </c>
      <c r="J2872">
        <v>-0.26</v>
      </c>
      <c r="L2872">
        <v>-1.27</v>
      </c>
      <c r="M2872">
        <v>174.61</v>
      </c>
      <c r="N2872">
        <v>0.02</v>
      </c>
      <c r="O2872">
        <v>1.22</v>
      </c>
    </row>
    <row r="2873" spans="1:15">
      <c r="A2873" t="str">
        <f>"301630"</f>
        <v>301630</v>
      </c>
      <c r="B2873" t="s">
        <v>2911</v>
      </c>
      <c r="C2873">
        <v>13.69</v>
      </c>
      <c r="D2873">
        <v>402.31</v>
      </c>
      <c r="E2873" t="s">
        <v>16</v>
      </c>
      <c r="F2873" t="s">
        <v>16</v>
      </c>
      <c r="H2873">
        <v>0.04</v>
      </c>
      <c r="I2873">
        <v>63.45</v>
      </c>
      <c r="J2873">
        <v>-2.4</v>
      </c>
      <c r="L2873">
        <v>-1.05</v>
      </c>
      <c r="M2873">
        <v>899.96</v>
      </c>
      <c r="N2873">
        <v>0.26</v>
      </c>
      <c r="O2873">
        <v>0.63</v>
      </c>
    </row>
    <row r="2874" spans="1:15">
      <c r="A2874" t="str">
        <f>"301631"</f>
        <v>301631</v>
      </c>
      <c r="B2874" t="s">
        <v>2912</v>
      </c>
      <c r="C2874">
        <v>0.51</v>
      </c>
      <c r="D2874">
        <v>81.13</v>
      </c>
      <c r="E2874" t="s">
        <v>16</v>
      </c>
      <c r="F2874" t="s">
        <v>16</v>
      </c>
      <c r="H2874">
        <v>0.1</v>
      </c>
      <c r="I2874">
        <v>-2.44</v>
      </c>
      <c r="J2874">
        <v>-2.99</v>
      </c>
      <c r="L2874">
        <v>-0.45</v>
      </c>
      <c r="M2874">
        <v>38.73</v>
      </c>
      <c r="N2874">
        <v>0.01</v>
      </c>
      <c r="O2874">
        <v>2.01</v>
      </c>
    </row>
    <row r="2875" spans="1:15">
      <c r="A2875" t="str">
        <f>"301632"</f>
        <v>301632</v>
      </c>
      <c r="B2875" t="s">
        <v>2913</v>
      </c>
      <c r="C2875">
        <v>-1.89</v>
      </c>
      <c r="D2875">
        <v>16.1</v>
      </c>
      <c r="E2875" t="s">
        <v>16</v>
      </c>
      <c r="F2875" t="s">
        <v>16</v>
      </c>
      <c r="H2875">
        <v>-0.42</v>
      </c>
      <c r="I2875">
        <v>-7.47</v>
      </c>
      <c r="J2875">
        <v>-2.54</v>
      </c>
      <c r="L2875">
        <v>-0.37</v>
      </c>
      <c r="M2875">
        <v>24.69</v>
      </c>
      <c r="N2875">
        <v>0.02</v>
      </c>
      <c r="O2875">
        <v>4.19</v>
      </c>
    </row>
    <row r="2876" spans="1:15">
      <c r="A2876" t="str">
        <f>"301633"</f>
        <v>301633</v>
      </c>
      <c r="B2876" t="s">
        <v>2914</v>
      </c>
      <c r="C2876">
        <v>0</v>
      </c>
      <c r="D2876">
        <v>46.15</v>
      </c>
      <c r="E2876" t="s">
        <v>16</v>
      </c>
      <c r="F2876" t="s">
        <v>16</v>
      </c>
      <c r="H2876">
        <v>0</v>
      </c>
      <c r="I2876">
        <v>-9.14</v>
      </c>
      <c r="J2876">
        <v>-1.14</v>
      </c>
      <c r="L2876">
        <v>-0.09</v>
      </c>
      <c r="M2876">
        <v>1.84</v>
      </c>
      <c r="N2876">
        <v>0</v>
      </c>
      <c r="O2876">
        <v>2</v>
      </c>
    </row>
    <row r="2877" spans="1:15">
      <c r="A2877" t="str">
        <f>"301636"</f>
        <v>301636</v>
      </c>
      <c r="B2877" t="s">
        <v>2915</v>
      </c>
      <c r="C2877">
        <v>-1.51</v>
      </c>
      <c r="D2877">
        <v>45.56</v>
      </c>
      <c r="E2877" t="s">
        <v>16</v>
      </c>
      <c r="F2877" t="s">
        <v>16</v>
      </c>
      <c r="H2877">
        <v>0.13</v>
      </c>
      <c r="I2877">
        <v>-7.96</v>
      </c>
      <c r="J2877">
        <v>-1.98</v>
      </c>
      <c r="L2877">
        <v>0.48</v>
      </c>
      <c r="M2877">
        <v>14.41</v>
      </c>
      <c r="N2877">
        <v>0.01</v>
      </c>
      <c r="O2877">
        <v>0.44</v>
      </c>
    </row>
    <row r="2878" spans="1:15">
      <c r="A2878" t="str">
        <f>"301638"</f>
        <v>301638</v>
      </c>
      <c r="B2878" t="s">
        <v>2916</v>
      </c>
      <c r="C2878">
        <v>4.66</v>
      </c>
      <c r="D2878">
        <v>26.5</v>
      </c>
      <c r="E2878" t="s">
        <v>16</v>
      </c>
      <c r="F2878" t="s">
        <v>16</v>
      </c>
      <c r="H2878">
        <v>0.11</v>
      </c>
      <c r="I2878">
        <v>1.81</v>
      </c>
      <c r="J2878">
        <v>-0.11</v>
      </c>
      <c r="L2878">
        <v>-0.47</v>
      </c>
      <c r="M2878">
        <v>113.15</v>
      </c>
      <c r="N2878">
        <v>0.02</v>
      </c>
      <c r="O2878">
        <v>0.92</v>
      </c>
    </row>
    <row r="2879" spans="1:15">
      <c r="A2879" t="str">
        <f>"301656"</f>
        <v>301656</v>
      </c>
      <c r="B2879" t="s">
        <v>2917</v>
      </c>
      <c r="C2879">
        <v>-2.3</v>
      </c>
      <c r="D2879">
        <v>18.67</v>
      </c>
      <c r="E2879" t="s">
        <v>16</v>
      </c>
      <c r="F2879" t="s">
        <v>16</v>
      </c>
      <c r="H2879">
        <v>-0.04</v>
      </c>
      <c r="I2879">
        <v>5.72</v>
      </c>
      <c r="J2879">
        <v>-2.61</v>
      </c>
      <c r="L2879">
        <v>-0.05</v>
      </c>
      <c r="M2879">
        <v>70.48</v>
      </c>
      <c r="N2879">
        <v>0.02</v>
      </c>
      <c r="O2879">
        <v>1.05</v>
      </c>
    </row>
    <row r="2880" spans="1:15">
      <c r="A2880" t="str">
        <f>"301658"</f>
        <v>301658</v>
      </c>
      <c r="B2880" t="s">
        <v>2918</v>
      </c>
      <c r="C2880">
        <v>-0.31</v>
      </c>
      <c r="D2880">
        <v>29.26</v>
      </c>
      <c r="E2880" t="s">
        <v>16</v>
      </c>
      <c r="F2880" t="s">
        <v>16</v>
      </c>
      <c r="H2880">
        <v>-0.19</v>
      </c>
      <c r="I2880">
        <v>-10.11</v>
      </c>
      <c r="J2880">
        <v>-0.75</v>
      </c>
      <c r="L2880">
        <v>-1.02</v>
      </c>
      <c r="M2880">
        <v>63.04</v>
      </c>
      <c r="N2880">
        <v>0.02</v>
      </c>
      <c r="O2880">
        <v>2.55</v>
      </c>
    </row>
    <row r="2881" spans="1:15">
      <c r="A2881" t="str">
        <f>"301662"</f>
        <v>301662</v>
      </c>
      <c r="B2881" t="s">
        <v>2919</v>
      </c>
      <c r="C2881">
        <v>0.4</v>
      </c>
      <c r="D2881">
        <v>107.4</v>
      </c>
      <c r="E2881" t="s">
        <v>16</v>
      </c>
      <c r="F2881" t="s">
        <v>16</v>
      </c>
      <c r="H2881">
        <v>-0.02</v>
      </c>
      <c r="I2881">
        <v>12.47</v>
      </c>
      <c r="J2881">
        <v>-1.12</v>
      </c>
      <c r="L2881">
        <v>-0.16</v>
      </c>
      <c r="M2881">
        <v>138.84</v>
      </c>
      <c r="N2881">
        <v>0.03</v>
      </c>
      <c r="O2881">
        <v>0.33</v>
      </c>
    </row>
    <row r="2882" spans="1:15">
      <c r="A2882" t="str">
        <f>"301665"</f>
        <v>301665</v>
      </c>
      <c r="B2882" t="s">
        <v>2920</v>
      </c>
      <c r="C2882">
        <v>-1.14</v>
      </c>
      <c r="D2882">
        <v>21.69</v>
      </c>
      <c r="E2882" t="s">
        <v>16</v>
      </c>
      <c r="F2882" t="s">
        <v>16</v>
      </c>
      <c r="H2882">
        <v>-0.04</v>
      </c>
      <c r="I2882">
        <v>-1.14</v>
      </c>
      <c r="J2882">
        <v>-1.09</v>
      </c>
      <c r="L2882">
        <v>-0.55</v>
      </c>
      <c r="M2882">
        <v>1.96</v>
      </c>
      <c r="N2882">
        <v>0</v>
      </c>
      <c r="O2882">
        <v>1.12</v>
      </c>
    </row>
    <row r="2883" spans="1:15">
      <c r="A2883" t="str">
        <f>"301666"</f>
        <v>301666</v>
      </c>
      <c r="B2883" t="s">
        <v>2921</v>
      </c>
      <c r="C2883">
        <v>-3</v>
      </c>
      <c r="D2883">
        <v>672.23</v>
      </c>
      <c r="E2883" t="s">
        <v>16</v>
      </c>
      <c r="F2883" t="s">
        <v>16</v>
      </c>
      <c r="H2883">
        <v>-0.1</v>
      </c>
      <c r="I2883">
        <v>-21.64</v>
      </c>
      <c r="J2883">
        <v>-3.42</v>
      </c>
      <c r="L2883">
        <v>-1.8</v>
      </c>
      <c r="M2883">
        <v>3579.64</v>
      </c>
      <c r="N2883">
        <v>0.2</v>
      </c>
      <c r="O2883">
        <v>0.87</v>
      </c>
    </row>
    <row r="2884" spans="1:15">
      <c r="A2884" t="str">
        <f>"301667"</f>
        <v>301667</v>
      </c>
      <c r="B2884" t="s">
        <v>2922</v>
      </c>
      <c r="C2884">
        <v>-2.45</v>
      </c>
      <c r="D2884">
        <v>80.03</v>
      </c>
      <c r="E2884" t="s">
        <v>16</v>
      </c>
      <c r="F2884" t="s">
        <v>16</v>
      </c>
      <c r="H2884">
        <v>-0.33</v>
      </c>
      <c r="I2884">
        <v>-7.27</v>
      </c>
      <c r="J2884">
        <v>-2.44</v>
      </c>
      <c r="L2884">
        <v>-0.44</v>
      </c>
      <c r="M2884">
        <v>194.4</v>
      </c>
      <c r="N2884">
        <v>0.11</v>
      </c>
      <c r="O2884">
        <v>2.56</v>
      </c>
    </row>
    <row r="2885" spans="1:15">
      <c r="A2885" t="str">
        <f>"301668"</f>
        <v>301668</v>
      </c>
      <c r="B2885" t="s">
        <v>2923</v>
      </c>
      <c r="C2885">
        <v>0.56</v>
      </c>
      <c r="D2885">
        <v>36.05</v>
      </c>
      <c r="E2885" t="s">
        <v>16</v>
      </c>
      <c r="F2885" t="s">
        <v>16</v>
      </c>
      <c r="H2885">
        <v>-0.1</v>
      </c>
      <c r="I2885">
        <v>-1.69</v>
      </c>
      <c r="J2885">
        <v>-0.19</v>
      </c>
      <c r="L2885">
        <v>-0.31</v>
      </c>
      <c r="M2885">
        <v>4.65</v>
      </c>
      <c r="N2885">
        <v>0.01</v>
      </c>
      <c r="O2885">
        <v>0.26</v>
      </c>
    </row>
    <row r="2886" spans="1:15">
      <c r="A2886" t="str">
        <f>"301669"</f>
        <v>301669</v>
      </c>
      <c r="B2886" t="s">
        <v>2924</v>
      </c>
      <c r="C2886">
        <v>13.64</v>
      </c>
      <c r="D2886">
        <v>41.99</v>
      </c>
      <c r="E2886" t="s">
        <v>16</v>
      </c>
      <c r="F2886" t="s">
        <v>16</v>
      </c>
      <c r="H2886">
        <v>0.91</v>
      </c>
      <c r="I2886">
        <v>493.08</v>
      </c>
      <c r="J2886">
        <v>-1.2</v>
      </c>
      <c r="L2886">
        <v>-0.14</v>
      </c>
      <c r="M2886">
        <v>1166.17</v>
      </c>
      <c r="N2886">
        <v>0.39</v>
      </c>
      <c r="O2886">
        <v>0.98</v>
      </c>
    </row>
    <row r="2887" spans="1:15">
      <c r="A2887" t="str">
        <f>"301678"</f>
        <v>301678</v>
      </c>
      <c r="B2887" t="s">
        <v>2925</v>
      </c>
      <c r="C2887">
        <v>5.02</v>
      </c>
      <c r="D2887">
        <v>64.05</v>
      </c>
      <c r="E2887" t="s">
        <v>16</v>
      </c>
      <c r="F2887" t="s">
        <v>16</v>
      </c>
      <c r="H2887">
        <v>-0.22</v>
      </c>
      <c r="I2887">
        <v>22</v>
      </c>
      <c r="J2887">
        <v>-7.01</v>
      </c>
      <c r="L2887">
        <v>-1.82</v>
      </c>
      <c r="M2887">
        <v>372.45</v>
      </c>
      <c r="N2887">
        <v>0.06</v>
      </c>
      <c r="O2887">
        <v>3.66</v>
      </c>
    </row>
    <row r="2888" spans="1:15">
      <c r="A2888" t="str">
        <f>"301680"</f>
        <v>301680</v>
      </c>
      <c r="B2888" t="s">
        <v>2926</v>
      </c>
      <c r="C2888">
        <v>1.16</v>
      </c>
      <c r="D2888">
        <v>123.25</v>
      </c>
      <c r="E2888" t="s">
        <v>16</v>
      </c>
      <c r="F2888" t="s">
        <v>16</v>
      </c>
      <c r="H2888">
        <v>0.22</v>
      </c>
      <c r="I2888">
        <v>-1.48</v>
      </c>
      <c r="J2888">
        <v>-1.49</v>
      </c>
      <c r="L2888">
        <v>-0.69</v>
      </c>
      <c r="M2888">
        <v>145.2</v>
      </c>
      <c r="N2888">
        <v>0.07</v>
      </c>
      <c r="O2888">
        <v>1.25</v>
      </c>
    </row>
    <row r="2889" spans="1:15">
      <c r="A2889" t="str">
        <f>"301682"</f>
        <v>301682</v>
      </c>
      <c r="B2889" t="s">
        <v>2927</v>
      </c>
      <c r="C2889">
        <v>-2.61</v>
      </c>
      <c r="D2889">
        <v>192.11</v>
      </c>
      <c r="E2889" t="s">
        <v>16</v>
      </c>
      <c r="F2889" t="s">
        <v>16</v>
      </c>
      <c r="H2889">
        <v>0</v>
      </c>
      <c r="I2889">
        <v>2.43</v>
      </c>
      <c r="J2889">
        <v>-3.3</v>
      </c>
      <c r="L2889">
        <v>-3.15</v>
      </c>
      <c r="M2889">
        <v>2162.95</v>
      </c>
      <c r="N2889">
        <v>0.44</v>
      </c>
      <c r="O2889">
        <v>1.25</v>
      </c>
    </row>
    <row r="2890" spans="1:15">
      <c r="A2890" t="str">
        <f>"301683"</f>
        <v>301683</v>
      </c>
      <c r="B2890" t="s">
        <v>2928</v>
      </c>
      <c r="C2890">
        <v>2.47</v>
      </c>
      <c r="D2890">
        <v>144</v>
      </c>
      <c r="E2890" t="s">
        <v>16</v>
      </c>
      <c r="F2890" t="s">
        <v>16</v>
      </c>
      <c r="H2890">
        <v>-0.09</v>
      </c>
      <c r="I2890">
        <v>2.35</v>
      </c>
      <c r="J2890">
        <v>-0.69</v>
      </c>
      <c r="L2890">
        <v>-0.26</v>
      </c>
      <c r="M2890">
        <v>109.33</v>
      </c>
      <c r="N2890">
        <v>0.05</v>
      </c>
      <c r="O2890">
        <v>0.79</v>
      </c>
    </row>
    <row r="2891" spans="1:15">
      <c r="A2891" t="str">
        <f>"301687"</f>
        <v>301687</v>
      </c>
      <c r="B2891" t="s">
        <v>2929</v>
      </c>
      <c r="C2891">
        <v>20</v>
      </c>
      <c r="D2891">
        <v>82.44</v>
      </c>
      <c r="E2891">
        <v>3055.23</v>
      </c>
      <c r="F2891">
        <v>1</v>
      </c>
      <c r="H2891">
        <v>0</v>
      </c>
      <c r="I2891">
        <v>54.67</v>
      </c>
      <c r="J2891">
        <v>0</v>
      </c>
      <c r="K2891" t="s">
        <v>140</v>
      </c>
      <c r="L2891">
        <v>5.46</v>
      </c>
      <c r="M2891">
        <v>1236</v>
      </c>
      <c r="N2891">
        <v>0.58</v>
      </c>
      <c r="O2891">
        <v>3.78</v>
      </c>
    </row>
    <row r="2892" spans="1:15">
      <c r="A2892" t="str">
        <f>"301696"</f>
        <v>301696</v>
      </c>
      <c r="B2892" t="s">
        <v>2930</v>
      </c>
      <c r="C2892">
        <v>1.01</v>
      </c>
      <c r="D2892">
        <v>117.46</v>
      </c>
      <c r="E2892" t="s">
        <v>16</v>
      </c>
      <c r="F2892" t="s">
        <v>16</v>
      </c>
      <c r="H2892">
        <v>-0.02</v>
      </c>
      <c r="I2892">
        <v>-9.56</v>
      </c>
      <c r="J2892">
        <v>-2.03</v>
      </c>
      <c r="L2892">
        <v>-1.07</v>
      </c>
      <c r="M2892">
        <v>181.76</v>
      </c>
      <c r="N2892">
        <v>0.05</v>
      </c>
      <c r="O2892">
        <v>0.98</v>
      </c>
    </row>
    <row r="2893" spans="1:15">
      <c r="A2893" t="str">
        <f>"302132"</f>
        <v>302132</v>
      </c>
      <c r="B2893" t="s">
        <v>2931</v>
      </c>
      <c r="C2893">
        <v>-1.45</v>
      </c>
      <c r="D2893">
        <v>59.33</v>
      </c>
      <c r="E2893" t="s">
        <v>16</v>
      </c>
      <c r="F2893" t="s">
        <v>16</v>
      </c>
      <c r="H2893">
        <v>0.03</v>
      </c>
      <c r="I2893">
        <v>1.63</v>
      </c>
      <c r="J2893">
        <v>-2.1</v>
      </c>
      <c r="L2893">
        <v>-0.17</v>
      </c>
      <c r="M2893">
        <v>188.34</v>
      </c>
      <c r="N2893">
        <v>0.01</v>
      </c>
      <c r="O2893">
        <v>2.1</v>
      </c>
    </row>
    <row r="2894" spans="1:15">
      <c r="A2894" t="str">
        <f>"001248"</f>
        <v>001248</v>
      </c>
      <c r="B2894" t="s">
        <v>2932</v>
      </c>
      <c r="C2894" t="s">
        <v>16</v>
      </c>
      <c r="D2894">
        <v>0</v>
      </c>
      <c r="E2894" t="s">
        <v>16</v>
      </c>
      <c r="F2894" t="s">
        <v>16</v>
      </c>
      <c r="H2894" t="s">
        <v>16</v>
      </c>
      <c r="I2894" t="s">
        <v>16</v>
      </c>
      <c r="J2894" t="s">
        <v>16</v>
      </c>
      <c r="L2894" t="s">
        <v>16</v>
      </c>
      <c r="M2894">
        <v>0</v>
      </c>
      <c r="N2894" t="s">
        <v>16</v>
      </c>
      <c r="O2894" t="s">
        <v>16</v>
      </c>
    </row>
    <row r="2895" spans="1:15">
      <c r="A2895" t="str">
        <f>"001399"</f>
        <v>001399</v>
      </c>
      <c r="B2895" t="s">
        <v>2933</v>
      </c>
      <c r="C2895" t="s">
        <v>16</v>
      </c>
      <c r="D2895">
        <v>0</v>
      </c>
      <c r="E2895" t="s">
        <v>16</v>
      </c>
      <c r="F2895" t="s">
        <v>16</v>
      </c>
      <c r="H2895" t="s">
        <v>16</v>
      </c>
      <c r="I2895" t="s">
        <v>16</v>
      </c>
      <c r="J2895" t="s">
        <v>16</v>
      </c>
      <c r="L2895" t="s">
        <v>16</v>
      </c>
      <c r="M2895">
        <v>0</v>
      </c>
      <c r="N2895" t="s">
        <v>16</v>
      </c>
      <c r="O2895" t="s">
        <v>16</v>
      </c>
    </row>
    <row r="2896" spans="1:15">
      <c r="A2896" t="str">
        <f>"600000"</f>
        <v>600000</v>
      </c>
      <c r="B2896" t="s">
        <v>2934</v>
      </c>
      <c r="C2896">
        <v>-1.62</v>
      </c>
      <c r="D2896">
        <v>9.09</v>
      </c>
      <c r="E2896" t="s">
        <v>16</v>
      </c>
      <c r="F2896" t="s">
        <v>16</v>
      </c>
      <c r="H2896">
        <v>-0.1</v>
      </c>
      <c r="I2896">
        <v>-1.09</v>
      </c>
      <c r="J2896">
        <v>-1.73</v>
      </c>
      <c r="L2896">
        <v>-0.43</v>
      </c>
      <c r="M2896">
        <v>370.58</v>
      </c>
      <c r="N2896">
        <v>0</v>
      </c>
      <c r="O2896">
        <v>2.26</v>
      </c>
    </row>
    <row r="2897" spans="1:15">
      <c r="A2897" t="str">
        <f>"600004"</f>
        <v>600004</v>
      </c>
      <c r="B2897" t="s">
        <v>2935</v>
      </c>
      <c r="C2897">
        <v>-5.51</v>
      </c>
      <c r="D2897">
        <v>7.71</v>
      </c>
      <c r="E2897" t="s">
        <v>16</v>
      </c>
      <c r="F2897" t="s">
        <v>16</v>
      </c>
      <c r="H2897">
        <v>-0.12</v>
      </c>
      <c r="I2897">
        <v>-3.99</v>
      </c>
      <c r="J2897">
        <v>-5.51</v>
      </c>
      <c r="L2897">
        <v>-0.12</v>
      </c>
      <c r="M2897">
        <v>23.15</v>
      </c>
      <c r="N2897">
        <v>0</v>
      </c>
      <c r="O2897">
        <v>0.29</v>
      </c>
    </row>
    <row r="2898" spans="1:15">
      <c r="A2898" t="str">
        <f>"600006"</f>
        <v>600006</v>
      </c>
      <c r="B2898" t="s">
        <v>2936</v>
      </c>
      <c r="C2898">
        <v>-1.77</v>
      </c>
      <c r="D2898">
        <v>5.56</v>
      </c>
      <c r="E2898" t="s">
        <v>16</v>
      </c>
      <c r="F2898" t="s">
        <v>16</v>
      </c>
      <c r="H2898">
        <v>0</v>
      </c>
      <c r="I2898">
        <v>-6.24</v>
      </c>
      <c r="J2898">
        <v>-1.94</v>
      </c>
      <c r="L2898">
        <v>-0.88</v>
      </c>
      <c r="M2898">
        <v>21.82</v>
      </c>
      <c r="N2898">
        <v>0</v>
      </c>
      <c r="O2898">
        <v>0.73</v>
      </c>
    </row>
    <row r="2899" spans="1:15">
      <c r="A2899" t="str">
        <f>"600007"</f>
        <v>600007</v>
      </c>
      <c r="B2899" t="s">
        <v>2937</v>
      </c>
      <c r="C2899">
        <v>1.96</v>
      </c>
      <c r="D2899">
        <v>18.75</v>
      </c>
      <c r="E2899" t="s">
        <v>16</v>
      </c>
      <c r="F2899" t="s">
        <v>16</v>
      </c>
      <c r="H2899">
        <v>-0.15</v>
      </c>
      <c r="I2899">
        <v>-10.84</v>
      </c>
      <c r="J2899">
        <v>-2.19</v>
      </c>
      <c r="L2899">
        <v>1.31</v>
      </c>
      <c r="M2899">
        <v>69.86</v>
      </c>
      <c r="N2899">
        <v>0.02</v>
      </c>
      <c r="O2899">
        <v>2.64</v>
      </c>
    </row>
    <row r="2900" spans="1:15">
      <c r="A2900" t="str">
        <f>"600008"</f>
        <v>600008</v>
      </c>
      <c r="B2900" t="s">
        <v>2938</v>
      </c>
      <c r="C2900">
        <v>-2.61</v>
      </c>
      <c r="D2900">
        <v>2.98</v>
      </c>
      <c r="E2900" t="s">
        <v>16</v>
      </c>
      <c r="F2900" t="s">
        <v>16</v>
      </c>
      <c r="H2900">
        <v>0.34</v>
      </c>
      <c r="I2900">
        <v>-4.18</v>
      </c>
      <c r="J2900">
        <v>-3.56</v>
      </c>
      <c r="L2900">
        <v>0.65</v>
      </c>
      <c r="M2900">
        <v>373.67</v>
      </c>
      <c r="N2900">
        <v>0.03</v>
      </c>
      <c r="O2900">
        <v>11.45</v>
      </c>
    </row>
    <row r="2901" spans="1:15">
      <c r="A2901" t="str">
        <f>"600009"</f>
        <v>600009</v>
      </c>
      <c r="B2901" t="s">
        <v>2939</v>
      </c>
      <c r="C2901">
        <v>-1.86</v>
      </c>
      <c r="D2901">
        <v>23.16</v>
      </c>
      <c r="E2901" t="s">
        <v>16</v>
      </c>
      <c r="F2901" t="s">
        <v>16</v>
      </c>
      <c r="H2901">
        <v>-0.16</v>
      </c>
      <c r="I2901">
        <v>-0.98</v>
      </c>
      <c r="J2901">
        <v>-1.86</v>
      </c>
      <c r="L2901">
        <v>-0.34</v>
      </c>
      <c r="M2901">
        <v>54.33</v>
      </c>
      <c r="N2901">
        <v>0</v>
      </c>
      <c r="O2901">
        <v>1.05</v>
      </c>
    </row>
    <row r="2902" spans="1:15">
      <c r="A2902" t="str">
        <f>"600010"</f>
        <v>600010</v>
      </c>
      <c r="B2902" t="s">
        <v>2940</v>
      </c>
      <c r="C2902">
        <v>1.25</v>
      </c>
      <c r="D2902">
        <v>2.43</v>
      </c>
      <c r="E2902" t="s">
        <v>16</v>
      </c>
      <c r="F2902" t="s">
        <v>16</v>
      </c>
      <c r="H2902">
        <v>-0.4</v>
      </c>
      <c r="I2902">
        <v>0.41</v>
      </c>
      <c r="J2902">
        <v>-2.41</v>
      </c>
      <c r="L2902">
        <v>-0.42</v>
      </c>
      <c r="M2902">
        <v>783.3</v>
      </c>
      <c r="N2902">
        <v>0.02</v>
      </c>
      <c r="O2902">
        <v>0.36</v>
      </c>
    </row>
    <row r="2903" spans="1:15">
      <c r="A2903" t="str">
        <f>"600011"</f>
        <v>600011</v>
      </c>
      <c r="B2903" t="s">
        <v>2941</v>
      </c>
      <c r="C2903">
        <v>-3.54</v>
      </c>
      <c r="D2903">
        <v>7.64</v>
      </c>
      <c r="E2903" t="s">
        <v>16</v>
      </c>
      <c r="F2903" t="s">
        <v>16</v>
      </c>
      <c r="H2903">
        <v>-0.12</v>
      </c>
      <c r="I2903">
        <v>-12.69</v>
      </c>
      <c r="J2903">
        <v>-6.26</v>
      </c>
      <c r="L2903">
        <v>-0.76</v>
      </c>
      <c r="M2903">
        <v>614.18</v>
      </c>
      <c r="N2903">
        <v>0.02</v>
      </c>
      <c r="O2903">
        <v>0.5</v>
      </c>
    </row>
    <row r="2904" spans="1:15">
      <c r="A2904" t="str">
        <f>"600012"</f>
        <v>600012</v>
      </c>
      <c r="B2904" t="s">
        <v>2942</v>
      </c>
      <c r="C2904">
        <v>0.31</v>
      </c>
      <c r="D2904">
        <v>16.28</v>
      </c>
      <c r="E2904" t="s">
        <v>16</v>
      </c>
      <c r="F2904" t="s">
        <v>16</v>
      </c>
      <c r="H2904">
        <v>0.43</v>
      </c>
      <c r="I2904">
        <v>-1.03</v>
      </c>
      <c r="J2904">
        <v>0</v>
      </c>
      <c r="L2904">
        <v>-0.68</v>
      </c>
      <c r="M2904">
        <v>24.82</v>
      </c>
      <c r="N2904">
        <v>0.01</v>
      </c>
      <c r="O2904">
        <v>0.44</v>
      </c>
    </row>
    <row r="2905" spans="1:15">
      <c r="A2905" t="str">
        <f>"600015"</f>
        <v>600015</v>
      </c>
      <c r="B2905" t="s">
        <v>2943</v>
      </c>
      <c r="C2905">
        <v>-2.79</v>
      </c>
      <c r="D2905">
        <v>6.63</v>
      </c>
      <c r="E2905" t="s">
        <v>16</v>
      </c>
      <c r="F2905" t="s">
        <v>16</v>
      </c>
      <c r="H2905">
        <v>-0.44</v>
      </c>
      <c r="I2905">
        <v>-1.34</v>
      </c>
      <c r="J2905">
        <v>-2.93</v>
      </c>
      <c r="L2905">
        <v>0.15</v>
      </c>
      <c r="M2905">
        <v>107.16</v>
      </c>
      <c r="N2905">
        <v>0</v>
      </c>
      <c r="O2905">
        <v>2.15</v>
      </c>
    </row>
    <row r="2906" spans="1:15">
      <c r="A2906" t="str">
        <f>"600016"</f>
        <v>600016</v>
      </c>
      <c r="B2906" t="s">
        <v>2944</v>
      </c>
      <c r="C2906">
        <v>-2.25</v>
      </c>
      <c r="D2906">
        <v>3.48</v>
      </c>
      <c r="E2906" t="s">
        <v>16</v>
      </c>
      <c r="F2906" t="s">
        <v>16</v>
      </c>
      <c r="H2906">
        <v>-0.28</v>
      </c>
      <c r="I2906">
        <v>-0.57</v>
      </c>
      <c r="J2906">
        <v>-2.25</v>
      </c>
      <c r="L2906">
        <v>-0.28</v>
      </c>
      <c r="M2906">
        <v>185.16</v>
      </c>
      <c r="N2906">
        <v>0</v>
      </c>
      <c r="O2906">
        <v>1.92</v>
      </c>
    </row>
    <row r="2907" spans="1:15">
      <c r="A2907" t="str">
        <f>"600017"</f>
        <v>600017</v>
      </c>
      <c r="B2907" t="s">
        <v>2945</v>
      </c>
      <c r="C2907">
        <v>-1.89</v>
      </c>
      <c r="D2907">
        <v>2.6</v>
      </c>
      <c r="E2907" t="s">
        <v>16</v>
      </c>
      <c r="F2907" t="s">
        <v>16</v>
      </c>
      <c r="H2907">
        <v>-0.37</v>
      </c>
      <c r="I2907">
        <v>-4.41</v>
      </c>
      <c r="J2907">
        <v>-1.52</v>
      </c>
      <c r="L2907">
        <v>-0.75</v>
      </c>
      <c r="M2907">
        <v>51.89</v>
      </c>
      <c r="N2907">
        <v>0.01</v>
      </c>
      <c r="O2907">
        <v>2.01</v>
      </c>
    </row>
    <row r="2908" spans="1:15">
      <c r="A2908" t="str">
        <f>"600018"</f>
        <v>600018</v>
      </c>
      <c r="B2908" t="s">
        <v>2946</v>
      </c>
      <c r="C2908">
        <v>-1.61</v>
      </c>
      <c r="D2908">
        <v>4.89</v>
      </c>
      <c r="E2908" t="s">
        <v>16</v>
      </c>
      <c r="F2908" t="s">
        <v>16</v>
      </c>
      <c r="H2908">
        <v>-0.19</v>
      </c>
      <c r="I2908">
        <v>-2.2</v>
      </c>
      <c r="J2908">
        <v>-1.41</v>
      </c>
      <c r="L2908">
        <v>-0.2</v>
      </c>
      <c r="M2908">
        <v>36.01</v>
      </c>
      <c r="N2908">
        <v>0</v>
      </c>
      <c r="O2908">
        <v>0.66</v>
      </c>
    </row>
    <row r="2909" spans="1:15">
      <c r="A2909" t="str">
        <f>"600019"</f>
        <v>600019</v>
      </c>
      <c r="B2909" t="s">
        <v>2947</v>
      </c>
      <c r="C2909">
        <v>-1.56</v>
      </c>
      <c r="D2909">
        <v>5.68</v>
      </c>
      <c r="E2909" t="s">
        <v>16</v>
      </c>
      <c r="F2909" t="s">
        <v>16</v>
      </c>
      <c r="H2909">
        <v>-0.52</v>
      </c>
      <c r="I2909">
        <v>-0.7</v>
      </c>
      <c r="J2909">
        <v>-2.07</v>
      </c>
      <c r="L2909">
        <v>0.17</v>
      </c>
      <c r="M2909">
        <v>354.56</v>
      </c>
      <c r="N2909">
        <v>0.01</v>
      </c>
      <c r="O2909">
        <v>3.98</v>
      </c>
    </row>
    <row r="2910" spans="1:15">
      <c r="A2910" t="str">
        <f>"600020"</f>
        <v>600020</v>
      </c>
      <c r="B2910" t="s">
        <v>2948</v>
      </c>
      <c r="C2910">
        <v>-1.04</v>
      </c>
      <c r="D2910">
        <v>3.81</v>
      </c>
      <c r="E2910" t="s">
        <v>16</v>
      </c>
      <c r="F2910" t="s">
        <v>16</v>
      </c>
      <c r="H2910">
        <v>-0.25</v>
      </c>
      <c r="I2910">
        <v>-3.79</v>
      </c>
      <c r="J2910">
        <v>-1.04</v>
      </c>
      <c r="L2910">
        <v>0</v>
      </c>
      <c r="M2910">
        <v>29.76</v>
      </c>
      <c r="N2910">
        <v>0.01</v>
      </c>
      <c r="O2910">
        <v>1.23</v>
      </c>
    </row>
    <row r="2911" spans="1:15">
      <c r="A2911" t="str">
        <f>"600021"</f>
        <v>600021</v>
      </c>
      <c r="B2911" t="s">
        <v>2949</v>
      </c>
      <c r="C2911">
        <v>-2.15</v>
      </c>
      <c r="D2911">
        <v>16.83</v>
      </c>
      <c r="E2911" t="s">
        <v>16</v>
      </c>
      <c r="F2911" t="s">
        <v>16</v>
      </c>
      <c r="H2911">
        <v>0</v>
      </c>
      <c r="I2911">
        <v>-15</v>
      </c>
      <c r="J2911">
        <v>-1.98</v>
      </c>
      <c r="L2911">
        <v>-0.41</v>
      </c>
      <c r="M2911">
        <v>193.74</v>
      </c>
      <c r="N2911">
        <v>0.01</v>
      </c>
      <c r="O2911">
        <v>0.59</v>
      </c>
    </row>
    <row r="2912" spans="1:15">
      <c r="A2912" t="str">
        <f>"600022"</f>
        <v>600022</v>
      </c>
      <c r="B2912" t="s">
        <v>2950</v>
      </c>
      <c r="C2912">
        <v>0</v>
      </c>
      <c r="D2912">
        <v>1.3</v>
      </c>
      <c r="E2912" t="s">
        <v>16</v>
      </c>
      <c r="F2912" t="s">
        <v>16</v>
      </c>
      <c r="H2912">
        <v>0</v>
      </c>
      <c r="I2912">
        <v>-0.76</v>
      </c>
      <c r="J2912">
        <v>-1.52</v>
      </c>
      <c r="L2912">
        <v>-0.77</v>
      </c>
      <c r="M2912">
        <v>41.79</v>
      </c>
      <c r="N2912">
        <v>0.01</v>
      </c>
      <c r="O2912">
        <v>0.79</v>
      </c>
    </row>
    <row r="2913" spans="1:15">
      <c r="A2913" t="str">
        <f>"600023"</f>
        <v>600023</v>
      </c>
      <c r="B2913" t="s">
        <v>2951</v>
      </c>
      <c r="C2913">
        <v>-4.64</v>
      </c>
      <c r="D2913">
        <v>5.76</v>
      </c>
      <c r="E2913" t="s">
        <v>16</v>
      </c>
      <c r="F2913" t="s">
        <v>16</v>
      </c>
      <c r="H2913">
        <v>-0.16</v>
      </c>
      <c r="I2913">
        <v>-7.69</v>
      </c>
      <c r="J2913">
        <v>-5.26</v>
      </c>
      <c r="L2913">
        <v>-0.33</v>
      </c>
      <c r="M2913">
        <v>122.87</v>
      </c>
      <c r="N2913">
        <v>0.01</v>
      </c>
      <c r="O2913">
        <v>2.15</v>
      </c>
    </row>
    <row r="2914" spans="1:15">
      <c r="A2914" t="str">
        <f>"600025"</f>
        <v>600025</v>
      </c>
      <c r="B2914" t="s">
        <v>2952</v>
      </c>
      <c r="C2914">
        <v>-1.48</v>
      </c>
      <c r="D2914">
        <v>9.3</v>
      </c>
      <c r="E2914" t="s">
        <v>16</v>
      </c>
      <c r="F2914" t="s">
        <v>16</v>
      </c>
      <c r="H2914">
        <v>-0.31</v>
      </c>
      <c r="I2914">
        <v>-6.81</v>
      </c>
      <c r="J2914">
        <v>-1.8</v>
      </c>
      <c r="L2914">
        <v>-0.42</v>
      </c>
      <c r="M2914">
        <v>73.6</v>
      </c>
      <c r="N2914">
        <v>0</v>
      </c>
      <c r="O2914">
        <v>1.03</v>
      </c>
    </row>
    <row r="2915" spans="1:15">
      <c r="A2915" t="str">
        <f>"600026"</f>
        <v>600026</v>
      </c>
      <c r="B2915" t="s">
        <v>2953</v>
      </c>
      <c r="C2915">
        <v>-1.98</v>
      </c>
      <c r="D2915">
        <v>19.3</v>
      </c>
      <c r="E2915" t="s">
        <v>16</v>
      </c>
      <c r="F2915" t="s">
        <v>16</v>
      </c>
      <c r="H2915">
        <v>-0.04</v>
      </c>
      <c r="I2915">
        <v>9.04</v>
      </c>
      <c r="J2915">
        <v>-3.98</v>
      </c>
      <c r="K2915" t="s">
        <v>220</v>
      </c>
      <c r="L2915">
        <v>1.07</v>
      </c>
      <c r="M2915">
        <v>3814.72</v>
      </c>
      <c r="N2915">
        <v>0.12</v>
      </c>
      <c r="O2915">
        <v>0.85</v>
      </c>
    </row>
    <row r="2916" spans="1:15">
      <c r="A2916" t="str">
        <f>"600027"</f>
        <v>600027</v>
      </c>
      <c r="B2916" t="s">
        <v>2954</v>
      </c>
      <c r="C2916">
        <v>-3.83</v>
      </c>
      <c r="D2916">
        <v>4.77</v>
      </c>
      <c r="E2916" t="s">
        <v>16</v>
      </c>
      <c r="F2916" t="s">
        <v>16</v>
      </c>
      <c r="H2916">
        <v>-0.2</v>
      </c>
      <c r="I2916">
        <v>-12.32</v>
      </c>
      <c r="J2916">
        <v>-4.22</v>
      </c>
      <c r="L2916">
        <v>-0.81</v>
      </c>
      <c r="M2916">
        <v>149.76</v>
      </c>
      <c r="N2916">
        <v>0.01</v>
      </c>
      <c r="O2916">
        <v>0.93</v>
      </c>
    </row>
    <row r="2917" spans="1:15">
      <c r="A2917" t="str">
        <f>"600028"</f>
        <v>600028</v>
      </c>
      <c r="B2917" t="s">
        <v>2955</v>
      </c>
      <c r="C2917">
        <v>-2.89</v>
      </c>
      <c r="D2917">
        <v>4.71</v>
      </c>
      <c r="E2917" t="s">
        <v>16</v>
      </c>
      <c r="F2917" t="s">
        <v>16</v>
      </c>
      <c r="H2917">
        <v>0</v>
      </c>
      <c r="I2917">
        <v>0</v>
      </c>
      <c r="J2917">
        <v>-2.89</v>
      </c>
      <c r="L2917">
        <v>0</v>
      </c>
      <c r="M2917">
        <v>483.64</v>
      </c>
      <c r="N2917">
        <v>0.01</v>
      </c>
      <c r="O2917">
        <v>0.31</v>
      </c>
    </row>
    <row r="2918" spans="1:15">
      <c r="A2918" t="str">
        <f>"600029"</f>
        <v>600029</v>
      </c>
      <c r="B2918" t="s">
        <v>2956</v>
      </c>
      <c r="C2918">
        <v>-2.94</v>
      </c>
      <c r="D2918">
        <v>5.29</v>
      </c>
      <c r="E2918" t="s">
        <v>16</v>
      </c>
      <c r="F2918" t="s">
        <v>16</v>
      </c>
      <c r="H2918">
        <v>0</v>
      </c>
      <c r="I2918">
        <v>1.54</v>
      </c>
      <c r="J2918">
        <v>-2.76</v>
      </c>
      <c r="L2918">
        <v>-0.55</v>
      </c>
      <c r="M2918">
        <v>247.91</v>
      </c>
      <c r="N2918">
        <v>0.01</v>
      </c>
      <c r="O2918">
        <v>0.4</v>
      </c>
    </row>
    <row r="2919" spans="1:15">
      <c r="A2919" t="str">
        <f>"600030"</f>
        <v>600030</v>
      </c>
      <c r="B2919" t="s">
        <v>2957</v>
      </c>
      <c r="C2919">
        <v>-2.96</v>
      </c>
      <c r="D2919">
        <v>26.56</v>
      </c>
      <c r="E2919" t="s">
        <v>16</v>
      </c>
      <c r="F2919" t="s">
        <v>16</v>
      </c>
      <c r="H2919">
        <v>-0.1</v>
      </c>
      <c r="I2919">
        <v>5.48</v>
      </c>
      <c r="J2919">
        <v>-2.89</v>
      </c>
      <c r="L2919">
        <v>-0.07</v>
      </c>
      <c r="M2919">
        <v>2313.54</v>
      </c>
      <c r="N2919">
        <v>0.01</v>
      </c>
      <c r="O2919">
        <v>0.83</v>
      </c>
    </row>
    <row r="2920" spans="1:15">
      <c r="A2920" t="str">
        <f>"600031"</f>
        <v>600031</v>
      </c>
      <c r="B2920" t="s">
        <v>2958</v>
      </c>
      <c r="C2920">
        <v>-2.86</v>
      </c>
      <c r="D2920">
        <v>18.37</v>
      </c>
      <c r="E2920" t="s">
        <v>16</v>
      </c>
      <c r="F2920" t="s">
        <v>16</v>
      </c>
      <c r="H2920">
        <v>-0.15</v>
      </c>
      <c r="I2920">
        <v>1.27</v>
      </c>
      <c r="J2920">
        <v>-2.75</v>
      </c>
      <c r="L2920">
        <v>-0.53</v>
      </c>
      <c r="M2920">
        <v>503.17</v>
      </c>
      <c r="N2920">
        <v>0</v>
      </c>
      <c r="O2920">
        <v>0.89</v>
      </c>
    </row>
    <row r="2921" spans="1:15">
      <c r="A2921" t="str">
        <f>"600032"</f>
        <v>600032</v>
      </c>
      <c r="B2921" t="s">
        <v>2959</v>
      </c>
      <c r="C2921">
        <v>-5.13</v>
      </c>
      <c r="D2921">
        <v>7.76</v>
      </c>
      <c r="E2921" t="s">
        <v>16</v>
      </c>
      <c r="F2921" t="s">
        <v>16</v>
      </c>
      <c r="H2921">
        <v>0</v>
      </c>
      <c r="I2921">
        <v>-28.41</v>
      </c>
      <c r="J2921">
        <v>-4.9</v>
      </c>
      <c r="L2921">
        <v>-0.37</v>
      </c>
      <c r="M2921">
        <v>141.24</v>
      </c>
      <c r="N2921">
        <v>0.03</v>
      </c>
      <c r="O2921">
        <v>1.34</v>
      </c>
    </row>
    <row r="2922" spans="1:15">
      <c r="A2922" t="str">
        <f>"600033"</f>
        <v>600033</v>
      </c>
      <c r="B2922" t="s">
        <v>2960</v>
      </c>
      <c r="C2922">
        <v>-1.98</v>
      </c>
      <c r="D2922">
        <v>3.46</v>
      </c>
      <c r="E2922" t="s">
        <v>16</v>
      </c>
      <c r="F2922" t="s">
        <v>16</v>
      </c>
      <c r="H2922">
        <v>-0.28</v>
      </c>
      <c r="I2922">
        <v>-1.7</v>
      </c>
      <c r="J2922">
        <v>-1.7</v>
      </c>
      <c r="L2922">
        <v>-0.57</v>
      </c>
      <c r="M2922">
        <v>66.8</v>
      </c>
      <c r="N2922">
        <v>0.02</v>
      </c>
      <c r="O2922">
        <v>2.3</v>
      </c>
    </row>
    <row r="2923" spans="1:15">
      <c r="A2923" t="str">
        <f>"600035"</f>
        <v>600035</v>
      </c>
      <c r="B2923" t="s">
        <v>2961</v>
      </c>
      <c r="C2923">
        <v>-0.53</v>
      </c>
      <c r="D2923">
        <v>3.72</v>
      </c>
      <c r="E2923" t="s">
        <v>16</v>
      </c>
      <c r="F2923" t="s">
        <v>16</v>
      </c>
      <c r="H2923">
        <v>0.27</v>
      </c>
      <c r="I2923">
        <v>-2.36</v>
      </c>
      <c r="J2923">
        <v>-0.27</v>
      </c>
      <c r="L2923">
        <v>-0.53</v>
      </c>
      <c r="M2923">
        <v>35.38</v>
      </c>
      <c r="N2923">
        <v>0.01</v>
      </c>
      <c r="O2923">
        <v>6.26</v>
      </c>
    </row>
    <row r="2924" spans="1:15">
      <c r="A2924" t="str">
        <f>"600036"</f>
        <v>600036</v>
      </c>
      <c r="B2924" t="s">
        <v>2962</v>
      </c>
      <c r="C2924">
        <v>-2.54</v>
      </c>
      <c r="D2924">
        <v>37.26</v>
      </c>
      <c r="E2924" t="s">
        <v>16</v>
      </c>
      <c r="F2924" t="s">
        <v>16</v>
      </c>
      <c r="H2924">
        <v>-0.15</v>
      </c>
      <c r="I2924">
        <v>-2.2</v>
      </c>
      <c r="J2924">
        <v>-2.46</v>
      </c>
      <c r="L2924">
        <v>-0.21</v>
      </c>
      <c r="M2924">
        <v>1611.07</v>
      </c>
      <c r="N2924">
        <v>0</v>
      </c>
      <c r="O2924">
        <v>1.21</v>
      </c>
    </row>
    <row r="2925" spans="1:15">
      <c r="A2925" t="str">
        <f>"600037"</f>
        <v>600037</v>
      </c>
      <c r="B2925" t="s">
        <v>2963</v>
      </c>
      <c r="C2925">
        <v>-1.05</v>
      </c>
      <c r="D2925">
        <v>6.61</v>
      </c>
      <c r="E2925" t="s">
        <v>16</v>
      </c>
      <c r="F2925" t="s">
        <v>16</v>
      </c>
      <c r="H2925">
        <v>-0.14</v>
      </c>
      <c r="I2925">
        <v>-2.65</v>
      </c>
      <c r="J2925">
        <v>-2.51</v>
      </c>
      <c r="L2925">
        <v>0.3</v>
      </c>
      <c r="M2925">
        <v>70.75</v>
      </c>
      <c r="N2925">
        <v>0.01</v>
      </c>
      <c r="O2925">
        <v>3.97</v>
      </c>
    </row>
    <row r="2926" spans="1:15">
      <c r="A2926" t="str">
        <f>"600038"</f>
        <v>600038</v>
      </c>
      <c r="B2926" t="s">
        <v>2964</v>
      </c>
      <c r="C2926">
        <v>-1.07</v>
      </c>
      <c r="D2926">
        <v>26.86</v>
      </c>
      <c r="E2926" t="s">
        <v>16</v>
      </c>
      <c r="F2926" t="s">
        <v>16</v>
      </c>
      <c r="H2926">
        <v>-0.14</v>
      </c>
      <c r="I2926">
        <v>0.71</v>
      </c>
      <c r="J2926">
        <v>-1.83</v>
      </c>
      <c r="L2926">
        <v>-0.26</v>
      </c>
      <c r="M2926">
        <v>22.48</v>
      </c>
      <c r="N2926">
        <v>0</v>
      </c>
      <c r="O2926">
        <v>0.5</v>
      </c>
    </row>
    <row r="2927" spans="1:15">
      <c r="A2927" t="str">
        <f>"600039"</f>
        <v>600039</v>
      </c>
      <c r="B2927" t="s">
        <v>2965</v>
      </c>
      <c r="C2927">
        <v>-0.96</v>
      </c>
      <c r="D2927">
        <v>8.27</v>
      </c>
      <c r="E2927" t="s">
        <v>16</v>
      </c>
      <c r="F2927" t="s">
        <v>16</v>
      </c>
      <c r="H2927">
        <v>-0.47</v>
      </c>
      <c r="I2927">
        <v>-0.6</v>
      </c>
      <c r="J2927">
        <v>-1.08</v>
      </c>
      <c r="L2927">
        <v>-0.6</v>
      </c>
      <c r="M2927">
        <v>62.75</v>
      </c>
      <c r="N2927">
        <v>0</v>
      </c>
      <c r="O2927">
        <v>1.15</v>
      </c>
    </row>
    <row r="2928" spans="1:15">
      <c r="A2928" t="str">
        <f>"600048"</f>
        <v>600048</v>
      </c>
      <c r="B2928" t="s">
        <v>2966</v>
      </c>
      <c r="C2928">
        <v>-3.15</v>
      </c>
      <c r="D2928">
        <v>4.92</v>
      </c>
      <c r="E2928" t="s">
        <v>16</v>
      </c>
      <c r="F2928" t="s">
        <v>16</v>
      </c>
      <c r="H2928">
        <v>-0.6</v>
      </c>
      <c r="I2928">
        <v>-8.55</v>
      </c>
      <c r="J2928">
        <v>-2.77</v>
      </c>
      <c r="L2928">
        <v>-0.59</v>
      </c>
      <c r="M2928">
        <v>371.39</v>
      </c>
      <c r="N2928">
        <v>0.01</v>
      </c>
      <c r="O2928">
        <v>1.7</v>
      </c>
    </row>
    <row r="2929" spans="1:15">
      <c r="A2929" t="str">
        <f>"600050"</f>
        <v>600050</v>
      </c>
      <c r="B2929" t="s">
        <v>2967</v>
      </c>
      <c r="C2929">
        <v>-1.61</v>
      </c>
      <c r="D2929">
        <v>4.28</v>
      </c>
      <c r="E2929" t="s">
        <v>16</v>
      </c>
      <c r="F2929" t="s">
        <v>16</v>
      </c>
      <c r="H2929">
        <v>0.23</v>
      </c>
      <c r="I2929">
        <v>-0.47</v>
      </c>
      <c r="J2929">
        <v>-1.61</v>
      </c>
      <c r="L2929">
        <v>-0.46</v>
      </c>
      <c r="M2929">
        <v>333.19</v>
      </c>
      <c r="N2929">
        <v>0.01</v>
      </c>
      <c r="O2929">
        <v>3.55</v>
      </c>
    </row>
    <row r="2930" spans="1:15">
      <c r="A2930" t="str">
        <f>"600051"</f>
        <v>600051</v>
      </c>
      <c r="B2930" t="s">
        <v>2968</v>
      </c>
      <c r="C2930">
        <v>-0.33</v>
      </c>
      <c r="D2930">
        <v>6.02</v>
      </c>
      <c r="E2930" t="s">
        <v>16</v>
      </c>
      <c r="F2930" t="s">
        <v>16</v>
      </c>
      <c r="H2930">
        <v>0.17</v>
      </c>
      <c r="I2930">
        <v>-5.64</v>
      </c>
      <c r="J2930">
        <v>-0.99</v>
      </c>
      <c r="L2930">
        <v>-0.83</v>
      </c>
      <c r="M2930">
        <v>36.9</v>
      </c>
      <c r="N2930">
        <v>0.03</v>
      </c>
      <c r="O2930">
        <v>7.51</v>
      </c>
    </row>
    <row r="2931" spans="1:15">
      <c r="A2931" t="str">
        <f>"600052"</f>
        <v>600052</v>
      </c>
      <c r="B2931" t="s">
        <v>2969</v>
      </c>
      <c r="C2931">
        <v>-4.31</v>
      </c>
      <c r="D2931">
        <v>3.77</v>
      </c>
      <c r="E2931" t="s">
        <v>16</v>
      </c>
      <c r="F2931" t="s">
        <v>16</v>
      </c>
      <c r="H2931">
        <v>-0.52</v>
      </c>
      <c r="I2931">
        <v>-4.56</v>
      </c>
      <c r="J2931">
        <v>-5.99</v>
      </c>
      <c r="K2931" t="s">
        <v>26</v>
      </c>
      <c r="L2931">
        <v>-1.27</v>
      </c>
      <c r="M2931">
        <v>109.31</v>
      </c>
      <c r="N2931">
        <v>0.05</v>
      </c>
      <c r="O2931">
        <v>0.75</v>
      </c>
    </row>
    <row r="2932" spans="1:15">
      <c r="A2932" t="str">
        <f>"600053"</f>
        <v>600053</v>
      </c>
      <c r="B2932" t="s">
        <v>2970</v>
      </c>
      <c r="C2932">
        <v>-1.62</v>
      </c>
      <c r="D2932">
        <v>7.9</v>
      </c>
      <c r="E2932" t="s">
        <v>16</v>
      </c>
      <c r="F2932" t="s">
        <v>16</v>
      </c>
      <c r="H2932">
        <v>-0.49</v>
      </c>
      <c r="I2932">
        <v>-12.42</v>
      </c>
      <c r="J2932">
        <v>-2.47</v>
      </c>
      <c r="L2932">
        <v>-0.75</v>
      </c>
      <c r="M2932">
        <v>1.99</v>
      </c>
      <c r="N2932">
        <v>0</v>
      </c>
      <c r="O2932">
        <v>0.05</v>
      </c>
    </row>
    <row r="2933" spans="1:15">
      <c r="A2933" t="str">
        <f>"600054"</f>
        <v>600054</v>
      </c>
      <c r="B2933" t="s">
        <v>2971</v>
      </c>
      <c r="C2933">
        <v>0.09</v>
      </c>
      <c r="D2933">
        <v>10.95</v>
      </c>
      <c r="E2933" t="s">
        <v>16</v>
      </c>
      <c r="F2933" t="s">
        <v>16</v>
      </c>
      <c r="H2933">
        <v>0</v>
      </c>
      <c r="I2933">
        <v>1.48</v>
      </c>
      <c r="J2933">
        <v>-0.45</v>
      </c>
      <c r="L2933">
        <v>-0.73</v>
      </c>
      <c r="M2933">
        <v>10.21</v>
      </c>
      <c r="N2933">
        <v>0</v>
      </c>
      <c r="O2933">
        <v>0.46</v>
      </c>
    </row>
    <row r="2934" spans="1:15">
      <c r="A2934" t="str">
        <f>"600055"</f>
        <v>600055</v>
      </c>
      <c r="B2934" t="s">
        <v>2972</v>
      </c>
      <c r="C2934">
        <v>1.69</v>
      </c>
      <c r="D2934">
        <v>11.46</v>
      </c>
      <c r="E2934" t="s">
        <v>16</v>
      </c>
      <c r="F2934" t="s">
        <v>16</v>
      </c>
      <c r="H2934">
        <v>-0.08</v>
      </c>
      <c r="I2934">
        <v>-6.45</v>
      </c>
      <c r="J2934">
        <v>-1.88</v>
      </c>
      <c r="L2934">
        <v>-0.71</v>
      </c>
      <c r="M2934">
        <v>7.05</v>
      </c>
      <c r="N2934">
        <v>0</v>
      </c>
      <c r="O2934">
        <v>1.8</v>
      </c>
    </row>
    <row r="2935" spans="1:15">
      <c r="A2935" t="str">
        <f>"600056"</f>
        <v>600056</v>
      </c>
      <c r="B2935" t="s">
        <v>2973</v>
      </c>
      <c r="C2935">
        <v>-0.11</v>
      </c>
      <c r="D2935">
        <v>9.09</v>
      </c>
      <c r="E2935" t="s">
        <v>16</v>
      </c>
      <c r="F2935" t="s">
        <v>16</v>
      </c>
      <c r="H2935">
        <v>0</v>
      </c>
      <c r="I2935">
        <v>-4.21</v>
      </c>
      <c r="J2935">
        <v>-0.76</v>
      </c>
      <c r="L2935">
        <v>-0.33</v>
      </c>
      <c r="M2935">
        <v>21.13</v>
      </c>
      <c r="N2935">
        <v>0</v>
      </c>
      <c r="O2935">
        <v>0.73</v>
      </c>
    </row>
    <row r="2936" spans="1:15">
      <c r="A2936" t="str">
        <f>"600057"</f>
        <v>600057</v>
      </c>
      <c r="B2936" t="s">
        <v>2974</v>
      </c>
      <c r="C2936">
        <v>-1.35</v>
      </c>
      <c r="D2936">
        <v>5.86</v>
      </c>
      <c r="E2936" t="s">
        <v>16</v>
      </c>
      <c r="F2936" t="s">
        <v>16</v>
      </c>
      <c r="H2936">
        <v>-0.16</v>
      </c>
      <c r="I2936">
        <v>-0.68</v>
      </c>
      <c r="J2936">
        <v>-1.68</v>
      </c>
      <c r="L2936">
        <v>-1.01</v>
      </c>
      <c r="M2936">
        <v>64.8</v>
      </c>
      <c r="N2936">
        <v>0.01</v>
      </c>
      <c r="O2936">
        <v>1.79</v>
      </c>
    </row>
    <row r="2937" spans="1:15">
      <c r="A2937" t="str">
        <f>"600058"</f>
        <v>600058</v>
      </c>
      <c r="B2937" t="s">
        <v>2975</v>
      </c>
      <c r="C2937">
        <v>-0.48</v>
      </c>
      <c r="D2937">
        <v>10.28</v>
      </c>
      <c r="E2937" t="s">
        <v>16</v>
      </c>
      <c r="F2937" t="s">
        <v>16</v>
      </c>
      <c r="H2937">
        <v>0.19</v>
      </c>
      <c r="I2937">
        <v>5.76</v>
      </c>
      <c r="J2937">
        <v>-6.55</v>
      </c>
      <c r="L2937">
        <v>0.1</v>
      </c>
      <c r="M2937">
        <v>75.38</v>
      </c>
      <c r="N2937">
        <v>0.02</v>
      </c>
      <c r="O2937">
        <v>0.81</v>
      </c>
    </row>
    <row r="2938" spans="1:15">
      <c r="A2938" t="str">
        <f>"600059"</f>
        <v>600059</v>
      </c>
      <c r="B2938" t="s">
        <v>2976</v>
      </c>
      <c r="C2938">
        <v>-1.52</v>
      </c>
      <c r="D2938">
        <v>7.75</v>
      </c>
      <c r="E2938" t="s">
        <v>16</v>
      </c>
      <c r="F2938" t="s">
        <v>16</v>
      </c>
      <c r="H2938">
        <v>-0.12</v>
      </c>
      <c r="I2938">
        <v>-3.13</v>
      </c>
      <c r="J2938">
        <v>-1.27</v>
      </c>
      <c r="L2938">
        <v>-0.25</v>
      </c>
      <c r="M2938">
        <v>6.52</v>
      </c>
      <c r="N2938">
        <v>0</v>
      </c>
      <c r="O2938">
        <v>0.29</v>
      </c>
    </row>
    <row r="2939" spans="1:15">
      <c r="A2939" t="str">
        <f>"600060"</f>
        <v>600060</v>
      </c>
      <c r="B2939" t="s">
        <v>2977</v>
      </c>
      <c r="C2939">
        <v>-2.57</v>
      </c>
      <c r="D2939">
        <v>25</v>
      </c>
      <c r="E2939" t="s">
        <v>16</v>
      </c>
      <c r="F2939" t="s">
        <v>16</v>
      </c>
      <c r="H2939">
        <v>-0.15</v>
      </c>
      <c r="I2939">
        <v>-0.08</v>
      </c>
      <c r="J2939">
        <v>-2.42</v>
      </c>
      <c r="L2939">
        <v>-1.01</v>
      </c>
      <c r="M2939">
        <v>381.6</v>
      </c>
      <c r="N2939">
        <v>0.02</v>
      </c>
      <c r="O2939">
        <v>2.11</v>
      </c>
    </row>
    <row r="2940" spans="1:15">
      <c r="A2940" t="str">
        <f>"600061"</f>
        <v>600061</v>
      </c>
      <c r="B2940" t="s">
        <v>2978</v>
      </c>
      <c r="C2940">
        <v>-3.05</v>
      </c>
      <c r="D2940">
        <v>6.36</v>
      </c>
      <c r="E2940" t="s">
        <v>16</v>
      </c>
      <c r="F2940" t="s">
        <v>16</v>
      </c>
      <c r="H2940">
        <v>0.16</v>
      </c>
      <c r="I2940">
        <v>0.95</v>
      </c>
      <c r="J2940">
        <v>-3.34</v>
      </c>
      <c r="L2940">
        <v>-0.61</v>
      </c>
      <c r="M2940">
        <v>169.78</v>
      </c>
      <c r="N2940">
        <v>0.01</v>
      </c>
      <c r="O2940">
        <v>2.74</v>
      </c>
    </row>
    <row r="2941" spans="1:15">
      <c r="A2941" t="str">
        <f>"600062"</f>
        <v>600062</v>
      </c>
      <c r="B2941" t="s">
        <v>2979</v>
      </c>
      <c r="C2941">
        <v>-1.62</v>
      </c>
      <c r="D2941">
        <v>16.38</v>
      </c>
      <c r="E2941" t="s">
        <v>16</v>
      </c>
      <c r="F2941" t="s">
        <v>16</v>
      </c>
      <c r="H2941">
        <v>0.06</v>
      </c>
      <c r="I2941">
        <v>-1.62</v>
      </c>
      <c r="J2941">
        <v>-1.74</v>
      </c>
      <c r="L2941">
        <v>0</v>
      </c>
      <c r="M2941">
        <v>17.82</v>
      </c>
      <c r="N2941">
        <v>0</v>
      </c>
      <c r="O2941">
        <v>0.98</v>
      </c>
    </row>
    <row r="2942" spans="1:15">
      <c r="A2942" t="str">
        <f>"600063"</f>
        <v>600063</v>
      </c>
      <c r="B2942" t="s">
        <v>2980</v>
      </c>
      <c r="C2942">
        <v>-0.24</v>
      </c>
      <c r="D2942">
        <v>8.46</v>
      </c>
      <c r="E2942" t="s">
        <v>16</v>
      </c>
      <c r="F2942" t="s">
        <v>16</v>
      </c>
      <c r="H2942">
        <v>-0.11</v>
      </c>
      <c r="I2942">
        <v>13.25</v>
      </c>
      <c r="J2942">
        <v>-6.21</v>
      </c>
      <c r="L2942">
        <v>-1.53</v>
      </c>
      <c r="M2942">
        <v>1263.27</v>
      </c>
      <c r="N2942">
        <v>0.11</v>
      </c>
      <c r="O2942">
        <v>1.12</v>
      </c>
    </row>
    <row r="2943" spans="1:15">
      <c r="A2943" t="str">
        <f>"600064"</f>
        <v>600064</v>
      </c>
      <c r="B2943" t="s">
        <v>2981</v>
      </c>
      <c r="C2943">
        <v>-1.46</v>
      </c>
      <c r="D2943">
        <v>7.41</v>
      </c>
      <c r="E2943" t="s">
        <v>16</v>
      </c>
      <c r="F2943" t="s">
        <v>16</v>
      </c>
      <c r="H2943">
        <v>-0.26</v>
      </c>
      <c r="I2943">
        <v>0.82</v>
      </c>
      <c r="J2943">
        <v>-1.46</v>
      </c>
      <c r="L2943">
        <v>-0.27</v>
      </c>
      <c r="M2943">
        <v>6.18</v>
      </c>
      <c r="N2943">
        <v>0</v>
      </c>
      <c r="O2943">
        <v>0.33</v>
      </c>
    </row>
    <row r="2944" spans="1:15">
      <c r="A2944" t="str">
        <f>"600066"</f>
        <v>600066</v>
      </c>
      <c r="B2944" t="s">
        <v>2982</v>
      </c>
      <c r="C2944">
        <v>-4.05</v>
      </c>
      <c r="D2944">
        <v>26.04</v>
      </c>
      <c r="E2944" t="s">
        <v>16</v>
      </c>
      <c r="F2944" t="s">
        <v>16</v>
      </c>
      <c r="H2944">
        <v>0.12</v>
      </c>
      <c r="I2944">
        <v>-13.17</v>
      </c>
      <c r="J2944">
        <v>-4.86</v>
      </c>
      <c r="L2944">
        <v>0.44</v>
      </c>
      <c r="M2944">
        <v>346.75</v>
      </c>
      <c r="N2944">
        <v>0.01</v>
      </c>
      <c r="O2944">
        <v>0.59</v>
      </c>
    </row>
    <row r="2945" spans="1:15">
      <c r="A2945" t="str">
        <f>"600067"</f>
        <v>600067</v>
      </c>
      <c r="B2945" t="s">
        <v>2983</v>
      </c>
      <c r="C2945">
        <v>0.3</v>
      </c>
      <c r="D2945">
        <v>3.39</v>
      </c>
      <c r="E2945" t="s">
        <v>16</v>
      </c>
      <c r="F2945" t="s">
        <v>16</v>
      </c>
      <c r="H2945">
        <v>0</v>
      </c>
      <c r="I2945">
        <v>13.38</v>
      </c>
      <c r="J2945">
        <v>-1.17</v>
      </c>
      <c r="L2945">
        <v>0.3</v>
      </c>
      <c r="M2945">
        <v>244.86</v>
      </c>
      <c r="N2945">
        <v>0.08</v>
      </c>
      <c r="O2945">
        <v>1.33</v>
      </c>
    </row>
    <row r="2946" spans="1:15">
      <c r="A2946" t="str">
        <f>"600071"</f>
        <v>600071</v>
      </c>
      <c r="B2946" t="s">
        <v>2984</v>
      </c>
      <c r="C2946">
        <v>-0.75</v>
      </c>
      <c r="D2946">
        <v>17.24</v>
      </c>
      <c r="E2946" t="s">
        <v>16</v>
      </c>
      <c r="F2946" t="s">
        <v>16</v>
      </c>
      <c r="H2946">
        <v>0</v>
      </c>
      <c r="I2946">
        <v>-4.96</v>
      </c>
      <c r="J2946">
        <v>-1.37</v>
      </c>
      <c r="L2946">
        <v>-0.98</v>
      </c>
      <c r="M2946">
        <v>18.06</v>
      </c>
      <c r="N2946">
        <v>0.01</v>
      </c>
      <c r="O2946">
        <v>0.48</v>
      </c>
    </row>
    <row r="2947" spans="1:15">
      <c r="A2947" t="str">
        <f>"600072"</f>
        <v>600072</v>
      </c>
      <c r="B2947" t="s">
        <v>2985</v>
      </c>
      <c r="C2947">
        <v>-3.87</v>
      </c>
      <c r="D2947">
        <v>9.43</v>
      </c>
      <c r="E2947" t="s">
        <v>16</v>
      </c>
      <c r="F2947" t="s">
        <v>16</v>
      </c>
      <c r="H2947">
        <v>-0.1</v>
      </c>
      <c r="I2947">
        <v>-10.7</v>
      </c>
      <c r="J2947">
        <v>-4.55</v>
      </c>
      <c r="L2947">
        <v>0.2</v>
      </c>
      <c r="M2947">
        <v>61.83</v>
      </c>
      <c r="N2947">
        <v>0.01</v>
      </c>
      <c r="O2947">
        <v>0.69</v>
      </c>
    </row>
    <row r="2948" spans="1:15">
      <c r="A2948" t="str">
        <f>"600073"</f>
        <v>600073</v>
      </c>
      <c r="B2948" t="s">
        <v>2986</v>
      </c>
      <c r="C2948">
        <v>-2.04</v>
      </c>
      <c r="D2948">
        <v>4.81</v>
      </c>
      <c r="E2948" t="s">
        <v>16</v>
      </c>
      <c r="F2948" t="s">
        <v>16</v>
      </c>
      <c r="H2948">
        <v>0</v>
      </c>
      <c r="I2948">
        <v>-5.69</v>
      </c>
      <c r="J2948">
        <v>-2.04</v>
      </c>
      <c r="L2948">
        <v>-0.2</v>
      </c>
      <c r="M2948">
        <v>2.6</v>
      </c>
      <c r="N2948">
        <v>0</v>
      </c>
      <c r="O2948">
        <v>0.29</v>
      </c>
    </row>
    <row r="2949" spans="1:15">
      <c r="A2949" t="str">
        <f>"600075"</f>
        <v>600075</v>
      </c>
      <c r="B2949" t="s">
        <v>2987</v>
      </c>
      <c r="C2949">
        <v>-4.82</v>
      </c>
      <c r="D2949">
        <v>4.34</v>
      </c>
      <c r="E2949" t="s">
        <v>16</v>
      </c>
      <c r="F2949" t="s">
        <v>16</v>
      </c>
      <c r="H2949">
        <v>0</v>
      </c>
      <c r="I2949">
        <v>-9.01</v>
      </c>
      <c r="J2949">
        <v>-4.82</v>
      </c>
      <c r="L2949">
        <v>-0.22</v>
      </c>
      <c r="M2949">
        <v>25.39</v>
      </c>
      <c r="N2949">
        <v>0.01</v>
      </c>
      <c r="O2949">
        <v>1.22</v>
      </c>
    </row>
    <row r="2950" spans="1:15">
      <c r="A2950" t="str">
        <f>"600076"</f>
        <v>600076</v>
      </c>
      <c r="B2950" t="s">
        <v>2988</v>
      </c>
      <c r="C2950">
        <v>9.88</v>
      </c>
      <c r="D2950">
        <v>3.67</v>
      </c>
      <c r="E2950">
        <v>5022.65</v>
      </c>
      <c r="F2950">
        <v>1</v>
      </c>
      <c r="H2950">
        <v>0</v>
      </c>
      <c r="I2950">
        <v>3.38</v>
      </c>
      <c r="J2950">
        <v>0</v>
      </c>
      <c r="K2950" t="s">
        <v>140</v>
      </c>
      <c r="L2950">
        <v>2.4</v>
      </c>
      <c r="M2950">
        <v>143.16</v>
      </c>
      <c r="N2950">
        <v>0.05</v>
      </c>
      <c r="O2950">
        <v>10.34</v>
      </c>
    </row>
    <row r="2951" spans="1:15">
      <c r="A2951" t="str">
        <f>"600078"</f>
        <v>600078</v>
      </c>
      <c r="B2951" t="s">
        <v>2989</v>
      </c>
      <c r="C2951">
        <v>-0.97</v>
      </c>
      <c r="D2951">
        <v>13.28</v>
      </c>
      <c r="E2951" t="s">
        <v>16</v>
      </c>
      <c r="F2951" t="s">
        <v>16</v>
      </c>
      <c r="H2951">
        <v>-0.22</v>
      </c>
      <c r="I2951">
        <v>-5.08</v>
      </c>
      <c r="J2951">
        <v>-5.61</v>
      </c>
      <c r="L2951">
        <v>0.07</v>
      </c>
      <c r="M2951">
        <v>329.19</v>
      </c>
      <c r="N2951">
        <v>0.06</v>
      </c>
      <c r="O2951">
        <v>0.77</v>
      </c>
    </row>
    <row r="2952" spans="1:15">
      <c r="A2952" t="str">
        <f>"600079"</f>
        <v>600079</v>
      </c>
      <c r="B2952" t="s">
        <v>2990</v>
      </c>
      <c r="C2952">
        <v>-1.74</v>
      </c>
      <c r="D2952">
        <v>16.41</v>
      </c>
      <c r="E2952" t="s">
        <v>16</v>
      </c>
      <c r="F2952" t="s">
        <v>16</v>
      </c>
      <c r="H2952">
        <v>-0.05</v>
      </c>
      <c r="I2952">
        <v>-5.36</v>
      </c>
      <c r="J2952">
        <v>-2.5</v>
      </c>
      <c r="L2952">
        <v>0</v>
      </c>
      <c r="M2952">
        <v>140.61</v>
      </c>
      <c r="N2952">
        <v>0.01</v>
      </c>
      <c r="O2952">
        <v>3.14</v>
      </c>
    </row>
    <row r="2953" spans="1:15">
      <c r="A2953" t="str">
        <f>"600080"</f>
        <v>600080</v>
      </c>
      <c r="B2953" t="s">
        <v>2991</v>
      </c>
      <c r="C2953">
        <v>-3.15</v>
      </c>
      <c r="D2953">
        <v>4.61</v>
      </c>
      <c r="E2953" t="s">
        <v>16</v>
      </c>
      <c r="F2953" t="s">
        <v>16</v>
      </c>
      <c r="H2953">
        <v>0</v>
      </c>
      <c r="I2953">
        <v>-16.18</v>
      </c>
      <c r="J2953">
        <v>-2.95</v>
      </c>
      <c r="L2953">
        <v>-0.42</v>
      </c>
      <c r="M2953">
        <v>9.1</v>
      </c>
      <c r="N2953">
        <v>0.01</v>
      </c>
      <c r="O2953">
        <v>0.24</v>
      </c>
    </row>
    <row r="2954" spans="1:15">
      <c r="A2954" t="str">
        <f>"600081"</f>
        <v>600081</v>
      </c>
      <c r="B2954" t="s">
        <v>2992</v>
      </c>
      <c r="C2954">
        <v>-1.77</v>
      </c>
      <c r="D2954">
        <v>10</v>
      </c>
      <c r="E2954" t="s">
        <v>16</v>
      </c>
      <c r="F2954" t="s">
        <v>16</v>
      </c>
      <c r="H2954">
        <v>0.1</v>
      </c>
      <c r="I2954">
        <v>-5.48</v>
      </c>
      <c r="J2954">
        <v>-1.67</v>
      </c>
      <c r="L2954">
        <v>-0.59</v>
      </c>
      <c r="M2954">
        <v>37.44</v>
      </c>
      <c r="N2954">
        <v>0.03</v>
      </c>
      <c r="O2954">
        <v>2.91</v>
      </c>
    </row>
    <row r="2955" spans="1:15">
      <c r="A2955" t="str">
        <f>"600082"</f>
        <v>600082</v>
      </c>
      <c r="B2955" t="s">
        <v>2993</v>
      </c>
      <c r="C2955">
        <v>1.01</v>
      </c>
      <c r="D2955">
        <v>2.99</v>
      </c>
      <c r="E2955" t="s">
        <v>16</v>
      </c>
      <c r="F2955" t="s">
        <v>16</v>
      </c>
      <c r="H2955">
        <v>0.67</v>
      </c>
      <c r="I2955">
        <v>-8</v>
      </c>
      <c r="J2955">
        <v>-1.97</v>
      </c>
      <c r="L2955">
        <v>0.68</v>
      </c>
      <c r="M2955">
        <v>8.34</v>
      </c>
      <c r="N2955">
        <v>0.01</v>
      </c>
      <c r="O2955">
        <v>0.42</v>
      </c>
    </row>
    <row r="2956" spans="1:15">
      <c r="A2956" t="str">
        <f>"600084"</f>
        <v>600084</v>
      </c>
      <c r="B2956" t="s">
        <v>2994</v>
      </c>
      <c r="C2956">
        <v>-1.95</v>
      </c>
      <c r="D2956">
        <v>4.02</v>
      </c>
      <c r="E2956" t="s">
        <v>16</v>
      </c>
      <c r="F2956" t="s">
        <v>16</v>
      </c>
      <c r="H2956">
        <v>-0.24</v>
      </c>
      <c r="I2956">
        <v>-16.77</v>
      </c>
      <c r="J2956">
        <v>-5.19</v>
      </c>
      <c r="L2956">
        <v>0.98</v>
      </c>
      <c r="M2956">
        <v>15.65</v>
      </c>
      <c r="N2956">
        <v>0.01</v>
      </c>
      <c r="O2956" t="s">
        <v>16</v>
      </c>
    </row>
    <row r="2957" spans="1:15">
      <c r="A2957" t="str">
        <f>"600085"</f>
        <v>600085</v>
      </c>
      <c r="B2957" t="s">
        <v>2995</v>
      </c>
      <c r="C2957">
        <v>-1.84</v>
      </c>
      <c r="D2957">
        <v>23.5</v>
      </c>
      <c r="E2957" t="s">
        <v>16</v>
      </c>
      <c r="F2957" t="s">
        <v>16</v>
      </c>
      <c r="H2957">
        <v>-0.33</v>
      </c>
      <c r="I2957">
        <v>-5.43</v>
      </c>
      <c r="J2957">
        <v>-1.63</v>
      </c>
      <c r="L2957">
        <v>-0.21</v>
      </c>
      <c r="M2957">
        <v>15.05</v>
      </c>
      <c r="N2957">
        <v>0</v>
      </c>
      <c r="O2957">
        <v>0.24</v>
      </c>
    </row>
    <row r="2958" spans="1:15">
      <c r="A2958" t="str">
        <f>"600088"</f>
        <v>600088</v>
      </c>
      <c r="B2958" t="s">
        <v>2996</v>
      </c>
      <c r="C2958">
        <v>-2.56</v>
      </c>
      <c r="D2958">
        <v>12.17</v>
      </c>
      <c r="E2958" t="s">
        <v>16</v>
      </c>
      <c r="F2958" t="s">
        <v>16</v>
      </c>
      <c r="H2958">
        <v>0.16</v>
      </c>
      <c r="I2958">
        <v>-13.5</v>
      </c>
      <c r="J2958">
        <v>-2.48</v>
      </c>
      <c r="L2958">
        <v>-0.08</v>
      </c>
      <c r="M2958">
        <v>94.22</v>
      </c>
      <c r="N2958">
        <v>0.04</v>
      </c>
      <c r="O2958">
        <v>1.45</v>
      </c>
    </row>
    <row r="2959" spans="1:15">
      <c r="A2959" t="str">
        <f>"600089"</f>
        <v>600089</v>
      </c>
      <c r="B2959" t="s">
        <v>2997</v>
      </c>
      <c r="C2959">
        <v>-0.51</v>
      </c>
      <c r="D2959">
        <v>23.32</v>
      </c>
      <c r="E2959" t="s">
        <v>16</v>
      </c>
      <c r="F2959" t="s">
        <v>16</v>
      </c>
      <c r="H2959">
        <v>0</v>
      </c>
      <c r="I2959">
        <v>-9.08</v>
      </c>
      <c r="J2959">
        <v>-1.85</v>
      </c>
      <c r="L2959">
        <v>-0.98</v>
      </c>
      <c r="M2959">
        <v>1934.2</v>
      </c>
      <c r="N2959">
        <v>0.02</v>
      </c>
      <c r="O2959">
        <v>1.38</v>
      </c>
    </row>
    <row r="2960" spans="1:15">
      <c r="A2960" t="str">
        <f>"600094"</f>
        <v>600094</v>
      </c>
      <c r="B2960" t="s">
        <v>2998</v>
      </c>
      <c r="C2960">
        <v>0.25</v>
      </c>
      <c r="D2960">
        <v>4.05</v>
      </c>
      <c r="E2960" t="s">
        <v>16</v>
      </c>
      <c r="F2960" t="s">
        <v>16</v>
      </c>
      <c r="H2960">
        <v>0</v>
      </c>
      <c r="I2960">
        <v>-0.98</v>
      </c>
      <c r="J2960">
        <v>-3.11</v>
      </c>
      <c r="L2960">
        <v>-0.74</v>
      </c>
      <c r="M2960">
        <v>31.2</v>
      </c>
      <c r="N2960">
        <v>0.01</v>
      </c>
      <c r="O2960">
        <v>0.33</v>
      </c>
    </row>
    <row r="2961" spans="1:15">
      <c r="A2961" t="str">
        <f>"600095"</f>
        <v>600095</v>
      </c>
      <c r="B2961" t="s">
        <v>2999</v>
      </c>
      <c r="C2961">
        <v>-3.37</v>
      </c>
      <c r="D2961">
        <v>7.74</v>
      </c>
      <c r="E2961" t="s">
        <v>16</v>
      </c>
      <c r="F2961" t="s">
        <v>16</v>
      </c>
      <c r="H2961">
        <v>0</v>
      </c>
      <c r="I2961">
        <v>-2.76</v>
      </c>
      <c r="J2961">
        <v>-3.37</v>
      </c>
      <c r="L2961">
        <v>-0.37</v>
      </c>
      <c r="M2961">
        <v>24.74</v>
      </c>
      <c r="N2961">
        <v>0</v>
      </c>
      <c r="O2961">
        <v>0.5</v>
      </c>
    </row>
    <row r="2962" spans="1:15">
      <c r="A2962" t="str">
        <f>"600096"</f>
        <v>600096</v>
      </c>
      <c r="B2962" t="s">
        <v>3000</v>
      </c>
      <c r="C2962">
        <v>-2.18</v>
      </c>
      <c r="D2962">
        <v>29.57</v>
      </c>
      <c r="E2962" t="s">
        <v>16</v>
      </c>
      <c r="F2962" t="s">
        <v>16</v>
      </c>
      <c r="H2962">
        <v>1.2</v>
      </c>
      <c r="I2962">
        <v>-2.15</v>
      </c>
      <c r="J2962">
        <v>-3.08</v>
      </c>
      <c r="L2962">
        <v>-0.93</v>
      </c>
      <c r="M2962">
        <v>394.74</v>
      </c>
      <c r="N2962">
        <v>0.01</v>
      </c>
      <c r="O2962">
        <v>0.44</v>
      </c>
    </row>
    <row r="2963" spans="1:15">
      <c r="A2963" t="str">
        <f>"600097"</f>
        <v>600097</v>
      </c>
      <c r="B2963" t="s">
        <v>3001</v>
      </c>
      <c r="C2963">
        <v>-1.19</v>
      </c>
      <c r="D2963">
        <v>8.33</v>
      </c>
      <c r="E2963" t="s">
        <v>16</v>
      </c>
      <c r="F2963" t="s">
        <v>16</v>
      </c>
      <c r="H2963">
        <v>-0.35</v>
      </c>
      <c r="I2963">
        <v>-4.8</v>
      </c>
      <c r="J2963">
        <v>-1.65</v>
      </c>
      <c r="L2963">
        <v>-0.47</v>
      </c>
      <c r="M2963">
        <v>23.74</v>
      </c>
      <c r="N2963">
        <v>0.02</v>
      </c>
      <c r="O2963">
        <v>1.58</v>
      </c>
    </row>
    <row r="2964" spans="1:15">
      <c r="A2964" t="str">
        <f>"600098"</f>
        <v>600098</v>
      </c>
      <c r="B2964" t="s">
        <v>3002</v>
      </c>
      <c r="C2964">
        <v>-4.78</v>
      </c>
      <c r="D2964">
        <v>6.58</v>
      </c>
      <c r="E2964" t="s">
        <v>16</v>
      </c>
      <c r="F2964" t="s">
        <v>16</v>
      </c>
      <c r="H2964">
        <v>-0.14</v>
      </c>
      <c r="I2964">
        <v>-18.87</v>
      </c>
      <c r="J2964">
        <v>-4.78</v>
      </c>
      <c r="L2964">
        <v>-0.14</v>
      </c>
      <c r="M2964">
        <v>65.9</v>
      </c>
      <c r="N2964">
        <v>0.01</v>
      </c>
      <c r="O2964">
        <v>1.09</v>
      </c>
    </row>
    <row r="2965" spans="1:15">
      <c r="A2965" t="str">
        <f>"600099"</f>
        <v>600099</v>
      </c>
      <c r="B2965" t="s">
        <v>3003</v>
      </c>
      <c r="C2965">
        <v>-1.03</v>
      </c>
      <c r="D2965">
        <v>8.66</v>
      </c>
      <c r="E2965" t="s">
        <v>16</v>
      </c>
      <c r="F2965" t="s">
        <v>16</v>
      </c>
      <c r="H2965">
        <v>0.35</v>
      </c>
      <c r="I2965">
        <v>-6.88</v>
      </c>
      <c r="J2965">
        <v>-1.37</v>
      </c>
      <c r="L2965">
        <v>-0.57</v>
      </c>
      <c r="M2965">
        <v>12.09</v>
      </c>
      <c r="N2965">
        <v>0.01</v>
      </c>
      <c r="O2965">
        <v>1.15</v>
      </c>
    </row>
    <row r="2966" spans="1:15">
      <c r="A2966" t="str">
        <f>"600100"</f>
        <v>600100</v>
      </c>
      <c r="B2966" t="s">
        <v>3004</v>
      </c>
      <c r="C2966">
        <v>-0.97</v>
      </c>
      <c r="D2966">
        <v>7.11</v>
      </c>
      <c r="E2966" t="s">
        <v>16</v>
      </c>
      <c r="F2966" t="s">
        <v>16</v>
      </c>
      <c r="H2966">
        <v>-0.13</v>
      </c>
      <c r="I2966">
        <v>-7.9</v>
      </c>
      <c r="J2966">
        <v>-1.25</v>
      </c>
      <c r="L2966">
        <v>-0.42</v>
      </c>
      <c r="M2966">
        <v>64.56</v>
      </c>
      <c r="N2966">
        <v>0</v>
      </c>
      <c r="O2966">
        <v>0.95</v>
      </c>
    </row>
    <row r="2967" spans="1:15">
      <c r="A2967" t="str">
        <f>"600101"</f>
        <v>600101</v>
      </c>
      <c r="B2967" t="s">
        <v>3005</v>
      </c>
      <c r="C2967">
        <v>-4.3</v>
      </c>
      <c r="D2967">
        <v>8.69</v>
      </c>
      <c r="E2967" t="s">
        <v>16</v>
      </c>
      <c r="F2967" t="s">
        <v>16</v>
      </c>
      <c r="H2967">
        <v>0</v>
      </c>
      <c r="I2967">
        <v>-17.16</v>
      </c>
      <c r="J2967">
        <v>-3.87</v>
      </c>
      <c r="L2967">
        <v>-0.55</v>
      </c>
      <c r="M2967">
        <v>79.28</v>
      </c>
      <c r="N2967">
        <v>0.02</v>
      </c>
      <c r="O2967">
        <v>2.04</v>
      </c>
    </row>
    <row r="2968" spans="1:15">
      <c r="A2968" t="str">
        <f>"600103"</f>
        <v>600103</v>
      </c>
      <c r="B2968" t="s">
        <v>3006</v>
      </c>
      <c r="C2968">
        <v>-3.06</v>
      </c>
      <c r="D2968">
        <v>3.48</v>
      </c>
      <c r="E2968" t="s">
        <v>16</v>
      </c>
      <c r="F2968" t="s">
        <v>16</v>
      </c>
      <c r="H2968">
        <v>-0.28</v>
      </c>
      <c r="I2968">
        <v>-12.12</v>
      </c>
      <c r="J2968">
        <v>-2.79</v>
      </c>
      <c r="L2968">
        <v>-0.84</v>
      </c>
      <c r="M2968">
        <v>151.73</v>
      </c>
      <c r="N2968">
        <v>0.03</v>
      </c>
      <c r="O2968">
        <v>0.39</v>
      </c>
    </row>
    <row r="2969" spans="1:15">
      <c r="A2969" t="str">
        <f>"600104"</f>
        <v>600104</v>
      </c>
      <c r="B2969" t="s">
        <v>3007</v>
      </c>
      <c r="C2969">
        <v>-0.95</v>
      </c>
      <c r="D2969">
        <v>10.46</v>
      </c>
      <c r="E2969" t="s">
        <v>16</v>
      </c>
      <c r="F2969" t="s">
        <v>16</v>
      </c>
      <c r="H2969">
        <v>-0.37</v>
      </c>
      <c r="I2969">
        <v>-11.51</v>
      </c>
      <c r="J2969">
        <v>-1.51</v>
      </c>
      <c r="L2969">
        <v>0.09</v>
      </c>
      <c r="M2969">
        <v>562.85</v>
      </c>
      <c r="N2969">
        <v>0.02</v>
      </c>
      <c r="O2969">
        <v>1.45</v>
      </c>
    </row>
    <row r="2970" spans="1:15">
      <c r="A2970" t="str">
        <f>"600105"</f>
        <v>600105</v>
      </c>
      <c r="B2970" t="s">
        <v>3008</v>
      </c>
      <c r="C2970">
        <v>-1.54</v>
      </c>
      <c r="D2970">
        <v>62.12</v>
      </c>
      <c r="E2970" t="s">
        <v>16</v>
      </c>
      <c r="F2970" t="s">
        <v>16</v>
      </c>
      <c r="H2970">
        <v>0</v>
      </c>
      <c r="I2970">
        <v>14.46</v>
      </c>
      <c r="J2970">
        <v>-3.47</v>
      </c>
      <c r="K2970" t="s">
        <v>26</v>
      </c>
      <c r="L2970">
        <v>-2</v>
      </c>
      <c r="M2970">
        <v>7856.74</v>
      </c>
      <c r="N2970">
        <v>0.12</v>
      </c>
      <c r="O2970">
        <v>0.42</v>
      </c>
    </row>
    <row r="2971" spans="1:15">
      <c r="A2971" t="str">
        <f>"600106"</f>
        <v>600106</v>
      </c>
      <c r="B2971" t="s">
        <v>3009</v>
      </c>
      <c r="C2971">
        <v>4.47</v>
      </c>
      <c r="D2971">
        <v>5.14</v>
      </c>
      <c r="E2971" t="s">
        <v>16</v>
      </c>
      <c r="F2971" t="s">
        <v>16</v>
      </c>
      <c r="H2971">
        <v>0.59</v>
      </c>
      <c r="I2971">
        <v>-1.34</v>
      </c>
      <c r="J2971">
        <v>-1.34</v>
      </c>
      <c r="L2971">
        <v>0</v>
      </c>
      <c r="M2971">
        <v>3.3</v>
      </c>
      <c r="N2971">
        <v>0</v>
      </c>
      <c r="O2971">
        <v>0.36</v>
      </c>
    </row>
    <row r="2972" spans="1:15">
      <c r="A2972" t="str">
        <f>"600107"</f>
        <v>600107</v>
      </c>
      <c r="B2972" t="s">
        <v>3010</v>
      </c>
      <c r="C2972">
        <v>-1.74</v>
      </c>
      <c r="D2972">
        <v>6.2</v>
      </c>
      <c r="E2972" t="s">
        <v>16</v>
      </c>
      <c r="F2972" t="s">
        <v>16</v>
      </c>
      <c r="H2972">
        <v>0.16</v>
      </c>
      <c r="I2972">
        <v>-4.62</v>
      </c>
      <c r="J2972">
        <v>-2.67</v>
      </c>
      <c r="L2972">
        <v>-0.16</v>
      </c>
      <c r="M2972">
        <v>0</v>
      </c>
      <c r="N2972">
        <v>0</v>
      </c>
      <c r="O2972">
        <v>0</v>
      </c>
    </row>
    <row r="2973" spans="1:15">
      <c r="A2973" t="str">
        <f>"600108"</f>
        <v>600108</v>
      </c>
      <c r="B2973" t="s">
        <v>3011</v>
      </c>
      <c r="C2973">
        <v>5.25</v>
      </c>
      <c r="D2973">
        <v>3.61</v>
      </c>
      <c r="E2973" t="s">
        <v>16</v>
      </c>
      <c r="F2973" t="s">
        <v>16</v>
      </c>
      <c r="H2973">
        <v>-0.27</v>
      </c>
      <c r="I2973">
        <v>5.87</v>
      </c>
      <c r="J2973">
        <v>-4.24</v>
      </c>
      <c r="L2973">
        <v>0</v>
      </c>
      <c r="M2973">
        <v>219.93</v>
      </c>
      <c r="N2973">
        <v>0.05</v>
      </c>
      <c r="O2973">
        <v>0.82</v>
      </c>
    </row>
    <row r="2974" spans="1:15">
      <c r="A2974" t="str">
        <f>"600109"</f>
        <v>600109</v>
      </c>
      <c r="B2974" t="s">
        <v>3012</v>
      </c>
      <c r="C2974">
        <v>-2.65</v>
      </c>
      <c r="D2974">
        <v>8.44</v>
      </c>
      <c r="E2974" t="s">
        <v>16</v>
      </c>
      <c r="F2974" t="s">
        <v>16</v>
      </c>
      <c r="H2974">
        <v>0.12</v>
      </c>
      <c r="I2974">
        <v>5.11</v>
      </c>
      <c r="J2974">
        <v>-2.76</v>
      </c>
      <c r="L2974">
        <v>-0.46</v>
      </c>
      <c r="M2974">
        <v>122.2</v>
      </c>
      <c r="N2974">
        <v>0.01</v>
      </c>
      <c r="O2974">
        <v>0.83</v>
      </c>
    </row>
    <row r="2975" spans="1:15">
      <c r="A2975" t="str">
        <f>"600110"</f>
        <v>600110</v>
      </c>
      <c r="B2975" t="s">
        <v>3013</v>
      </c>
      <c r="C2975">
        <v>2.03</v>
      </c>
      <c r="D2975">
        <v>17.57</v>
      </c>
      <c r="E2975" t="s">
        <v>16</v>
      </c>
      <c r="F2975" t="s">
        <v>16</v>
      </c>
      <c r="H2975">
        <v>0.06</v>
      </c>
      <c r="I2975">
        <v>52.25</v>
      </c>
      <c r="J2975">
        <v>-4.61</v>
      </c>
      <c r="K2975" t="s">
        <v>51</v>
      </c>
      <c r="L2975">
        <v>1.63</v>
      </c>
      <c r="M2975">
        <v>47171.07</v>
      </c>
      <c r="N2975">
        <v>2.21</v>
      </c>
      <c r="O2975">
        <v>6.17</v>
      </c>
    </row>
    <row r="2976" spans="1:15">
      <c r="A2976" t="str">
        <f>"600111"</f>
        <v>600111</v>
      </c>
      <c r="B2976" t="s">
        <v>3014</v>
      </c>
      <c r="C2976">
        <v>2.15</v>
      </c>
      <c r="D2976">
        <v>51.4</v>
      </c>
      <c r="E2976" t="s">
        <v>16</v>
      </c>
      <c r="F2976" t="s">
        <v>16</v>
      </c>
      <c r="H2976">
        <v>-0.28</v>
      </c>
      <c r="I2976">
        <v>3.78</v>
      </c>
      <c r="J2976">
        <v>-3.53</v>
      </c>
      <c r="L2976">
        <v>-0.64</v>
      </c>
      <c r="M2976">
        <v>2996.5</v>
      </c>
      <c r="N2976">
        <v>0.03</v>
      </c>
      <c r="O2976">
        <v>0.87</v>
      </c>
    </row>
    <row r="2977" spans="1:15">
      <c r="A2977" t="str">
        <f>"600113"</f>
        <v>600113</v>
      </c>
      <c r="B2977" t="s">
        <v>3015</v>
      </c>
      <c r="C2977">
        <v>-2.97</v>
      </c>
      <c r="D2977">
        <v>32.99</v>
      </c>
      <c r="E2977" t="s">
        <v>16</v>
      </c>
      <c r="F2977" t="s">
        <v>16</v>
      </c>
      <c r="H2977">
        <v>-0.02</v>
      </c>
      <c r="I2977">
        <v>-7.8</v>
      </c>
      <c r="J2977">
        <v>-2.91</v>
      </c>
      <c r="L2977">
        <v>-0.06</v>
      </c>
      <c r="M2977">
        <v>39.08</v>
      </c>
      <c r="N2977">
        <v>0.01</v>
      </c>
      <c r="O2977">
        <v>1.44</v>
      </c>
    </row>
    <row r="2978" spans="1:15">
      <c r="A2978" t="str">
        <f>"600114"</f>
        <v>600114</v>
      </c>
      <c r="B2978" t="s">
        <v>3016</v>
      </c>
      <c r="C2978">
        <v>1.41</v>
      </c>
      <c r="D2978">
        <v>43.85</v>
      </c>
      <c r="E2978" t="s">
        <v>16</v>
      </c>
      <c r="F2978" t="s">
        <v>16</v>
      </c>
      <c r="H2978">
        <v>-0.06</v>
      </c>
      <c r="I2978">
        <v>10.7</v>
      </c>
      <c r="J2978">
        <v>-3.5</v>
      </c>
      <c r="L2978">
        <v>0</v>
      </c>
      <c r="M2978">
        <v>532.72</v>
      </c>
      <c r="N2978">
        <v>0.03</v>
      </c>
      <c r="O2978">
        <v>0.81</v>
      </c>
    </row>
    <row r="2979" spans="1:15">
      <c r="A2979" t="str">
        <f>"600115"</f>
        <v>600115</v>
      </c>
      <c r="B2979" t="s">
        <v>3017</v>
      </c>
      <c r="C2979">
        <v>-3.92</v>
      </c>
      <c r="D2979">
        <v>3.92</v>
      </c>
      <c r="E2979" t="s">
        <v>16</v>
      </c>
      <c r="F2979" t="s">
        <v>16</v>
      </c>
      <c r="H2979">
        <v>-0.24</v>
      </c>
      <c r="I2979">
        <v>-1.26</v>
      </c>
      <c r="J2979">
        <v>-4.39</v>
      </c>
      <c r="L2979">
        <v>-0.74</v>
      </c>
      <c r="M2979">
        <v>494.26</v>
      </c>
      <c r="N2979">
        <v>0.02</v>
      </c>
      <c r="O2979">
        <v>0.56</v>
      </c>
    </row>
    <row r="2980" spans="1:15">
      <c r="A2980" t="str">
        <f>"600116"</f>
        <v>600116</v>
      </c>
      <c r="B2980" t="s">
        <v>3018</v>
      </c>
      <c r="C2980">
        <v>-3.86</v>
      </c>
      <c r="D2980">
        <v>5.97</v>
      </c>
      <c r="E2980" t="s">
        <v>16</v>
      </c>
      <c r="F2980" t="s">
        <v>16</v>
      </c>
      <c r="H2980">
        <v>0</v>
      </c>
      <c r="I2980">
        <v>-13.35</v>
      </c>
      <c r="J2980">
        <v>-3.55</v>
      </c>
      <c r="L2980">
        <v>-0.32</v>
      </c>
      <c r="M2980">
        <v>52.06</v>
      </c>
      <c r="N2980">
        <v>0.01</v>
      </c>
      <c r="O2980">
        <v>2.37</v>
      </c>
    </row>
    <row r="2981" spans="1:15">
      <c r="A2981" t="str">
        <f>"600117"</f>
        <v>600117</v>
      </c>
      <c r="B2981" t="s">
        <v>3019</v>
      </c>
      <c r="C2981">
        <v>2.27</v>
      </c>
      <c r="D2981">
        <v>2.25</v>
      </c>
      <c r="E2981" t="s">
        <v>16</v>
      </c>
      <c r="F2981" t="s">
        <v>16</v>
      </c>
      <c r="H2981">
        <v>0.45</v>
      </c>
      <c r="I2981">
        <v>-1.75</v>
      </c>
      <c r="J2981">
        <v>-4.26</v>
      </c>
      <c r="L2981">
        <v>0</v>
      </c>
      <c r="M2981">
        <v>5.9</v>
      </c>
      <c r="N2981">
        <v>0</v>
      </c>
      <c r="O2981">
        <v>0.46</v>
      </c>
    </row>
    <row r="2982" spans="1:15">
      <c r="A2982" t="str">
        <f>"600118"</f>
        <v>600118</v>
      </c>
      <c r="B2982" t="s">
        <v>3020</v>
      </c>
      <c r="C2982">
        <v>0.96</v>
      </c>
      <c r="D2982">
        <v>76.52</v>
      </c>
      <c r="E2982" t="s">
        <v>16</v>
      </c>
      <c r="F2982" t="s">
        <v>16</v>
      </c>
      <c r="H2982">
        <v>0.01</v>
      </c>
      <c r="I2982">
        <v>-4.68</v>
      </c>
      <c r="J2982">
        <v>-1.32</v>
      </c>
      <c r="L2982">
        <v>-1.69</v>
      </c>
      <c r="M2982">
        <v>2506.52</v>
      </c>
      <c r="N2982">
        <v>0.06</v>
      </c>
      <c r="O2982">
        <v>1.44</v>
      </c>
    </row>
    <row r="2983" spans="1:15">
      <c r="A2983" t="str">
        <f>"600119"</f>
        <v>600119</v>
      </c>
      <c r="B2983" t="s">
        <v>3021</v>
      </c>
      <c r="C2983">
        <v>-3.15</v>
      </c>
      <c r="D2983">
        <v>4.61</v>
      </c>
      <c r="E2983" t="s">
        <v>16</v>
      </c>
      <c r="F2983" t="s">
        <v>16</v>
      </c>
      <c r="H2983">
        <v>0.22</v>
      </c>
      <c r="I2983">
        <v>-14.63</v>
      </c>
      <c r="J2983">
        <v>-3.56</v>
      </c>
      <c r="L2983">
        <v>-0.63</v>
      </c>
      <c r="M2983">
        <v>0.99</v>
      </c>
      <c r="N2983">
        <v>0</v>
      </c>
      <c r="O2983">
        <v>0.95</v>
      </c>
    </row>
    <row r="2984" spans="1:15">
      <c r="A2984" t="str">
        <f>"600120"</f>
        <v>600120</v>
      </c>
      <c r="B2984" t="s">
        <v>3022</v>
      </c>
      <c r="C2984">
        <v>0.66</v>
      </c>
      <c r="D2984">
        <v>4.57</v>
      </c>
      <c r="E2984" t="s">
        <v>16</v>
      </c>
      <c r="F2984" t="s">
        <v>16</v>
      </c>
      <c r="H2984">
        <v>0</v>
      </c>
      <c r="I2984">
        <v>-2.56</v>
      </c>
      <c r="J2984">
        <v>-2.56</v>
      </c>
      <c r="L2984">
        <v>0.22</v>
      </c>
      <c r="M2984">
        <v>41.59</v>
      </c>
      <c r="N2984">
        <v>0.01</v>
      </c>
      <c r="O2984">
        <v>0.74</v>
      </c>
    </row>
    <row r="2985" spans="1:15">
      <c r="A2985" t="str">
        <f>"600121"</f>
        <v>600121</v>
      </c>
      <c r="B2985" t="s">
        <v>3023</v>
      </c>
      <c r="C2985">
        <v>-3.55</v>
      </c>
      <c r="D2985">
        <v>4.08</v>
      </c>
      <c r="E2985" t="s">
        <v>16</v>
      </c>
      <c r="F2985" t="s">
        <v>16</v>
      </c>
      <c r="H2985">
        <v>0.25</v>
      </c>
      <c r="I2985">
        <v>-28.42</v>
      </c>
      <c r="J2985">
        <v>-3.77</v>
      </c>
      <c r="L2985">
        <v>0</v>
      </c>
      <c r="M2985">
        <v>144.07</v>
      </c>
      <c r="N2985">
        <v>0.06</v>
      </c>
      <c r="O2985">
        <v>0.84</v>
      </c>
    </row>
    <row r="2986" spans="1:15">
      <c r="A2986" t="str">
        <f>"600123"</f>
        <v>600123</v>
      </c>
      <c r="B2986" t="s">
        <v>3024</v>
      </c>
      <c r="C2986">
        <v>-4.72</v>
      </c>
      <c r="D2986">
        <v>6.05</v>
      </c>
      <c r="E2986" t="s">
        <v>16</v>
      </c>
      <c r="F2986" t="s">
        <v>16</v>
      </c>
      <c r="H2986">
        <v>0</v>
      </c>
      <c r="I2986">
        <v>-17.69</v>
      </c>
      <c r="J2986">
        <v>-4.57</v>
      </c>
      <c r="L2986">
        <v>-0.79</v>
      </c>
      <c r="M2986">
        <v>107.42</v>
      </c>
      <c r="N2986">
        <v>0.02</v>
      </c>
      <c r="O2986">
        <v>1.1</v>
      </c>
    </row>
    <row r="2987" spans="1:15">
      <c r="A2987" t="str">
        <f>"600125"</f>
        <v>600125</v>
      </c>
      <c r="B2987" t="s">
        <v>3025</v>
      </c>
      <c r="C2987">
        <v>-0.74</v>
      </c>
      <c r="D2987">
        <v>5.38</v>
      </c>
      <c r="E2987" t="s">
        <v>16</v>
      </c>
      <c r="F2987" t="s">
        <v>16</v>
      </c>
      <c r="H2987">
        <v>-0.18</v>
      </c>
      <c r="I2987">
        <v>-2.18</v>
      </c>
      <c r="J2987">
        <v>-0.92</v>
      </c>
      <c r="L2987">
        <v>0</v>
      </c>
      <c r="M2987">
        <v>18.27</v>
      </c>
      <c r="N2987">
        <v>0</v>
      </c>
      <c r="O2987">
        <v>3.87</v>
      </c>
    </row>
    <row r="2988" spans="1:15">
      <c r="A2988" t="str">
        <f>"600126"</f>
        <v>600126</v>
      </c>
      <c r="B2988" t="s">
        <v>3026</v>
      </c>
      <c r="C2988">
        <v>-2.39</v>
      </c>
      <c r="D2988">
        <v>6.95</v>
      </c>
      <c r="E2988" t="s">
        <v>16</v>
      </c>
      <c r="F2988" t="s">
        <v>16</v>
      </c>
      <c r="H2988">
        <v>-0.28</v>
      </c>
      <c r="I2988">
        <v>-5.83</v>
      </c>
      <c r="J2988">
        <v>-2.39</v>
      </c>
      <c r="L2988">
        <v>-0.98</v>
      </c>
      <c r="M2988">
        <v>765.15</v>
      </c>
      <c r="N2988">
        <v>0.09</v>
      </c>
      <c r="O2988">
        <v>0.4</v>
      </c>
    </row>
    <row r="2989" spans="1:15">
      <c r="A2989" t="str">
        <f>"600127"</f>
        <v>600127</v>
      </c>
      <c r="B2989" t="s">
        <v>3027</v>
      </c>
      <c r="C2989">
        <v>-0.9</v>
      </c>
      <c r="D2989">
        <v>5.51</v>
      </c>
      <c r="E2989" t="s">
        <v>16</v>
      </c>
      <c r="F2989" t="s">
        <v>16</v>
      </c>
      <c r="H2989">
        <v>-0.17</v>
      </c>
      <c r="I2989">
        <v>-9.08</v>
      </c>
      <c r="J2989">
        <v>-1.25</v>
      </c>
      <c r="L2989">
        <v>-0.18</v>
      </c>
      <c r="M2989">
        <v>8.49</v>
      </c>
      <c r="N2989">
        <v>0</v>
      </c>
      <c r="O2989">
        <v>1.13</v>
      </c>
    </row>
    <row r="2990" spans="1:15">
      <c r="A2990" t="str">
        <f>"600128"</f>
        <v>600128</v>
      </c>
      <c r="B2990" t="s">
        <v>3028</v>
      </c>
      <c r="C2990">
        <v>-1.55</v>
      </c>
      <c r="D2990">
        <v>8.24</v>
      </c>
      <c r="E2990" t="s">
        <v>16</v>
      </c>
      <c r="F2990" t="s">
        <v>16</v>
      </c>
      <c r="H2990">
        <v>0</v>
      </c>
      <c r="I2990">
        <v>-7.21</v>
      </c>
      <c r="J2990">
        <v>-1.44</v>
      </c>
      <c r="L2990">
        <v>-0.84</v>
      </c>
      <c r="M2990">
        <v>4.57</v>
      </c>
      <c r="N2990">
        <v>0</v>
      </c>
      <c r="O2990">
        <v>1.1</v>
      </c>
    </row>
    <row r="2991" spans="1:15">
      <c r="A2991" t="str">
        <f>"600129"</f>
        <v>600129</v>
      </c>
      <c r="B2991" t="s">
        <v>3029</v>
      </c>
      <c r="C2991">
        <v>-0.93</v>
      </c>
      <c r="D2991">
        <v>12.8</v>
      </c>
      <c r="E2991" t="s">
        <v>16</v>
      </c>
      <c r="F2991" t="s">
        <v>16</v>
      </c>
      <c r="H2991">
        <v>-0.07</v>
      </c>
      <c r="I2991">
        <v>-7.18</v>
      </c>
      <c r="J2991">
        <v>-2.14</v>
      </c>
      <c r="L2991">
        <v>-0.15</v>
      </c>
      <c r="M2991">
        <v>19.74</v>
      </c>
      <c r="N2991">
        <v>0</v>
      </c>
      <c r="O2991">
        <v>0.69</v>
      </c>
    </row>
    <row r="2992" spans="1:15">
      <c r="A2992" t="str">
        <f>"600130"</f>
        <v>600130</v>
      </c>
      <c r="B2992" t="s">
        <v>3030</v>
      </c>
      <c r="C2992">
        <v>-3.27</v>
      </c>
      <c r="D2992">
        <v>4.73</v>
      </c>
      <c r="E2992" t="s">
        <v>16</v>
      </c>
      <c r="F2992" t="s">
        <v>16</v>
      </c>
      <c r="H2992">
        <v>-0.41</v>
      </c>
      <c r="I2992">
        <v>-2.27</v>
      </c>
      <c r="J2992">
        <v>-3.47</v>
      </c>
      <c r="L2992">
        <v>0.2</v>
      </c>
      <c r="M2992">
        <v>131.12</v>
      </c>
      <c r="N2992">
        <v>0.04</v>
      </c>
      <c r="O2992">
        <v>1.64</v>
      </c>
    </row>
    <row r="2993" spans="1:15">
      <c r="A2993" t="str">
        <f>"600131"</f>
        <v>600131</v>
      </c>
      <c r="B2993" t="s">
        <v>3031</v>
      </c>
      <c r="C2993">
        <v>-0.59</v>
      </c>
      <c r="D2993">
        <v>15.09</v>
      </c>
      <c r="E2993" t="s">
        <v>16</v>
      </c>
      <c r="F2993" t="s">
        <v>16</v>
      </c>
      <c r="H2993">
        <v>-0.12</v>
      </c>
      <c r="I2993">
        <v>-7.99</v>
      </c>
      <c r="J2993">
        <v>-1.37</v>
      </c>
      <c r="L2993">
        <v>-0.46</v>
      </c>
      <c r="M2993">
        <v>22.06</v>
      </c>
      <c r="N2993">
        <v>0</v>
      </c>
      <c r="O2993">
        <v>0.54</v>
      </c>
    </row>
    <row r="2994" spans="1:15">
      <c r="A2994" t="str">
        <f>"600132"</f>
        <v>600132</v>
      </c>
      <c r="B2994" t="s">
        <v>3032</v>
      </c>
      <c r="C2994">
        <v>-3.42</v>
      </c>
      <c r="D2994">
        <v>44.33</v>
      </c>
      <c r="E2994" t="s">
        <v>16</v>
      </c>
      <c r="F2994" t="s">
        <v>16</v>
      </c>
      <c r="H2994">
        <v>-0.04</v>
      </c>
      <c r="I2994">
        <v>-10.32</v>
      </c>
      <c r="J2994">
        <v>-3.78</v>
      </c>
      <c r="L2994">
        <v>0.37</v>
      </c>
      <c r="M2994">
        <v>101.81</v>
      </c>
      <c r="N2994">
        <v>0.01</v>
      </c>
      <c r="O2994">
        <v>1.4</v>
      </c>
    </row>
    <row r="2995" spans="1:15">
      <c r="A2995" t="str">
        <f>"600133"</f>
        <v>600133</v>
      </c>
      <c r="B2995" t="s">
        <v>3033</v>
      </c>
      <c r="C2995">
        <v>4.61</v>
      </c>
      <c r="D2995">
        <v>8.4</v>
      </c>
      <c r="E2995" t="s">
        <v>16</v>
      </c>
      <c r="F2995" t="s">
        <v>16</v>
      </c>
      <c r="H2995">
        <v>0.48</v>
      </c>
      <c r="I2995">
        <v>2.31</v>
      </c>
      <c r="J2995">
        <v>-0.12</v>
      </c>
      <c r="L2995">
        <v>0.5</v>
      </c>
      <c r="M2995">
        <v>106.6</v>
      </c>
      <c r="N2995">
        <v>0.01</v>
      </c>
      <c r="O2995">
        <v>3.98</v>
      </c>
    </row>
    <row r="2996" spans="1:15">
      <c r="A2996" t="str">
        <f>"600135"</f>
        <v>600135</v>
      </c>
      <c r="B2996" t="s">
        <v>3034</v>
      </c>
      <c r="C2996">
        <v>-0.91</v>
      </c>
      <c r="D2996">
        <v>8.75</v>
      </c>
      <c r="E2996" t="s">
        <v>16</v>
      </c>
      <c r="F2996" t="s">
        <v>16</v>
      </c>
      <c r="H2996">
        <v>0</v>
      </c>
      <c r="I2996">
        <v>-2.45</v>
      </c>
      <c r="J2996">
        <v>-2.56</v>
      </c>
      <c r="L2996">
        <v>-0.57</v>
      </c>
      <c r="M2996">
        <v>52.59</v>
      </c>
      <c r="N2996">
        <v>0.02</v>
      </c>
      <c r="O2996">
        <v>0.56</v>
      </c>
    </row>
    <row r="2997" spans="1:15">
      <c r="A2997" t="str">
        <f>"600136"</f>
        <v>600136</v>
      </c>
      <c r="B2997" t="s">
        <v>3035</v>
      </c>
      <c r="C2997">
        <v>-2.05</v>
      </c>
      <c r="D2997">
        <v>1.43</v>
      </c>
      <c r="E2997" t="s">
        <v>16</v>
      </c>
      <c r="F2997" t="s">
        <v>16</v>
      </c>
      <c r="H2997">
        <v>0.7</v>
      </c>
      <c r="I2997">
        <v>-10.06</v>
      </c>
      <c r="J2997">
        <v>-2.72</v>
      </c>
      <c r="L2997">
        <v>-0.68</v>
      </c>
      <c r="M2997">
        <v>6.41</v>
      </c>
      <c r="N2997">
        <v>0</v>
      </c>
      <c r="O2997">
        <v>0.44</v>
      </c>
    </row>
    <row r="2998" spans="1:15">
      <c r="A2998" t="str">
        <f>"600137"</f>
        <v>600137</v>
      </c>
      <c r="B2998" t="s">
        <v>3036</v>
      </c>
      <c r="C2998">
        <v>-1.17</v>
      </c>
      <c r="D2998">
        <v>17.74</v>
      </c>
      <c r="E2998" t="s">
        <v>16</v>
      </c>
      <c r="F2998" t="s">
        <v>16</v>
      </c>
      <c r="H2998">
        <v>-0.16</v>
      </c>
      <c r="I2998">
        <v>-8.79</v>
      </c>
      <c r="J2998">
        <v>-1.44</v>
      </c>
      <c r="L2998">
        <v>-0.67</v>
      </c>
      <c r="M2998">
        <v>31.56</v>
      </c>
      <c r="N2998">
        <v>0.04</v>
      </c>
      <c r="O2998">
        <v>3.85</v>
      </c>
    </row>
    <row r="2999" spans="1:15">
      <c r="A2999" t="str">
        <f>"600138"</f>
        <v>600138</v>
      </c>
      <c r="B2999" t="s">
        <v>3037</v>
      </c>
      <c r="C2999">
        <v>-1.26</v>
      </c>
      <c r="D2999">
        <v>7.07</v>
      </c>
      <c r="E2999" t="s">
        <v>16</v>
      </c>
      <c r="F2999" t="s">
        <v>16</v>
      </c>
      <c r="H2999">
        <v>0</v>
      </c>
      <c r="I2999">
        <v>-5.73</v>
      </c>
      <c r="J2999">
        <v>-0.98</v>
      </c>
      <c r="L2999">
        <v>-0.28</v>
      </c>
      <c r="M2999">
        <v>9.28</v>
      </c>
      <c r="N2999">
        <v>0</v>
      </c>
      <c r="O2999">
        <v>1.88</v>
      </c>
    </row>
    <row r="3000" spans="1:15">
      <c r="A3000" t="str">
        <f>"600141"</f>
        <v>600141</v>
      </c>
      <c r="B3000" t="s">
        <v>3038</v>
      </c>
      <c r="C3000">
        <v>2.79</v>
      </c>
      <c r="D3000">
        <v>38.65</v>
      </c>
      <c r="E3000" t="s">
        <v>16</v>
      </c>
      <c r="F3000" t="s">
        <v>16</v>
      </c>
      <c r="H3000">
        <v>0.52</v>
      </c>
      <c r="I3000">
        <v>30.75</v>
      </c>
      <c r="J3000">
        <v>-2.03</v>
      </c>
      <c r="L3000">
        <v>0.64</v>
      </c>
      <c r="M3000">
        <v>3624.32</v>
      </c>
      <c r="N3000">
        <v>0.12</v>
      </c>
      <c r="O3000">
        <v>1.22</v>
      </c>
    </row>
    <row r="3001" spans="1:15">
      <c r="A3001" t="str">
        <f>"600143"</f>
        <v>600143</v>
      </c>
      <c r="B3001" t="s">
        <v>3039</v>
      </c>
      <c r="C3001">
        <v>1.14</v>
      </c>
      <c r="D3001">
        <v>16.79</v>
      </c>
      <c r="E3001" t="s">
        <v>16</v>
      </c>
      <c r="F3001" t="s">
        <v>16</v>
      </c>
      <c r="H3001">
        <v>0.12</v>
      </c>
      <c r="I3001">
        <v>2.88</v>
      </c>
      <c r="J3001">
        <v>-0.42</v>
      </c>
      <c r="L3001">
        <v>1.02</v>
      </c>
      <c r="M3001">
        <v>474.93</v>
      </c>
      <c r="N3001">
        <v>0.01</v>
      </c>
      <c r="O3001">
        <v>4.08</v>
      </c>
    </row>
    <row r="3002" spans="1:15">
      <c r="A3002" t="str">
        <f>"600148"</f>
        <v>600148</v>
      </c>
      <c r="B3002" t="s">
        <v>3040</v>
      </c>
      <c r="C3002">
        <v>-0.82</v>
      </c>
      <c r="D3002">
        <v>15.74</v>
      </c>
      <c r="E3002" t="s">
        <v>16</v>
      </c>
      <c r="F3002" t="s">
        <v>16</v>
      </c>
      <c r="H3002">
        <v>-0.31</v>
      </c>
      <c r="I3002">
        <v>-2.72</v>
      </c>
      <c r="J3002">
        <v>-1.44</v>
      </c>
      <c r="L3002">
        <v>-0.76</v>
      </c>
      <c r="M3002">
        <v>11.5</v>
      </c>
      <c r="N3002">
        <v>0.01</v>
      </c>
      <c r="O3002">
        <v>0.75</v>
      </c>
    </row>
    <row r="3003" spans="1:15">
      <c r="A3003" t="str">
        <f>"600149"</f>
        <v>600149</v>
      </c>
      <c r="B3003" t="s">
        <v>3041</v>
      </c>
      <c r="C3003">
        <v>-1.86</v>
      </c>
      <c r="D3003">
        <v>4.76</v>
      </c>
      <c r="E3003" t="s">
        <v>16</v>
      </c>
      <c r="F3003" t="s">
        <v>16</v>
      </c>
      <c r="H3003">
        <v>-0.41</v>
      </c>
      <c r="I3003">
        <v>-11.69</v>
      </c>
      <c r="J3003">
        <v>-1.86</v>
      </c>
      <c r="L3003">
        <v>-0.62</v>
      </c>
      <c r="M3003">
        <v>39.43</v>
      </c>
      <c r="N3003">
        <v>0.03</v>
      </c>
      <c r="O3003">
        <v>2.05</v>
      </c>
    </row>
    <row r="3004" spans="1:15">
      <c r="A3004" t="str">
        <f>"600150"</f>
        <v>600150</v>
      </c>
      <c r="B3004" t="s">
        <v>3042</v>
      </c>
      <c r="C3004">
        <v>-2.72</v>
      </c>
      <c r="D3004">
        <v>36.14</v>
      </c>
      <c r="E3004" t="s">
        <v>16</v>
      </c>
      <c r="F3004" t="s">
        <v>16</v>
      </c>
      <c r="H3004">
        <v>-0.27</v>
      </c>
      <c r="I3004">
        <v>-2.03</v>
      </c>
      <c r="J3004">
        <v>-3.45</v>
      </c>
      <c r="L3004">
        <v>-0.35</v>
      </c>
      <c r="M3004">
        <v>3830.46</v>
      </c>
      <c r="N3004">
        <v>0.03</v>
      </c>
      <c r="O3004">
        <v>5.15</v>
      </c>
    </row>
    <row r="3005" spans="1:15">
      <c r="A3005" t="str">
        <f>"600151"</f>
        <v>600151</v>
      </c>
      <c r="B3005" t="s">
        <v>3043</v>
      </c>
      <c r="C3005">
        <v>2.21</v>
      </c>
      <c r="D3005">
        <v>12.51</v>
      </c>
      <c r="E3005" t="s">
        <v>16</v>
      </c>
      <c r="F3005" t="s">
        <v>16</v>
      </c>
      <c r="H3005">
        <v>-0.23</v>
      </c>
      <c r="I3005">
        <v>-0.71</v>
      </c>
      <c r="J3005">
        <v>-2.04</v>
      </c>
      <c r="L3005">
        <v>-1.06</v>
      </c>
      <c r="M3005">
        <v>194</v>
      </c>
      <c r="N3005">
        <v>0.02</v>
      </c>
      <c r="O3005">
        <v>2.64</v>
      </c>
    </row>
    <row r="3006" spans="1:15">
      <c r="A3006" t="str">
        <f>"600152"</f>
        <v>600152</v>
      </c>
      <c r="B3006" t="s">
        <v>3044</v>
      </c>
      <c r="C3006">
        <v>-2.08</v>
      </c>
      <c r="D3006">
        <v>10.84</v>
      </c>
      <c r="E3006" t="s">
        <v>16</v>
      </c>
      <c r="F3006" t="s">
        <v>16</v>
      </c>
      <c r="H3006">
        <v>0</v>
      </c>
      <c r="I3006">
        <v>-9.14</v>
      </c>
      <c r="J3006">
        <v>-1.99</v>
      </c>
      <c r="L3006">
        <v>-0.72</v>
      </c>
      <c r="M3006">
        <v>101.22</v>
      </c>
      <c r="N3006">
        <v>0.02</v>
      </c>
      <c r="O3006">
        <v>1.43</v>
      </c>
    </row>
    <row r="3007" spans="1:15">
      <c r="A3007" t="str">
        <f>"600153"</f>
        <v>600153</v>
      </c>
      <c r="B3007" t="s">
        <v>3045</v>
      </c>
      <c r="C3007">
        <v>-1.21</v>
      </c>
      <c r="D3007">
        <v>8.98</v>
      </c>
      <c r="E3007" t="s">
        <v>16</v>
      </c>
      <c r="F3007" t="s">
        <v>16</v>
      </c>
      <c r="H3007">
        <v>0</v>
      </c>
      <c r="I3007">
        <v>-7.42</v>
      </c>
      <c r="J3007">
        <v>-1.86</v>
      </c>
      <c r="L3007">
        <v>0</v>
      </c>
      <c r="M3007">
        <v>30.27</v>
      </c>
      <c r="N3007">
        <v>0</v>
      </c>
      <c r="O3007">
        <v>1.7</v>
      </c>
    </row>
    <row r="3008" spans="1:15">
      <c r="A3008" t="str">
        <f>"600155"</f>
        <v>600155</v>
      </c>
      <c r="B3008" t="s">
        <v>3046</v>
      </c>
      <c r="C3008">
        <v>-3.26</v>
      </c>
      <c r="D3008">
        <v>5.34</v>
      </c>
      <c r="E3008" t="s">
        <v>16</v>
      </c>
      <c r="F3008" t="s">
        <v>16</v>
      </c>
      <c r="H3008">
        <v>0</v>
      </c>
      <c r="I3008">
        <v>-3.09</v>
      </c>
      <c r="J3008">
        <v>-3.26</v>
      </c>
      <c r="L3008">
        <v>-0.18</v>
      </c>
      <c r="M3008">
        <v>9.92</v>
      </c>
      <c r="N3008">
        <v>0</v>
      </c>
      <c r="O3008">
        <v>0.1</v>
      </c>
    </row>
    <row r="3009" spans="1:15">
      <c r="A3009" t="str">
        <f>"600156"</f>
        <v>600156</v>
      </c>
      <c r="B3009" t="s">
        <v>3047</v>
      </c>
      <c r="C3009">
        <v>-1.74</v>
      </c>
      <c r="D3009">
        <v>9.01</v>
      </c>
      <c r="E3009" t="s">
        <v>16</v>
      </c>
      <c r="F3009" t="s">
        <v>16</v>
      </c>
      <c r="H3009">
        <v>0</v>
      </c>
      <c r="I3009">
        <v>-6.73</v>
      </c>
      <c r="J3009">
        <v>-1.31</v>
      </c>
      <c r="L3009">
        <v>-0.65</v>
      </c>
      <c r="M3009">
        <v>46.37</v>
      </c>
      <c r="N3009">
        <v>0.02</v>
      </c>
      <c r="O3009">
        <v>0.77</v>
      </c>
    </row>
    <row r="3010" spans="1:15">
      <c r="A3010" t="str">
        <f>"600157"</f>
        <v>600157</v>
      </c>
      <c r="B3010" t="s">
        <v>3048</v>
      </c>
      <c r="C3010">
        <v>-1.8</v>
      </c>
      <c r="D3010">
        <v>1.64</v>
      </c>
      <c r="E3010" t="s">
        <v>16</v>
      </c>
      <c r="F3010" t="s">
        <v>16</v>
      </c>
      <c r="H3010">
        <v>-0.6</v>
      </c>
      <c r="I3010">
        <v>-10.87</v>
      </c>
      <c r="J3010">
        <v>-1.8</v>
      </c>
      <c r="L3010">
        <v>-0.6</v>
      </c>
      <c r="M3010">
        <v>278.15</v>
      </c>
      <c r="N3010">
        <v>0.01</v>
      </c>
      <c r="O3010">
        <v>2.81</v>
      </c>
    </row>
    <row r="3011" spans="1:15">
      <c r="A3011" t="str">
        <f>"600158"</f>
        <v>600158</v>
      </c>
      <c r="B3011" t="s">
        <v>3049</v>
      </c>
      <c r="C3011">
        <v>-2.31</v>
      </c>
      <c r="D3011">
        <v>7.61</v>
      </c>
      <c r="E3011" t="s">
        <v>16</v>
      </c>
      <c r="F3011" t="s">
        <v>16</v>
      </c>
      <c r="H3011">
        <v>0</v>
      </c>
      <c r="I3011">
        <v>-21.14</v>
      </c>
      <c r="J3011">
        <v>-2.93</v>
      </c>
      <c r="L3011">
        <v>0.13</v>
      </c>
      <c r="M3011">
        <v>362.7</v>
      </c>
      <c r="N3011">
        <v>0.07</v>
      </c>
      <c r="O3011">
        <v>1.6</v>
      </c>
    </row>
    <row r="3012" spans="1:15">
      <c r="A3012" t="str">
        <f>"600159"</f>
        <v>600159</v>
      </c>
      <c r="B3012" t="s">
        <v>3050</v>
      </c>
      <c r="C3012">
        <v>-0.83</v>
      </c>
      <c r="D3012">
        <v>2.4</v>
      </c>
      <c r="E3012" t="s">
        <v>16</v>
      </c>
      <c r="F3012" t="s">
        <v>16</v>
      </c>
      <c r="H3012">
        <v>0.42</v>
      </c>
      <c r="I3012">
        <v>-9.77</v>
      </c>
      <c r="J3012">
        <v>-1.23</v>
      </c>
      <c r="L3012">
        <v>0</v>
      </c>
      <c r="M3012">
        <v>17.91</v>
      </c>
      <c r="N3012">
        <v>0.02</v>
      </c>
      <c r="O3012">
        <v>0.62</v>
      </c>
    </row>
    <row r="3013" spans="1:15">
      <c r="A3013" t="str">
        <f>"600160"</f>
        <v>600160</v>
      </c>
      <c r="B3013" t="s">
        <v>3051</v>
      </c>
      <c r="C3013">
        <v>-7.51</v>
      </c>
      <c r="D3013">
        <v>44.12</v>
      </c>
      <c r="E3013" t="s">
        <v>16</v>
      </c>
      <c r="F3013" t="s">
        <v>16</v>
      </c>
      <c r="H3013">
        <v>-0.06</v>
      </c>
      <c r="I3013">
        <v>16.53</v>
      </c>
      <c r="J3013">
        <v>-6.47</v>
      </c>
      <c r="L3013">
        <v>-1.11</v>
      </c>
      <c r="M3013">
        <v>2616.05</v>
      </c>
      <c r="N3013">
        <v>0.04</v>
      </c>
      <c r="O3013">
        <v>0.55</v>
      </c>
    </row>
    <row r="3014" spans="1:15">
      <c r="A3014" t="str">
        <f>"600161"</f>
        <v>600161</v>
      </c>
      <c r="B3014" t="s">
        <v>3052</v>
      </c>
      <c r="C3014">
        <v>-0.08</v>
      </c>
      <c r="D3014">
        <v>12.31</v>
      </c>
      <c r="E3014" t="s">
        <v>16</v>
      </c>
      <c r="F3014" t="s">
        <v>16</v>
      </c>
      <c r="H3014">
        <v>-0.23</v>
      </c>
      <c r="I3014">
        <v>-4.43</v>
      </c>
      <c r="J3014">
        <v>-1.91</v>
      </c>
      <c r="L3014">
        <v>-0.16</v>
      </c>
      <c r="M3014">
        <v>77.12</v>
      </c>
      <c r="N3014">
        <v>0.01</v>
      </c>
      <c r="O3014">
        <v>1.97</v>
      </c>
    </row>
    <row r="3015" spans="1:15">
      <c r="A3015" t="str">
        <f>"600162"</f>
        <v>600162</v>
      </c>
      <c r="B3015" t="s">
        <v>3053</v>
      </c>
      <c r="C3015">
        <v>10.15</v>
      </c>
      <c r="D3015">
        <v>3.58</v>
      </c>
      <c r="E3015">
        <v>4611</v>
      </c>
      <c r="F3015">
        <v>1</v>
      </c>
      <c r="H3015">
        <v>0</v>
      </c>
      <c r="I3015">
        <v>4.68</v>
      </c>
      <c r="J3015">
        <v>0</v>
      </c>
      <c r="K3015" t="s">
        <v>140</v>
      </c>
      <c r="L3015">
        <v>1.54</v>
      </c>
      <c r="M3015">
        <v>1608.45</v>
      </c>
      <c r="N3015">
        <v>0.46</v>
      </c>
      <c r="O3015">
        <v>2.29</v>
      </c>
    </row>
    <row r="3016" spans="1:15">
      <c r="A3016" t="str">
        <f>"600163"</f>
        <v>600163</v>
      </c>
      <c r="B3016" t="s">
        <v>3054</v>
      </c>
      <c r="C3016">
        <v>-3.76</v>
      </c>
      <c r="D3016">
        <v>5.63</v>
      </c>
      <c r="E3016" t="s">
        <v>16</v>
      </c>
      <c r="F3016" t="s">
        <v>16</v>
      </c>
      <c r="H3016">
        <v>-0.17</v>
      </c>
      <c r="I3016">
        <v>-19.91</v>
      </c>
      <c r="J3016">
        <v>-3.43</v>
      </c>
      <c r="L3016">
        <v>-0.51</v>
      </c>
      <c r="M3016">
        <v>32.42</v>
      </c>
      <c r="N3016">
        <v>0.01</v>
      </c>
      <c r="O3016">
        <v>0.4</v>
      </c>
    </row>
    <row r="3017" spans="1:15">
      <c r="A3017" t="str">
        <f>"600165"</f>
        <v>600165</v>
      </c>
      <c r="B3017" t="s">
        <v>3055</v>
      </c>
      <c r="C3017">
        <v>-1.47</v>
      </c>
      <c r="D3017">
        <v>2.69</v>
      </c>
      <c r="E3017" t="s">
        <v>16</v>
      </c>
      <c r="F3017" t="s">
        <v>16</v>
      </c>
      <c r="H3017">
        <v>0.37</v>
      </c>
      <c r="I3017">
        <v>-7.56</v>
      </c>
      <c r="J3017">
        <v>-2.18</v>
      </c>
      <c r="L3017">
        <v>-1.1</v>
      </c>
      <c r="M3017">
        <v>0</v>
      </c>
      <c r="N3017">
        <v>0</v>
      </c>
      <c r="O3017">
        <v>0</v>
      </c>
    </row>
    <row r="3018" spans="1:15">
      <c r="A3018" t="str">
        <f>"600166"</f>
        <v>600166</v>
      </c>
      <c r="B3018" t="s">
        <v>3056</v>
      </c>
      <c r="C3018">
        <v>-2.17</v>
      </c>
      <c r="D3018">
        <v>3.15</v>
      </c>
      <c r="E3018" t="s">
        <v>16</v>
      </c>
      <c r="F3018" t="s">
        <v>16</v>
      </c>
      <c r="H3018">
        <v>0</v>
      </c>
      <c r="I3018">
        <v>3.28</v>
      </c>
      <c r="J3018">
        <v>-1.56</v>
      </c>
      <c r="L3018">
        <v>-0.93</v>
      </c>
      <c r="M3018">
        <v>228.69</v>
      </c>
      <c r="N3018">
        <v>0.02</v>
      </c>
      <c r="O3018">
        <v>0.98</v>
      </c>
    </row>
    <row r="3019" spans="1:15">
      <c r="A3019" t="str">
        <f>"600167"</f>
        <v>600167</v>
      </c>
      <c r="B3019" t="s">
        <v>3057</v>
      </c>
      <c r="C3019">
        <v>-3.4</v>
      </c>
      <c r="D3019">
        <v>5.68</v>
      </c>
      <c r="E3019" t="s">
        <v>16</v>
      </c>
      <c r="F3019" t="s">
        <v>16</v>
      </c>
      <c r="H3019">
        <v>-0.17</v>
      </c>
      <c r="I3019">
        <v>-15.22</v>
      </c>
      <c r="J3019">
        <v>-3.24</v>
      </c>
      <c r="L3019">
        <v>-0.68</v>
      </c>
      <c r="M3019">
        <v>71.6</v>
      </c>
      <c r="N3019">
        <v>0.02</v>
      </c>
      <c r="O3019">
        <v>3.69</v>
      </c>
    </row>
    <row r="3020" spans="1:15">
      <c r="A3020" t="str">
        <f>"600168"</f>
        <v>600168</v>
      </c>
      <c r="B3020" t="s">
        <v>3058</v>
      </c>
      <c r="C3020">
        <v>-1.61</v>
      </c>
      <c r="D3020">
        <v>4.28</v>
      </c>
      <c r="E3020" t="s">
        <v>16</v>
      </c>
      <c r="F3020" t="s">
        <v>16</v>
      </c>
      <c r="H3020">
        <v>0</v>
      </c>
      <c r="I3020">
        <v>-5.73</v>
      </c>
      <c r="J3020">
        <v>-1.38</v>
      </c>
      <c r="L3020">
        <v>-0.23</v>
      </c>
      <c r="M3020">
        <v>3.12</v>
      </c>
      <c r="N3020">
        <v>0</v>
      </c>
      <c r="O3020">
        <v>0.13</v>
      </c>
    </row>
    <row r="3021" spans="1:15">
      <c r="A3021" t="str">
        <f>"600169"</f>
        <v>600169</v>
      </c>
      <c r="B3021" t="s">
        <v>3059</v>
      </c>
      <c r="C3021">
        <v>-3.64</v>
      </c>
      <c r="D3021">
        <v>2.12</v>
      </c>
      <c r="E3021" t="s">
        <v>16</v>
      </c>
      <c r="F3021" t="s">
        <v>16</v>
      </c>
      <c r="H3021">
        <v>-0.46</v>
      </c>
      <c r="I3021">
        <v>-5.78</v>
      </c>
      <c r="J3021">
        <v>-3.64</v>
      </c>
      <c r="L3021">
        <v>0</v>
      </c>
      <c r="M3021">
        <v>7.28</v>
      </c>
      <c r="N3021">
        <v>0</v>
      </c>
      <c r="O3021">
        <v>1.27</v>
      </c>
    </row>
    <row r="3022" spans="1:15">
      <c r="A3022" t="str">
        <f>"600170"</f>
        <v>600170</v>
      </c>
      <c r="B3022" t="s">
        <v>3060</v>
      </c>
      <c r="C3022">
        <v>-1.65</v>
      </c>
      <c r="D3022">
        <v>2.38</v>
      </c>
      <c r="E3022" t="s">
        <v>16</v>
      </c>
      <c r="F3022" t="s">
        <v>16</v>
      </c>
      <c r="H3022">
        <v>0.42</v>
      </c>
      <c r="I3022">
        <v>-4.03</v>
      </c>
      <c r="J3022">
        <v>-1.24</v>
      </c>
      <c r="L3022">
        <v>-0.83</v>
      </c>
      <c r="M3022">
        <v>280.72</v>
      </c>
      <c r="N3022">
        <v>0.02</v>
      </c>
      <c r="O3022">
        <v>2.47</v>
      </c>
    </row>
    <row r="3023" spans="1:15">
      <c r="A3023" t="str">
        <f>"600171"</f>
        <v>600171</v>
      </c>
      <c r="B3023" t="s">
        <v>3061</v>
      </c>
      <c r="C3023">
        <v>0.43</v>
      </c>
      <c r="D3023">
        <v>28.09</v>
      </c>
      <c r="E3023" t="s">
        <v>16</v>
      </c>
      <c r="F3023" t="s">
        <v>16</v>
      </c>
      <c r="H3023">
        <v>-0.03</v>
      </c>
      <c r="I3023">
        <v>-1.54</v>
      </c>
      <c r="J3023">
        <v>-0.43</v>
      </c>
      <c r="L3023">
        <v>0.11</v>
      </c>
      <c r="M3023">
        <v>226.24</v>
      </c>
      <c r="N3023">
        <v>0.02</v>
      </c>
      <c r="O3023">
        <v>0.77</v>
      </c>
    </row>
    <row r="3024" spans="1:15">
      <c r="A3024" t="str">
        <f>"600172"</f>
        <v>600172</v>
      </c>
      <c r="B3024" t="s">
        <v>3062</v>
      </c>
      <c r="C3024">
        <v>5.34</v>
      </c>
      <c r="D3024">
        <v>14.01</v>
      </c>
      <c r="E3024" t="s">
        <v>16</v>
      </c>
      <c r="F3024" t="s">
        <v>16</v>
      </c>
      <c r="H3024">
        <v>-0.06</v>
      </c>
      <c r="I3024">
        <v>-3.25</v>
      </c>
      <c r="J3024">
        <v>-4.24</v>
      </c>
      <c r="L3024">
        <v>3.76</v>
      </c>
      <c r="M3024">
        <v>3011.3</v>
      </c>
      <c r="N3024">
        <v>0.23</v>
      </c>
      <c r="O3024">
        <v>1.1</v>
      </c>
    </row>
    <row r="3025" spans="1:15">
      <c r="A3025" t="str">
        <f>"600173"</f>
        <v>600173</v>
      </c>
      <c r="B3025" t="s">
        <v>3063</v>
      </c>
      <c r="C3025">
        <v>-1.54</v>
      </c>
      <c r="D3025">
        <v>6.39</v>
      </c>
      <c r="E3025" t="s">
        <v>16</v>
      </c>
      <c r="F3025" t="s">
        <v>16</v>
      </c>
      <c r="H3025">
        <v>0</v>
      </c>
      <c r="I3025">
        <v>-9.49</v>
      </c>
      <c r="J3025">
        <v>-1.84</v>
      </c>
      <c r="L3025">
        <v>0</v>
      </c>
      <c r="M3025">
        <v>3.31</v>
      </c>
      <c r="N3025">
        <v>0</v>
      </c>
      <c r="O3025">
        <v>0.18</v>
      </c>
    </row>
    <row r="3026" spans="1:15">
      <c r="A3026" t="str">
        <f>"600176"</f>
        <v>600176</v>
      </c>
      <c r="B3026" t="s">
        <v>3064</v>
      </c>
      <c r="C3026">
        <v>-2.01</v>
      </c>
      <c r="D3026">
        <v>53.5</v>
      </c>
      <c r="E3026" t="s">
        <v>16</v>
      </c>
      <c r="F3026" t="s">
        <v>16</v>
      </c>
      <c r="H3026">
        <v>-0.33</v>
      </c>
      <c r="I3026">
        <v>39.36</v>
      </c>
      <c r="J3026">
        <v>-2.71</v>
      </c>
      <c r="K3026" t="s">
        <v>38</v>
      </c>
      <c r="L3026">
        <v>-2.93</v>
      </c>
      <c r="M3026">
        <v>46866.51</v>
      </c>
      <c r="N3026">
        <v>0.42</v>
      </c>
      <c r="O3026">
        <v>3.78</v>
      </c>
    </row>
    <row r="3027" spans="1:15">
      <c r="A3027" t="str">
        <f>"600177"</f>
        <v>600177</v>
      </c>
      <c r="B3027" t="s">
        <v>3065</v>
      </c>
      <c r="C3027">
        <v>-0.54</v>
      </c>
      <c r="D3027">
        <v>7.35</v>
      </c>
      <c r="E3027" t="s">
        <v>16</v>
      </c>
      <c r="F3027" t="s">
        <v>16</v>
      </c>
      <c r="H3027">
        <v>-0.13</v>
      </c>
      <c r="I3027">
        <v>3.09</v>
      </c>
      <c r="J3027">
        <v>-1.08</v>
      </c>
      <c r="L3027">
        <v>0.14</v>
      </c>
      <c r="M3027">
        <v>25.01</v>
      </c>
      <c r="N3027">
        <v>0</v>
      </c>
      <c r="O3027">
        <v>0.81</v>
      </c>
    </row>
    <row r="3028" spans="1:15">
      <c r="A3028" t="str">
        <f>"600178"</f>
        <v>600178</v>
      </c>
      <c r="B3028" t="s">
        <v>3066</v>
      </c>
      <c r="C3028">
        <v>-4.73</v>
      </c>
      <c r="D3028">
        <v>9.07</v>
      </c>
      <c r="E3028" t="s">
        <v>16</v>
      </c>
      <c r="F3028" t="s">
        <v>16</v>
      </c>
      <c r="H3028">
        <v>0.11</v>
      </c>
      <c r="I3028">
        <v>3.42</v>
      </c>
      <c r="J3028">
        <v>-6.01</v>
      </c>
      <c r="L3028">
        <v>-0.95</v>
      </c>
      <c r="M3028">
        <v>86.47</v>
      </c>
      <c r="N3028">
        <v>0.04</v>
      </c>
      <c r="O3028">
        <v>0.98</v>
      </c>
    </row>
    <row r="3029" spans="1:15">
      <c r="A3029" t="str">
        <f>"600179"</f>
        <v>600179</v>
      </c>
      <c r="B3029" t="s">
        <v>3067</v>
      </c>
      <c r="C3029">
        <v>-1.91</v>
      </c>
      <c r="D3029">
        <v>4.63</v>
      </c>
      <c r="E3029" t="s">
        <v>16</v>
      </c>
      <c r="F3029" t="s">
        <v>16</v>
      </c>
      <c r="H3029">
        <v>-0.21</v>
      </c>
      <c r="I3029">
        <v>0.87</v>
      </c>
      <c r="J3029">
        <v>-2.32</v>
      </c>
      <c r="L3029">
        <v>-1.27</v>
      </c>
      <c r="M3029">
        <v>134.53</v>
      </c>
      <c r="N3029">
        <v>0.01</v>
      </c>
      <c r="O3029">
        <v>2.04</v>
      </c>
    </row>
    <row r="3030" spans="1:15">
      <c r="A3030" t="str">
        <f>"600180"</f>
        <v>600180</v>
      </c>
      <c r="B3030" t="s">
        <v>3068</v>
      </c>
      <c r="C3030">
        <v>-4.65</v>
      </c>
      <c r="D3030">
        <v>1.23</v>
      </c>
      <c r="E3030">
        <v>658.12</v>
      </c>
      <c r="F3030" t="s">
        <v>16</v>
      </c>
      <c r="H3030">
        <v>0</v>
      </c>
      <c r="I3030">
        <v>-24.54</v>
      </c>
      <c r="J3030">
        <v>-3.91</v>
      </c>
      <c r="K3030" t="s">
        <v>26</v>
      </c>
      <c r="L3030">
        <v>-2.33</v>
      </c>
      <c r="M3030">
        <v>162.54</v>
      </c>
      <c r="N3030">
        <v>0.32</v>
      </c>
      <c r="O3030">
        <v>0.57</v>
      </c>
    </row>
    <row r="3031" spans="1:15">
      <c r="A3031" t="str">
        <f>"600182"</f>
        <v>600182</v>
      </c>
      <c r="B3031" t="s">
        <v>3069</v>
      </c>
      <c r="C3031">
        <v>-0.07</v>
      </c>
      <c r="D3031">
        <v>14.2</v>
      </c>
      <c r="E3031" t="s">
        <v>16</v>
      </c>
      <c r="F3031" t="s">
        <v>16</v>
      </c>
      <c r="H3031">
        <v>-0.06</v>
      </c>
      <c r="I3031">
        <v>3.57</v>
      </c>
      <c r="J3031">
        <v>-0.35</v>
      </c>
      <c r="L3031">
        <v>0</v>
      </c>
      <c r="M3031">
        <v>81.57</v>
      </c>
      <c r="N3031">
        <v>0.03</v>
      </c>
      <c r="O3031">
        <v>17.94</v>
      </c>
    </row>
    <row r="3032" spans="1:15">
      <c r="A3032" t="str">
        <f>"600183"</f>
        <v>600183</v>
      </c>
      <c r="B3032" t="s">
        <v>3070</v>
      </c>
      <c r="C3032">
        <v>2.06</v>
      </c>
      <c r="D3032">
        <v>183.87</v>
      </c>
      <c r="E3032" t="s">
        <v>16</v>
      </c>
      <c r="F3032" t="s">
        <v>16</v>
      </c>
      <c r="H3032">
        <v>-0.01</v>
      </c>
      <c r="I3032">
        <v>28.44</v>
      </c>
      <c r="J3032">
        <v>-1.86</v>
      </c>
      <c r="K3032" t="s">
        <v>211</v>
      </c>
      <c r="L3032">
        <v>-0.92</v>
      </c>
      <c r="M3032">
        <v>24538.06</v>
      </c>
      <c r="N3032">
        <v>0.11</v>
      </c>
      <c r="O3032">
        <v>0.9</v>
      </c>
    </row>
    <row r="3033" spans="1:15">
      <c r="A3033" t="str">
        <f>"600184"</f>
        <v>600184</v>
      </c>
      <c r="B3033" t="s">
        <v>3071</v>
      </c>
      <c r="C3033">
        <v>5.81</v>
      </c>
      <c r="D3033">
        <v>28.22</v>
      </c>
      <c r="E3033" t="s">
        <v>16</v>
      </c>
      <c r="F3033" t="s">
        <v>16</v>
      </c>
      <c r="H3033">
        <v>-0.27</v>
      </c>
      <c r="I3033">
        <v>4.06</v>
      </c>
      <c r="J3033">
        <v>-0.95</v>
      </c>
      <c r="L3033">
        <v>-0.15</v>
      </c>
      <c r="M3033">
        <v>235.94</v>
      </c>
      <c r="N3033">
        <v>0.03</v>
      </c>
      <c r="O3033">
        <v>0.51</v>
      </c>
    </row>
    <row r="3034" spans="1:15">
      <c r="A3034" t="str">
        <f>"600185"</f>
        <v>600185</v>
      </c>
      <c r="B3034" t="s">
        <v>3072</v>
      </c>
      <c r="C3034">
        <v>-0.41</v>
      </c>
      <c r="D3034">
        <v>4.84</v>
      </c>
      <c r="E3034" t="s">
        <v>16</v>
      </c>
      <c r="F3034" t="s">
        <v>16</v>
      </c>
      <c r="H3034">
        <v>-0.2</v>
      </c>
      <c r="I3034">
        <v>-6.74</v>
      </c>
      <c r="J3034">
        <v>-1.43</v>
      </c>
      <c r="L3034">
        <v>-0.21</v>
      </c>
      <c r="M3034">
        <v>29.59</v>
      </c>
      <c r="N3034">
        <v>0.01</v>
      </c>
      <c r="O3034">
        <v>2.11</v>
      </c>
    </row>
    <row r="3035" spans="1:15">
      <c r="A3035" t="str">
        <f>"600186"</f>
        <v>600186</v>
      </c>
      <c r="B3035" t="s">
        <v>3073</v>
      </c>
      <c r="C3035">
        <v>-2.59</v>
      </c>
      <c r="D3035">
        <v>14.28</v>
      </c>
      <c r="E3035" t="s">
        <v>16</v>
      </c>
      <c r="F3035" t="s">
        <v>16</v>
      </c>
      <c r="H3035">
        <v>-0.27</v>
      </c>
      <c r="I3035">
        <v>50.79</v>
      </c>
      <c r="J3035">
        <v>-7.87</v>
      </c>
      <c r="K3035" t="s">
        <v>233</v>
      </c>
      <c r="L3035">
        <v>1.57</v>
      </c>
      <c r="M3035">
        <v>11260.74</v>
      </c>
      <c r="N3035">
        <v>0.53</v>
      </c>
      <c r="O3035">
        <v>1.19</v>
      </c>
    </row>
    <row r="3036" spans="1:15">
      <c r="A3036" t="str">
        <f>"600187"</f>
        <v>600187</v>
      </c>
      <c r="B3036" t="s">
        <v>3074</v>
      </c>
      <c r="C3036">
        <v>-3.57</v>
      </c>
      <c r="D3036">
        <v>1.35</v>
      </c>
      <c r="E3036" t="s">
        <v>16</v>
      </c>
      <c r="F3036" t="s">
        <v>16</v>
      </c>
      <c r="H3036">
        <v>-0.73</v>
      </c>
      <c r="I3036">
        <v>-13.46</v>
      </c>
      <c r="J3036">
        <v>-3.57</v>
      </c>
      <c r="L3036">
        <v>0</v>
      </c>
      <c r="M3036">
        <v>116.09</v>
      </c>
      <c r="N3036">
        <v>0.07</v>
      </c>
      <c r="O3036">
        <v>0.22</v>
      </c>
    </row>
    <row r="3037" spans="1:15">
      <c r="A3037" t="str">
        <f>"600188"</f>
        <v>600188</v>
      </c>
      <c r="B3037" t="s">
        <v>3075</v>
      </c>
      <c r="C3037">
        <v>-3.34</v>
      </c>
      <c r="D3037">
        <v>19.38</v>
      </c>
      <c r="E3037" t="s">
        <v>16</v>
      </c>
      <c r="F3037" t="s">
        <v>16</v>
      </c>
      <c r="H3037">
        <v>-0.04</v>
      </c>
      <c r="I3037">
        <v>-28.93</v>
      </c>
      <c r="J3037">
        <v>-2.95</v>
      </c>
      <c r="L3037">
        <v>-1.25</v>
      </c>
      <c r="M3037">
        <v>477.97</v>
      </c>
      <c r="N3037">
        <v>0.02</v>
      </c>
      <c r="O3037">
        <v>1.02</v>
      </c>
    </row>
    <row r="3038" spans="1:15">
      <c r="A3038" t="str">
        <f>"600189"</f>
        <v>600189</v>
      </c>
      <c r="B3038" t="s">
        <v>3076</v>
      </c>
      <c r="C3038">
        <v>-1.29</v>
      </c>
      <c r="D3038">
        <v>7.65</v>
      </c>
      <c r="E3038" t="s">
        <v>16</v>
      </c>
      <c r="F3038" t="s">
        <v>16</v>
      </c>
      <c r="H3038">
        <v>0</v>
      </c>
      <c r="I3038">
        <v>-0.26</v>
      </c>
      <c r="J3038">
        <v>-2.3</v>
      </c>
      <c r="L3038">
        <v>-0.65</v>
      </c>
      <c r="M3038">
        <v>7.55</v>
      </c>
      <c r="N3038">
        <v>0</v>
      </c>
      <c r="O3038">
        <v>0.85</v>
      </c>
    </row>
    <row r="3039" spans="1:15">
      <c r="A3039" t="str">
        <f>"600191"</f>
        <v>600191</v>
      </c>
      <c r="B3039" t="s">
        <v>3077</v>
      </c>
      <c r="C3039">
        <v>2.38</v>
      </c>
      <c r="D3039">
        <v>11.6</v>
      </c>
      <c r="E3039" t="s">
        <v>16</v>
      </c>
      <c r="F3039" t="s">
        <v>16</v>
      </c>
      <c r="H3039">
        <v>-0.33</v>
      </c>
      <c r="I3039">
        <v>8.11</v>
      </c>
      <c r="J3039">
        <v>-1.02</v>
      </c>
      <c r="L3039">
        <v>-0.26</v>
      </c>
      <c r="M3039">
        <v>4.86</v>
      </c>
      <c r="N3039">
        <v>0</v>
      </c>
      <c r="O3039">
        <v>0.44</v>
      </c>
    </row>
    <row r="3040" spans="1:15">
      <c r="A3040" t="str">
        <f>"600192"</f>
        <v>600192</v>
      </c>
      <c r="B3040" t="s">
        <v>3078</v>
      </c>
      <c r="C3040">
        <v>-6.95</v>
      </c>
      <c r="D3040">
        <v>7.77</v>
      </c>
      <c r="E3040" t="s">
        <v>16</v>
      </c>
      <c r="F3040" t="s">
        <v>16</v>
      </c>
      <c r="H3040">
        <v>-0.37</v>
      </c>
      <c r="I3040">
        <v>8.82</v>
      </c>
      <c r="J3040">
        <v>-6.61</v>
      </c>
      <c r="K3040" t="s">
        <v>233</v>
      </c>
      <c r="L3040">
        <v>-2.04</v>
      </c>
      <c r="M3040">
        <v>1493.01</v>
      </c>
      <c r="N3040">
        <v>0.68</v>
      </c>
      <c r="O3040">
        <v>3.18</v>
      </c>
    </row>
    <row r="3041" spans="1:15">
      <c r="A3041" t="str">
        <f>"600195"</f>
        <v>600195</v>
      </c>
      <c r="B3041" t="s">
        <v>3079</v>
      </c>
      <c r="C3041">
        <v>-1.09</v>
      </c>
      <c r="D3041">
        <v>6.36</v>
      </c>
      <c r="E3041" t="s">
        <v>16</v>
      </c>
      <c r="F3041" t="s">
        <v>16</v>
      </c>
      <c r="H3041">
        <v>-0.3</v>
      </c>
      <c r="I3041">
        <v>-3.34</v>
      </c>
      <c r="J3041">
        <v>-2</v>
      </c>
      <c r="L3041">
        <v>-0.31</v>
      </c>
      <c r="M3041">
        <v>3.72</v>
      </c>
      <c r="N3041">
        <v>0</v>
      </c>
      <c r="O3041">
        <v>2</v>
      </c>
    </row>
    <row r="3042" spans="1:15">
      <c r="A3042" t="str">
        <f>"600196"</f>
        <v>600196</v>
      </c>
      <c r="B3042" t="s">
        <v>3080</v>
      </c>
      <c r="C3042">
        <v>0.97</v>
      </c>
      <c r="D3042">
        <v>21.79</v>
      </c>
      <c r="E3042" t="s">
        <v>16</v>
      </c>
      <c r="F3042" t="s">
        <v>16</v>
      </c>
      <c r="H3042">
        <v>-0.22</v>
      </c>
      <c r="I3042">
        <v>-0.14</v>
      </c>
      <c r="J3042">
        <v>-1.31</v>
      </c>
      <c r="L3042">
        <v>-0.23</v>
      </c>
      <c r="M3042">
        <v>116.05</v>
      </c>
      <c r="N3042">
        <v>0</v>
      </c>
      <c r="O3042">
        <v>0.59</v>
      </c>
    </row>
    <row r="3043" spans="1:15">
      <c r="A3043" t="str">
        <f>"600197"</f>
        <v>600197</v>
      </c>
      <c r="B3043" t="s">
        <v>3081</v>
      </c>
      <c r="C3043">
        <v>0.4</v>
      </c>
      <c r="D3043">
        <v>10.07</v>
      </c>
      <c r="E3043" t="s">
        <v>16</v>
      </c>
      <c r="F3043" t="s">
        <v>16</v>
      </c>
      <c r="H3043">
        <v>-0.09</v>
      </c>
      <c r="I3043">
        <v>-10.49</v>
      </c>
      <c r="J3043">
        <v>-0.49</v>
      </c>
      <c r="L3043">
        <v>-0.4</v>
      </c>
      <c r="M3043">
        <v>21.98</v>
      </c>
      <c r="N3043">
        <v>0.01</v>
      </c>
      <c r="O3043">
        <v>0.24</v>
      </c>
    </row>
    <row r="3044" spans="1:15">
      <c r="A3044" t="str">
        <f>"600198"</f>
        <v>600198</v>
      </c>
      <c r="B3044" t="s">
        <v>3082</v>
      </c>
      <c r="C3044">
        <v>-2.7</v>
      </c>
      <c r="D3044">
        <v>9.01</v>
      </c>
      <c r="E3044" t="s">
        <v>16</v>
      </c>
      <c r="F3044" t="s">
        <v>16</v>
      </c>
      <c r="H3044">
        <v>-0.21</v>
      </c>
      <c r="I3044">
        <v>-2.59</v>
      </c>
      <c r="J3044">
        <v>-3.64</v>
      </c>
      <c r="L3044">
        <v>-1.73</v>
      </c>
      <c r="M3044">
        <v>463.01</v>
      </c>
      <c r="N3044">
        <v>0.08</v>
      </c>
      <c r="O3044">
        <v>0.86</v>
      </c>
    </row>
    <row r="3045" spans="1:15">
      <c r="A3045" t="str">
        <f>"600199"</f>
        <v>600199</v>
      </c>
      <c r="B3045" t="s">
        <v>3083</v>
      </c>
      <c r="C3045">
        <v>2.91</v>
      </c>
      <c r="D3045">
        <v>6.72</v>
      </c>
      <c r="E3045" t="s">
        <v>16</v>
      </c>
      <c r="F3045" t="s">
        <v>16</v>
      </c>
      <c r="H3045">
        <v>-0.29</v>
      </c>
      <c r="I3045">
        <v>-9.92</v>
      </c>
      <c r="J3045">
        <v>-2.61</v>
      </c>
      <c r="L3045">
        <v>-1.38</v>
      </c>
      <c r="M3045">
        <v>44.18</v>
      </c>
      <c r="N3045">
        <v>0.01</v>
      </c>
      <c r="O3045">
        <v>3.04</v>
      </c>
    </row>
    <row r="3046" spans="1:15">
      <c r="A3046" t="str">
        <f>"600201"</f>
        <v>600201</v>
      </c>
      <c r="B3046" t="s">
        <v>3084</v>
      </c>
      <c r="C3046">
        <v>-1.09</v>
      </c>
      <c r="D3046">
        <v>11.77</v>
      </c>
      <c r="E3046" t="s">
        <v>16</v>
      </c>
      <c r="F3046" t="s">
        <v>16</v>
      </c>
      <c r="H3046">
        <v>-0.07</v>
      </c>
      <c r="I3046">
        <v>3.25</v>
      </c>
      <c r="J3046">
        <v>-1.92</v>
      </c>
      <c r="L3046">
        <v>0</v>
      </c>
      <c r="M3046">
        <v>38.32</v>
      </c>
      <c r="N3046">
        <v>0</v>
      </c>
      <c r="O3046">
        <v>0.65</v>
      </c>
    </row>
    <row r="3047" spans="1:15">
      <c r="A3047" t="str">
        <f>"600202"</f>
        <v>600202</v>
      </c>
      <c r="B3047" t="s">
        <v>3085</v>
      </c>
      <c r="C3047">
        <v>0.21</v>
      </c>
      <c r="D3047">
        <v>4.83</v>
      </c>
      <c r="E3047" t="s">
        <v>16</v>
      </c>
      <c r="F3047" t="s">
        <v>16</v>
      </c>
      <c r="H3047">
        <v>-0.2</v>
      </c>
      <c r="I3047">
        <v>-8</v>
      </c>
      <c r="J3047">
        <v>-1.02</v>
      </c>
      <c r="L3047">
        <v>-0.41</v>
      </c>
      <c r="M3047">
        <v>5.57</v>
      </c>
      <c r="N3047">
        <v>0</v>
      </c>
      <c r="O3047">
        <v>0.86</v>
      </c>
    </row>
    <row r="3048" spans="1:15">
      <c r="A3048" t="str">
        <f>"600203"</f>
        <v>600203</v>
      </c>
      <c r="B3048" t="s">
        <v>3086</v>
      </c>
      <c r="C3048">
        <v>-1.35</v>
      </c>
      <c r="D3048">
        <v>12.46</v>
      </c>
      <c r="E3048" t="s">
        <v>16</v>
      </c>
      <c r="F3048" t="s">
        <v>16</v>
      </c>
      <c r="H3048">
        <v>-0.15</v>
      </c>
      <c r="I3048">
        <v>0.08</v>
      </c>
      <c r="J3048">
        <v>-1.5</v>
      </c>
      <c r="L3048">
        <v>-0.63</v>
      </c>
      <c r="M3048">
        <v>178.84</v>
      </c>
      <c r="N3048">
        <v>0.03</v>
      </c>
      <c r="O3048">
        <v>0.34</v>
      </c>
    </row>
    <row r="3049" spans="1:15">
      <c r="A3049" t="str">
        <f>"600206"</f>
        <v>600206</v>
      </c>
      <c r="B3049" t="s">
        <v>3087</v>
      </c>
      <c r="C3049">
        <v>6.84</v>
      </c>
      <c r="D3049">
        <v>42.51</v>
      </c>
      <c r="E3049" t="s">
        <v>16</v>
      </c>
      <c r="F3049" t="s">
        <v>16</v>
      </c>
      <c r="H3049">
        <v>0.07</v>
      </c>
      <c r="I3049">
        <v>44.84</v>
      </c>
      <c r="J3049">
        <v>-2.3</v>
      </c>
      <c r="K3049" t="s">
        <v>3088</v>
      </c>
      <c r="L3049">
        <v>-2.51</v>
      </c>
      <c r="M3049">
        <v>4740.14</v>
      </c>
      <c r="N3049">
        <v>0.22</v>
      </c>
      <c r="O3049">
        <v>0.36</v>
      </c>
    </row>
    <row r="3050" spans="1:15">
      <c r="A3050" t="str">
        <f>"600207"</f>
        <v>600207</v>
      </c>
      <c r="B3050" t="s">
        <v>3089</v>
      </c>
      <c r="C3050">
        <v>-9.37</v>
      </c>
      <c r="D3050">
        <v>6.19</v>
      </c>
      <c r="E3050" t="s">
        <v>16</v>
      </c>
      <c r="F3050" t="s">
        <v>16</v>
      </c>
      <c r="H3050">
        <v>-0.31</v>
      </c>
      <c r="I3050">
        <v>-5.35</v>
      </c>
      <c r="J3050">
        <v>-8.97</v>
      </c>
      <c r="L3050">
        <v>-0.44</v>
      </c>
      <c r="M3050">
        <v>172.04</v>
      </c>
      <c r="N3050">
        <v>0.05</v>
      </c>
      <c r="O3050">
        <v>0.86</v>
      </c>
    </row>
    <row r="3051" spans="1:15">
      <c r="A3051" t="str">
        <f>"600208"</f>
        <v>600208</v>
      </c>
      <c r="B3051" t="s">
        <v>3090</v>
      </c>
      <c r="C3051">
        <v>0.32</v>
      </c>
      <c r="D3051">
        <v>3.1</v>
      </c>
      <c r="E3051" t="s">
        <v>16</v>
      </c>
      <c r="F3051" t="s">
        <v>16</v>
      </c>
      <c r="H3051">
        <v>-0.31</v>
      </c>
      <c r="I3051">
        <v>7.64</v>
      </c>
      <c r="J3051">
        <v>-0.96</v>
      </c>
      <c r="L3051">
        <v>-0.65</v>
      </c>
      <c r="M3051">
        <v>280.81</v>
      </c>
      <c r="N3051">
        <v>0.02</v>
      </c>
      <c r="O3051">
        <v>0.87</v>
      </c>
    </row>
    <row r="3052" spans="1:15">
      <c r="A3052" t="str">
        <f>"600210"</f>
        <v>600210</v>
      </c>
      <c r="B3052" t="s">
        <v>3091</v>
      </c>
      <c r="C3052">
        <v>-1.65</v>
      </c>
      <c r="D3052">
        <v>6.56</v>
      </c>
      <c r="E3052" t="s">
        <v>16</v>
      </c>
      <c r="F3052" t="s">
        <v>16</v>
      </c>
      <c r="H3052">
        <v>-0.14</v>
      </c>
      <c r="I3052">
        <v>0.92</v>
      </c>
      <c r="J3052">
        <v>-1.65</v>
      </c>
      <c r="L3052">
        <v>0</v>
      </c>
      <c r="M3052">
        <v>9.87</v>
      </c>
      <c r="N3052">
        <v>0</v>
      </c>
      <c r="O3052">
        <v>0.28</v>
      </c>
    </row>
    <row r="3053" spans="1:15">
      <c r="A3053" t="str">
        <f>"600211"</f>
        <v>600211</v>
      </c>
      <c r="B3053" t="s">
        <v>3092</v>
      </c>
      <c r="C3053">
        <v>0.96</v>
      </c>
      <c r="D3053">
        <v>36.8</v>
      </c>
      <c r="E3053" t="s">
        <v>16</v>
      </c>
      <c r="F3053" t="s">
        <v>16</v>
      </c>
      <c r="H3053">
        <v>-0.07</v>
      </c>
      <c r="I3053">
        <v>-2.18</v>
      </c>
      <c r="J3053">
        <v>-1.55</v>
      </c>
      <c r="L3053">
        <v>-0.16</v>
      </c>
      <c r="M3053">
        <v>22.56</v>
      </c>
      <c r="N3053">
        <v>0</v>
      </c>
      <c r="O3053">
        <v>2.38</v>
      </c>
    </row>
    <row r="3054" spans="1:15">
      <c r="A3054" t="str">
        <f>"600212"</f>
        <v>600212</v>
      </c>
      <c r="B3054" t="s">
        <v>3093</v>
      </c>
      <c r="C3054">
        <v>-1.2</v>
      </c>
      <c r="D3054">
        <v>5.76</v>
      </c>
      <c r="E3054" t="s">
        <v>16</v>
      </c>
      <c r="F3054" t="s">
        <v>16</v>
      </c>
      <c r="H3054">
        <v>0</v>
      </c>
      <c r="I3054">
        <v>-6.95</v>
      </c>
      <c r="J3054">
        <v>-2.7</v>
      </c>
      <c r="L3054">
        <v>-1.37</v>
      </c>
      <c r="M3054">
        <v>23</v>
      </c>
      <c r="N3054">
        <v>0.01</v>
      </c>
      <c r="O3054">
        <v>0.81</v>
      </c>
    </row>
    <row r="3055" spans="1:15">
      <c r="A3055" t="str">
        <f>"600215"</f>
        <v>600215</v>
      </c>
      <c r="B3055" t="s">
        <v>3094</v>
      </c>
      <c r="C3055">
        <v>0</v>
      </c>
      <c r="D3055">
        <v>6.31</v>
      </c>
      <c r="E3055" t="s">
        <v>16</v>
      </c>
      <c r="F3055" t="s">
        <v>16</v>
      </c>
      <c r="H3055">
        <v>-0.31</v>
      </c>
      <c r="I3055">
        <v>-0.63</v>
      </c>
      <c r="J3055">
        <v>-3.37</v>
      </c>
      <c r="L3055">
        <v>-0.79</v>
      </c>
      <c r="M3055">
        <v>17.15</v>
      </c>
      <c r="N3055">
        <v>0.01</v>
      </c>
      <c r="O3055">
        <v>1.89</v>
      </c>
    </row>
    <row r="3056" spans="1:15">
      <c r="A3056" t="str">
        <f>"600216"</f>
        <v>600216</v>
      </c>
      <c r="B3056" t="s">
        <v>3095</v>
      </c>
      <c r="C3056">
        <v>-2.12</v>
      </c>
      <c r="D3056">
        <v>11.52</v>
      </c>
      <c r="E3056" t="s">
        <v>16</v>
      </c>
      <c r="F3056" t="s">
        <v>16</v>
      </c>
      <c r="H3056">
        <v>-0.16</v>
      </c>
      <c r="I3056">
        <v>-4.64</v>
      </c>
      <c r="J3056">
        <v>-2.46</v>
      </c>
      <c r="L3056">
        <v>-0.42</v>
      </c>
      <c r="M3056">
        <v>95.75</v>
      </c>
      <c r="N3056">
        <v>0.01</v>
      </c>
      <c r="O3056">
        <v>3.66</v>
      </c>
    </row>
    <row r="3057" spans="1:15">
      <c r="A3057" t="str">
        <f>"600217"</f>
        <v>600217</v>
      </c>
      <c r="B3057" t="s">
        <v>3096</v>
      </c>
      <c r="C3057">
        <v>0.33</v>
      </c>
      <c r="D3057">
        <v>3.08</v>
      </c>
      <c r="E3057" t="s">
        <v>16</v>
      </c>
      <c r="F3057" t="s">
        <v>16</v>
      </c>
      <c r="H3057">
        <v>0</v>
      </c>
      <c r="I3057">
        <v>-8.61</v>
      </c>
      <c r="J3057">
        <v>-1.91</v>
      </c>
      <c r="L3057">
        <v>0</v>
      </c>
      <c r="M3057">
        <v>26.83</v>
      </c>
      <c r="N3057">
        <v>0.01</v>
      </c>
      <c r="O3057">
        <v>0.84</v>
      </c>
    </row>
    <row r="3058" spans="1:15">
      <c r="A3058" t="str">
        <f>"600218"</f>
        <v>600218</v>
      </c>
      <c r="B3058" t="s">
        <v>3097</v>
      </c>
      <c r="C3058">
        <v>-1.27</v>
      </c>
      <c r="D3058">
        <v>7.78</v>
      </c>
      <c r="E3058" t="s">
        <v>16</v>
      </c>
      <c r="F3058" t="s">
        <v>16</v>
      </c>
      <c r="H3058">
        <v>-0.12</v>
      </c>
      <c r="I3058">
        <v>-6.38</v>
      </c>
      <c r="J3058">
        <v>-1.64</v>
      </c>
      <c r="L3058">
        <v>-0.25</v>
      </c>
      <c r="M3058">
        <v>6.05</v>
      </c>
      <c r="N3058">
        <v>0</v>
      </c>
      <c r="O3058">
        <v>2.48</v>
      </c>
    </row>
    <row r="3059" spans="1:15">
      <c r="A3059" t="str">
        <f>"600219"</f>
        <v>600219</v>
      </c>
      <c r="B3059" t="s">
        <v>3098</v>
      </c>
      <c r="C3059">
        <v>-2.16</v>
      </c>
      <c r="D3059">
        <v>4.53</v>
      </c>
      <c r="E3059" t="s">
        <v>16</v>
      </c>
      <c r="F3059" t="s">
        <v>16</v>
      </c>
      <c r="H3059">
        <v>0.22</v>
      </c>
      <c r="I3059">
        <v>-9.22</v>
      </c>
      <c r="J3059">
        <v>-3.82</v>
      </c>
      <c r="L3059">
        <v>-0.86</v>
      </c>
      <c r="M3059">
        <v>166.2</v>
      </c>
      <c r="N3059">
        <v>0.01</v>
      </c>
      <c r="O3059">
        <v>0.37</v>
      </c>
    </row>
    <row r="3060" spans="1:15">
      <c r="A3060" t="str">
        <f>"600221"</f>
        <v>600221</v>
      </c>
      <c r="B3060" t="s">
        <v>3099</v>
      </c>
      <c r="C3060">
        <v>-2.03</v>
      </c>
      <c r="D3060">
        <v>1.45</v>
      </c>
      <c r="E3060" t="s">
        <v>16</v>
      </c>
      <c r="F3060" t="s">
        <v>16</v>
      </c>
      <c r="H3060">
        <v>-0.67</v>
      </c>
      <c r="I3060">
        <v>-2.03</v>
      </c>
      <c r="J3060">
        <v>-2.03</v>
      </c>
      <c r="L3060">
        <v>-0.68</v>
      </c>
      <c r="M3060">
        <v>447.64</v>
      </c>
      <c r="N3060">
        <v>0.01</v>
      </c>
      <c r="O3060">
        <v>0.52</v>
      </c>
    </row>
    <row r="3061" spans="1:15">
      <c r="A3061" t="str">
        <f>"600222"</f>
        <v>600222</v>
      </c>
      <c r="B3061" t="s">
        <v>3100</v>
      </c>
      <c r="C3061">
        <v>-1.78</v>
      </c>
      <c r="D3061">
        <v>7.74</v>
      </c>
      <c r="E3061" t="s">
        <v>16</v>
      </c>
      <c r="F3061" t="s">
        <v>16</v>
      </c>
      <c r="H3061">
        <v>0.13</v>
      </c>
      <c r="I3061">
        <v>-11.03</v>
      </c>
      <c r="J3061">
        <v>-3.13</v>
      </c>
      <c r="L3061">
        <v>-0.13</v>
      </c>
      <c r="M3061">
        <v>72.64</v>
      </c>
      <c r="N3061">
        <v>0.02</v>
      </c>
      <c r="O3061">
        <v>0.49</v>
      </c>
    </row>
    <row r="3062" spans="1:15">
      <c r="A3062" t="str">
        <f>"600223"</f>
        <v>600223</v>
      </c>
      <c r="B3062" t="s">
        <v>3101</v>
      </c>
      <c r="C3062">
        <v>-0.75</v>
      </c>
      <c r="D3062">
        <v>5.3</v>
      </c>
      <c r="E3062" t="s">
        <v>16</v>
      </c>
      <c r="F3062" t="s">
        <v>16</v>
      </c>
      <c r="H3062">
        <v>0.19</v>
      </c>
      <c r="I3062">
        <v>-7.99</v>
      </c>
      <c r="J3062">
        <v>-1.67</v>
      </c>
      <c r="L3062">
        <v>-0.37</v>
      </c>
      <c r="M3062">
        <v>7.87</v>
      </c>
      <c r="N3062">
        <v>0</v>
      </c>
      <c r="O3062">
        <v>0.47</v>
      </c>
    </row>
    <row r="3063" spans="1:15">
      <c r="A3063" t="str">
        <f>"600226"</f>
        <v>600226</v>
      </c>
      <c r="B3063" t="s">
        <v>3102</v>
      </c>
      <c r="C3063">
        <v>10.03</v>
      </c>
      <c r="D3063">
        <v>9.76</v>
      </c>
      <c r="E3063">
        <v>8865.89</v>
      </c>
      <c r="F3063">
        <v>1</v>
      </c>
      <c r="H3063">
        <v>0</v>
      </c>
      <c r="I3063">
        <v>45.45</v>
      </c>
      <c r="J3063">
        <v>0</v>
      </c>
      <c r="K3063" t="s">
        <v>1525</v>
      </c>
      <c r="L3063">
        <v>0</v>
      </c>
      <c r="M3063">
        <v>2698.76</v>
      </c>
      <c r="N3063">
        <v>0.17</v>
      </c>
      <c r="O3063">
        <v>0.91</v>
      </c>
    </row>
    <row r="3064" spans="1:15">
      <c r="A3064" t="str">
        <f>"600227"</f>
        <v>600227</v>
      </c>
      <c r="B3064" t="s">
        <v>3103</v>
      </c>
      <c r="C3064">
        <v>-2.23</v>
      </c>
      <c r="D3064">
        <v>2.63</v>
      </c>
      <c r="E3064" t="s">
        <v>16</v>
      </c>
      <c r="F3064" t="s">
        <v>16</v>
      </c>
      <c r="H3064">
        <v>0</v>
      </c>
      <c r="I3064">
        <v>-11.45</v>
      </c>
      <c r="J3064">
        <v>-1.13</v>
      </c>
      <c r="L3064">
        <v>-1.12</v>
      </c>
      <c r="M3064">
        <v>73.02</v>
      </c>
      <c r="N3064">
        <v>0.03</v>
      </c>
      <c r="O3064">
        <v>1.19</v>
      </c>
    </row>
    <row r="3065" spans="1:15">
      <c r="A3065" t="str">
        <f>"600228"</f>
        <v>600228</v>
      </c>
      <c r="B3065" t="s">
        <v>3104</v>
      </c>
      <c r="C3065">
        <v>0</v>
      </c>
      <c r="D3065">
        <v>8.92</v>
      </c>
      <c r="E3065" t="s">
        <v>16</v>
      </c>
      <c r="F3065" t="s">
        <v>16</v>
      </c>
      <c r="H3065">
        <v>0</v>
      </c>
      <c r="I3065">
        <v>40.92</v>
      </c>
      <c r="J3065" t="s">
        <v>16</v>
      </c>
      <c r="K3065" t="s">
        <v>140</v>
      </c>
      <c r="L3065" t="s">
        <v>16</v>
      </c>
      <c r="M3065">
        <v>0</v>
      </c>
      <c r="N3065" t="s">
        <v>16</v>
      </c>
      <c r="O3065" t="s">
        <v>16</v>
      </c>
    </row>
    <row r="3066" spans="1:15">
      <c r="A3066" t="str">
        <f>"600229"</f>
        <v>600229</v>
      </c>
      <c r="B3066" t="s">
        <v>3105</v>
      </c>
      <c r="C3066">
        <v>-5.83</v>
      </c>
      <c r="D3066">
        <v>5.01</v>
      </c>
      <c r="E3066" t="s">
        <v>16</v>
      </c>
      <c r="F3066" t="s">
        <v>16</v>
      </c>
      <c r="H3066">
        <v>0</v>
      </c>
      <c r="I3066">
        <v>-6.36</v>
      </c>
      <c r="J3066">
        <v>-4.93</v>
      </c>
      <c r="L3066">
        <v>-0.94</v>
      </c>
      <c r="M3066">
        <v>101.18</v>
      </c>
      <c r="N3066">
        <v>0.08</v>
      </c>
      <c r="O3066">
        <v>0.65</v>
      </c>
    </row>
    <row r="3067" spans="1:15">
      <c r="A3067" t="str">
        <f>"600230"</f>
        <v>600230</v>
      </c>
      <c r="B3067" t="s">
        <v>3106</v>
      </c>
      <c r="C3067">
        <v>-2.45</v>
      </c>
      <c r="D3067">
        <v>14.32</v>
      </c>
      <c r="E3067" t="s">
        <v>16</v>
      </c>
      <c r="F3067" t="s">
        <v>16</v>
      </c>
      <c r="H3067">
        <v>-0.06</v>
      </c>
      <c r="I3067">
        <v>-2.39</v>
      </c>
      <c r="J3067">
        <v>-2.39</v>
      </c>
      <c r="L3067">
        <v>-0.2</v>
      </c>
      <c r="M3067">
        <v>48.05</v>
      </c>
      <c r="N3067">
        <v>0.01</v>
      </c>
      <c r="O3067">
        <v>1.76</v>
      </c>
    </row>
    <row r="3068" spans="1:15">
      <c r="A3068" t="str">
        <f>"600231"</f>
        <v>600231</v>
      </c>
      <c r="B3068" t="s">
        <v>3107</v>
      </c>
      <c r="C3068">
        <v>-1.64</v>
      </c>
      <c r="D3068">
        <v>1.8</v>
      </c>
      <c r="E3068" t="s">
        <v>16</v>
      </c>
      <c r="F3068" t="s">
        <v>16</v>
      </c>
      <c r="H3068">
        <v>-0.54</v>
      </c>
      <c r="I3068">
        <v>-8.63</v>
      </c>
      <c r="J3068">
        <v>-2.7</v>
      </c>
      <c r="L3068">
        <v>-0.55</v>
      </c>
      <c r="M3068">
        <v>1.91</v>
      </c>
      <c r="N3068">
        <v>0</v>
      </c>
      <c r="O3068">
        <v>0.23</v>
      </c>
    </row>
    <row r="3069" spans="1:15">
      <c r="A3069" t="str">
        <f>"600232"</f>
        <v>600232</v>
      </c>
      <c r="B3069" t="s">
        <v>3108</v>
      </c>
      <c r="C3069">
        <v>0</v>
      </c>
      <c r="D3069">
        <v>6.76</v>
      </c>
      <c r="E3069" t="s">
        <v>16</v>
      </c>
      <c r="F3069" t="s">
        <v>16</v>
      </c>
      <c r="H3069">
        <v>-0.14</v>
      </c>
      <c r="I3069">
        <v>-6.5</v>
      </c>
      <c r="J3069">
        <v>-1.31</v>
      </c>
      <c r="L3069">
        <v>-0.15</v>
      </c>
      <c r="M3069">
        <v>10.73</v>
      </c>
      <c r="N3069">
        <v>0.01</v>
      </c>
      <c r="O3069">
        <v>1.16</v>
      </c>
    </row>
    <row r="3070" spans="1:15">
      <c r="A3070" t="str">
        <f>"600233"</f>
        <v>600233</v>
      </c>
      <c r="B3070" t="s">
        <v>3109</v>
      </c>
      <c r="C3070">
        <v>-5.05</v>
      </c>
      <c r="D3070">
        <v>15.8</v>
      </c>
      <c r="E3070" t="s">
        <v>16</v>
      </c>
      <c r="F3070" t="s">
        <v>16</v>
      </c>
      <c r="H3070">
        <v>-0.43</v>
      </c>
      <c r="I3070">
        <v>-7.71</v>
      </c>
      <c r="J3070">
        <v>-4.53</v>
      </c>
      <c r="L3070">
        <v>-1.14</v>
      </c>
      <c r="M3070">
        <v>193.45</v>
      </c>
      <c r="N3070">
        <v>0.01</v>
      </c>
      <c r="O3070">
        <v>4.56</v>
      </c>
    </row>
    <row r="3071" spans="1:15">
      <c r="A3071" t="str">
        <f>"600234"</f>
        <v>600234</v>
      </c>
      <c r="B3071" t="s">
        <v>3110</v>
      </c>
      <c r="C3071">
        <v>1.03</v>
      </c>
      <c r="D3071">
        <v>27.58</v>
      </c>
      <c r="E3071" t="s">
        <v>16</v>
      </c>
      <c r="F3071" t="s">
        <v>16</v>
      </c>
      <c r="H3071">
        <v>0.11</v>
      </c>
      <c r="I3071">
        <v>11.61</v>
      </c>
      <c r="J3071">
        <v>-5.42</v>
      </c>
      <c r="L3071">
        <v>-0.04</v>
      </c>
      <c r="M3071">
        <v>47.48</v>
      </c>
      <c r="N3071">
        <v>0.01</v>
      </c>
      <c r="O3071">
        <v>0.53</v>
      </c>
    </row>
    <row r="3072" spans="1:15">
      <c r="A3072" t="str">
        <f>"600235"</f>
        <v>600235</v>
      </c>
      <c r="B3072" t="s">
        <v>3111</v>
      </c>
      <c r="C3072">
        <v>-0.74</v>
      </c>
      <c r="D3072">
        <v>5.33</v>
      </c>
      <c r="E3072" t="s">
        <v>16</v>
      </c>
      <c r="F3072" t="s">
        <v>16</v>
      </c>
      <c r="H3072">
        <v>-0.18</v>
      </c>
      <c r="I3072">
        <v>-8.1</v>
      </c>
      <c r="J3072">
        <v>-1.66</v>
      </c>
      <c r="L3072">
        <v>0</v>
      </c>
      <c r="M3072">
        <v>23.31</v>
      </c>
      <c r="N3072">
        <v>0.02</v>
      </c>
      <c r="O3072">
        <v>1.94</v>
      </c>
    </row>
    <row r="3073" spans="1:15">
      <c r="A3073" t="str">
        <f>"600236"</f>
        <v>600236</v>
      </c>
      <c r="B3073" t="s">
        <v>3112</v>
      </c>
      <c r="C3073">
        <v>-6.22</v>
      </c>
      <c r="D3073">
        <v>9.2</v>
      </c>
      <c r="E3073" t="s">
        <v>16</v>
      </c>
      <c r="F3073" t="s">
        <v>16</v>
      </c>
      <c r="H3073">
        <v>-0.42</v>
      </c>
      <c r="I3073">
        <v>-18.15</v>
      </c>
      <c r="J3073">
        <v>-6.79</v>
      </c>
      <c r="L3073">
        <v>-0.41</v>
      </c>
      <c r="M3073">
        <v>65.85</v>
      </c>
      <c r="N3073">
        <v>0.01</v>
      </c>
      <c r="O3073">
        <v>1.25</v>
      </c>
    </row>
    <row r="3074" spans="1:15">
      <c r="A3074" t="str">
        <f>"600237"</f>
        <v>600237</v>
      </c>
      <c r="B3074" t="s">
        <v>3113</v>
      </c>
      <c r="C3074">
        <v>-2.87</v>
      </c>
      <c r="D3074">
        <v>12.2</v>
      </c>
      <c r="E3074" t="s">
        <v>16</v>
      </c>
      <c r="F3074" t="s">
        <v>16</v>
      </c>
      <c r="H3074">
        <v>0.16</v>
      </c>
      <c r="I3074">
        <v>-0.16</v>
      </c>
      <c r="J3074">
        <v>-2.94</v>
      </c>
      <c r="K3074" t="s">
        <v>220</v>
      </c>
      <c r="L3074">
        <v>-1.67</v>
      </c>
      <c r="M3074">
        <v>2082.58</v>
      </c>
      <c r="N3074">
        <v>0.36</v>
      </c>
      <c r="O3074">
        <v>1.46</v>
      </c>
    </row>
    <row r="3075" spans="1:15">
      <c r="A3075" t="str">
        <f>"600238"</f>
        <v>600238</v>
      </c>
      <c r="B3075" t="s">
        <v>3114</v>
      </c>
      <c r="C3075">
        <v>-2.03</v>
      </c>
      <c r="D3075">
        <v>4.83</v>
      </c>
      <c r="E3075" t="s">
        <v>16</v>
      </c>
      <c r="F3075" t="s">
        <v>16</v>
      </c>
      <c r="H3075">
        <v>-0.4</v>
      </c>
      <c r="I3075">
        <v>-6.03</v>
      </c>
      <c r="J3075">
        <v>-2.62</v>
      </c>
      <c r="L3075">
        <v>0.61</v>
      </c>
      <c r="M3075">
        <v>7.44</v>
      </c>
      <c r="N3075">
        <v>0</v>
      </c>
      <c r="O3075">
        <v>50</v>
      </c>
    </row>
    <row r="3076" spans="1:15">
      <c r="A3076" t="str">
        <f>"600239"</f>
        <v>600239</v>
      </c>
      <c r="B3076" t="s">
        <v>3115</v>
      </c>
      <c r="C3076">
        <v>-2.88</v>
      </c>
      <c r="D3076">
        <v>1.35</v>
      </c>
      <c r="E3076" t="s">
        <v>16</v>
      </c>
      <c r="F3076" t="s">
        <v>16</v>
      </c>
      <c r="H3076">
        <v>-0.73</v>
      </c>
      <c r="I3076">
        <v>-9.4</v>
      </c>
      <c r="J3076">
        <v>-2.17</v>
      </c>
      <c r="L3076">
        <v>-2.16</v>
      </c>
      <c r="M3076">
        <v>95.27</v>
      </c>
      <c r="N3076">
        <v>0.07</v>
      </c>
      <c r="O3076">
        <v>1.76</v>
      </c>
    </row>
    <row r="3077" spans="1:15">
      <c r="A3077" t="str">
        <f>"600241"</f>
        <v>600241</v>
      </c>
      <c r="B3077" t="s">
        <v>3116</v>
      </c>
      <c r="C3077">
        <v>-1.55</v>
      </c>
      <c r="D3077">
        <v>6.98</v>
      </c>
      <c r="E3077" t="s">
        <v>16</v>
      </c>
      <c r="F3077" t="s">
        <v>16</v>
      </c>
      <c r="H3077">
        <v>-0.28</v>
      </c>
      <c r="I3077">
        <v>-7.55</v>
      </c>
      <c r="J3077">
        <v>-1.83</v>
      </c>
      <c r="L3077">
        <v>0</v>
      </c>
      <c r="M3077">
        <v>17.87</v>
      </c>
      <c r="N3077">
        <v>0.02</v>
      </c>
      <c r="O3077">
        <v>2.97</v>
      </c>
    </row>
    <row r="3078" spans="1:15">
      <c r="A3078" t="str">
        <f>"600243"</f>
        <v>600243</v>
      </c>
      <c r="B3078" t="s">
        <v>3117</v>
      </c>
      <c r="C3078">
        <v>-2.34</v>
      </c>
      <c r="D3078">
        <v>3.75</v>
      </c>
      <c r="E3078" t="s">
        <v>16</v>
      </c>
      <c r="F3078" t="s">
        <v>16</v>
      </c>
      <c r="H3078">
        <v>0</v>
      </c>
      <c r="I3078">
        <v>-1.32</v>
      </c>
      <c r="J3078">
        <v>-4.09</v>
      </c>
      <c r="L3078">
        <v>0.52</v>
      </c>
      <c r="M3078">
        <v>25.17</v>
      </c>
      <c r="N3078">
        <v>0.02</v>
      </c>
      <c r="O3078">
        <v>0.83</v>
      </c>
    </row>
    <row r="3079" spans="1:15">
      <c r="A3079" t="str">
        <f>"600246"</f>
        <v>600246</v>
      </c>
      <c r="B3079" t="s">
        <v>3118</v>
      </c>
      <c r="C3079">
        <v>5.91</v>
      </c>
      <c r="D3079">
        <v>18.65</v>
      </c>
      <c r="E3079" t="s">
        <v>16</v>
      </c>
      <c r="F3079" t="s">
        <v>16</v>
      </c>
      <c r="H3079">
        <v>-0.15</v>
      </c>
      <c r="I3079">
        <v>-1.17</v>
      </c>
      <c r="J3079">
        <v>-3.67</v>
      </c>
      <c r="L3079">
        <v>0</v>
      </c>
      <c r="M3079">
        <v>1634.03</v>
      </c>
      <c r="N3079">
        <v>0.06</v>
      </c>
      <c r="O3079">
        <v>1.38</v>
      </c>
    </row>
    <row r="3080" spans="1:15">
      <c r="A3080" t="str">
        <f>"600248"</f>
        <v>600248</v>
      </c>
      <c r="B3080" t="s">
        <v>3119</v>
      </c>
      <c r="C3080">
        <v>-1.37</v>
      </c>
      <c r="D3080">
        <v>2.89</v>
      </c>
      <c r="E3080" t="s">
        <v>16</v>
      </c>
      <c r="F3080" t="s">
        <v>16</v>
      </c>
      <c r="H3080">
        <v>0</v>
      </c>
      <c r="I3080">
        <v>-7.67</v>
      </c>
      <c r="J3080">
        <v>-1.37</v>
      </c>
      <c r="L3080">
        <v>-0.68</v>
      </c>
      <c r="M3080">
        <v>15.95</v>
      </c>
      <c r="N3080">
        <v>0</v>
      </c>
      <c r="O3080">
        <v>1.13</v>
      </c>
    </row>
    <row r="3081" spans="1:15">
      <c r="A3081" t="str">
        <f>"600249"</f>
        <v>600249</v>
      </c>
      <c r="B3081" t="s">
        <v>3120</v>
      </c>
      <c r="C3081">
        <v>-2.16</v>
      </c>
      <c r="D3081">
        <v>4.99</v>
      </c>
      <c r="E3081" t="s">
        <v>16</v>
      </c>
      <c r="F3081" t="s">
        <v>16</v>
      </c>
      <c r="H3081">
        <v>-0.19</v>
      </c>
      <c r="I3081">
        <v>-5.13</v>
      </c>
      <c r="J3081">
        <v>-2.16</v>
      </c>
      <c r="L3081">
        <v>-0.2</v>
      </c>
      <c r="M3081">
        <v>3.61</v>
      </c>
      <c r="N3081">
        <v>0</v>
      </c>
      <c r="O3081">
        <v>0.09</v>
      </c>
    </row>
    <row r="3082" spans="1:15">
      <c r="A3082" t="str">
        <f>"600250"</f>
        <v>600250</v>
      </c>
      <c r="B3082" t="s">
        <v>3121</v>
      </c>
      <c r="C3082">
        <v>-1.9</v>
      </c>
      <c r="D3082">
        <v>8.26</v>
      </c>
      <c r="E3082" t="s">
        <v>16</v>
      </c>
      <c r="F3082" t="s">
        <v>16</v>
      </c>
      <c r="H3082">
        <v>0.12</v>
      </c>
      <c r="I3082">
        <v>-8.43</v>
      </c>
      <c r="J3082">
        <v>-1.55</v>
      </c>
      <c r="L3082">
        <v>-0.48</v>
      </c>
      <c r="M3082">
        <v>22.12</v>
      </c>
      <c r="N3082">
        <v>0.02</v>
      </c>
      <c r="O3082">
        <v>2.61</v>
      </c>
    </row>
    <row r="3083" spans="1:15">
      <c r="A3083" t="str">
        <f>"600251"</f>
        <v>600251</v>
      </c>
      <c r="B3083" t="s">
        <v>3122</v>
      </c>
      <c r="C3083">
        <v>-2.52</v>
      </c>
      <c r="D3083">
        <v>9.27</v>
      </c>
      <c r="E3083" t="s">
        <v>16</v>
      </c>
      <c r="F3083" t="s">
        <v>16</v>
      </c>
      <c r="H3083">
        <v>0</v>
      </c>
      <c r="I3083">
        <v>-5.12</v>
      </c>
      <c r="J3083">
        <v>-1.7</v>
      </c>
      <c r="L3083">
        <v>-0.84</v>
      </c>
      <c r="M3083">
        <v>31.87</v>
      </c>
      <c r="N3083">
        <v>0.01</v>
      </c>
      <c r="O3083">
        <v>1.77</v>
      </c>
    </row>
    <row r="3084" spans="1:15">
      <c r="A3084" t="str">
        <f>"600252"</f>
        <v>600252</v>
      </c>
      <c r="B3084" t="s">
        <v>3123</v>
      </c>
      <c r="C3084">
        <v>-0.51</v>
      </c>
      <c r="D3084">
        <v>1.96</v>
      </c>
      <c r="E3084" t="s">
        <v>16</v>
      </c>
      <c r="F3084" t="s">
        <v>16</v>
      </c>
      <c r="H3084">
        <v>0.51</v>
      </c>
      <c r="I3084">
        <v>-12.5</v>
      </c>
      <c r="J3084">
        <v>-1.51</v>
      </c>
      <c r="L3084">
        <v>-0.51</v>
      </c>
      <c r="M3084">
        <v>17.62</v>
      </c>
      <c r="N3084">
        <v>0</v>
      </c>
      <c r="O3084">
        <v>0.42</v>
      </c>
    </row>
    <row r="3085" spans="1:15">
      <c r="A3085" t="str">
        <f>"600255"</f>
        <v>600255</v>
      </c>
      <c r="B3085" t="s">
        <v>3124</v>
      </c>
      <c r="C3085">
        <v>-2.97</v>
      </c>
      <c r="D3085">
        <v>4.24</v>
      </c>
      <c r="E3085" t="s">
        <v>16</v>
      </c>
      <c r="F3085" t="s">
        <v>16</v>
      </c>
      <c r="H3085">
        <v>0</v>
      </c>
      <c r="I3085">
        <v>-12.22</v>
      </c>
      <c r="J3085">
        <v>-4.07</v>
      </c>
      <c r="L3085">
        <v>-1.6</v>
      </c>
      <c r="M3085">
        <v>527.95</v>
      </c>
      <c r="N3085">
        <v>0.08</v>
      </c>
      <c r="O3085">
        <v>0.46</v>
      </c>
    </row>
    <row r="3086" spans="1:15">
      <c r="A3086" t="str">
        <f>"600256"</f>
        <v>600256</v>
      </c>
      <c r="B3086" t="s">
        <v>3125</v>
      </c>
      <c r="C3086">
        <v>-4.07</v>
      </c>
      <c r="D3086">
        <v>5.18</v>
      </c>
      <c r="E3086" t="s">
        <v>16</v>
      </c>
      <c r="F3086" t="s">
        <v>16</v>
      </c>
      <c r="H3086">
        <v>0.19</v>
      </c>
      <c r="I3086">
        <v>-22.69</v>
      </c>
      <c r="J3086">
        <v>-3.72</v>
      </c>
      <c r="L3086">
        <v>-0.93</v>
      </c>
      <c r="M3086">
        <v>404.35</v>
      </c>
      <c r="N3086">
        <v>0.02</v>
      </c>
      <c r="O3086">
        <v>0.7</v>
      </c>
    </row>
    <row r="3087" spans="1:15">
      <c r="A3087" t="str">
        <f>"600257"</f>
        <v>600257</v>
      </c>
      <c r="B3087" t="s">
        <v>3126</v>
      </c>
      <c r="C3087">
        <v>-1.04</v>
      </c>
      <c r="D3087">
        <v>4.77</v>
      </c>
      <c r="E3087" t="s">
        <v>16</v>
      </c>
      <c r="F3087" t="s">
        <v>16</v>
      </c>
      <c r="H3087">
        <v>-0.2</v>
      </c>
      <c r="I3087">
        <v>-9.83</v>
      </c>
      <c r="J3087">
        <v>-1.45</v>
      </c>
      <c r="L3087">
        <v>-0.41</v>
      </c>
      <c r="M3087">
        <v>31.3</v>
      </c>
      <c r="N3087">
        <v>0.02</v>
      </c>
      <c r="O3087">
        <v>4.87</v>
      </c>
    </row>
    <row r="3088" spans="1:15">
      <c r="A3088" t="str">
        <f>"600258"</f>
        <v>600258</v>
      </c>
      <c r="B3088" t="s">
        <v>3127</v>
      </c>
      <c r="C3088">
        <v>-2.05</v>
      </c>
      <c r="D3088">
        <v>11.94</v>
      </c>
      <c r="E3088" t="s">
        <v>16</v>
      </c>
      <c r="F3088" t="s">
        <v>16</v>
      </c>
      <c r="H3088">
        <v>-0.07</v>
      </c>
      <c r="I3088">
        <v>-4.4</v>
      </c>
      <c r="J3088">
        <v>-2.45</v>
      </c>
      <c r="L3088">
        <v>0.16</v>
      </c>
      <c r="M3088">
        <v>80.83</v>
      </c>
      <c r="N3088">
        <v>0.01</v>
      </c>
      <c r="O3088">
        <v>1.26</v>
      </c>
    </row>
    <row r="3089" spans="1:15">
      <c r="A3089" t="str">
        <f>"600259"</f>
        <v>600259</v>
      </c>
      <c r="B3089" t="s">
        <v>3128</v>
      </c>
      <c r="C3089">
        <v>10</v>
      </c>
      <c r="D3089">
        <v>116.28</v>
      </c>
      <c r="E3089">
        <v>6004.7</v>
      </c>
      <c r="F3089">
        <v>1</v>
      </c>
      <c r="H3089">
        <v>0</v>
      </c>
      <c r="I3089">
        <v>23.99</v>
      </c>
      <c r="J3089">
        <v>0</v>
      </c>
      <c r="K3089" t="s">
        <v>140</v>
      </c>
      <c r="L3089">
        <v>0</v>
      </c>
      <c r="M3089">
        <v>948.22</v>
      </c>
      <c r="N3089">
        <v>0.04</v>
      </c>
      <c r="O3089">
        <v>0.51</v>
      </c>
    </row>
    <row r="3090" spans="1:15">
      <c r="A3090" t="str">
        <f>"600261"</f>
        <v>600261</v>
      </c>
      <c r="B3090" t="s">
        <v>3129</v>
      </c>
      <c r="C3090">
        <v>-4.26</v>
      </c>
      <c r="D3090">
        <v>3.15</v>
      </c>
      <c r="E3090" t="s">
        <v>16</v>
      </c>
      <c r="F3090" t="s">
        <v>16</v>
      </c>
      <c r="H3090">
        <v>-0.31</v>
      </c>
      <c r="I3090">
        <v>-3.37</v>
      </c>
      <c r="J3090">
        <v>-4.55</v>
      </c>
      <c r="L3090">
        <v>0</v>
      </c>
      <c r="M3090">
        <v>46.78</v>
      </c>
      <c r="N3090">
        <v>0.02</v>
      </c>
      <c r="O3090">
        <v>23.31</v>
      </c>
    </row>
    <row r="3091" spans="1:15">
      <c r="A3091" t="str">
        <f>"600262"</f>
        <v>600262</v>
      </c>
      <c r="B3091" t="s">
        <v>3130</v>
      </c>
      <c r="C3091">
        <v>-0.73</v>
      </c>
      <c r="D3091">
        <v>21.66</v>
      </c>
      <c r="E3091" t="s">
        <v>16</v>
      </c>
      <c r="F3091" t="s">
        <v>16</v>
      </c>
      <c r="H3091">
        <v>0.23</v>
      </c>
      <c r="I3091">
        <v>-0.91</v>
      </c>
      <c r="J3091">
        <v>-1.01</v>
      </c>
      <c r="L3091">
        <v>0.14</v>
      </c>
      <c r="M3091">
        <v>16.63</v>
      </c>
      <c r="N3091">
        <v>0.01</v>
      </c>
      <c r="O3091">
        <v>4.48</v>
      </c>
    </row>
    <row r="3092" spans="1:15">
      <c r="A3092" t="str">
        <f>"600265"</f>
        <v>600265</v>
      </c>
      <c r="B3092" t="s">
        <v>3131</v>
      </c>
      <c r="C3092">
        <v>-0.05</v>
      </c>
      <c r="D3092">
        <v>22.09</v>
      </c>
      <c r="E3092" t="s">
        <v>16</v>
      </c>
      <c r="F3092" t="s">
        <v>16</v>
      </c>
      <c r="H3092">
        <v>1.01</v>
      </c>
      <c r="I3092">
        <v>-20.54</v>
      </c>
      <c r="J3092">
        <v>-2.17</v>
      </c>
      <c r="L3092">
        <v>-0.32</v>
      </c>
      <c r="M3092">
        <v>49.35</v>
      </c>
      <c r="N3092">
        <v>0.05</v>
      </c>
      <c r="O3092">
        <v>1.51</v>
      </c>
    </row>
    <row r="3093" spans="1:15">
      <c r="A3093" t="str">
        <f>"600266"</f>
        <v>600266</v>
      </c>
      <c r="B3093" t="s">
        <v>3132</v>
      </c>
      <c r="C3093">
        <v>-2.1</v>
      </c>
      <c r="D3093">
        <v>4.2</v>
      </c>
      <c r="E3093" t="s">
        <v>16</v>
      </c>
      <c r="F3093" t="s">
        <v>16</v>
      </c>
      <c r="H3093">
        <v>-0.23</v>
      </c>
      <c r="I3093">
        <v>-8.7</v>
      </c>
      <c r="J3093">
        <v>-2.1</v>
      </c>
      <c r="L3093">
        <v>0</v>
      </c>
      <c r="M3093">
        <v>64.69</v>
      </c>
      <c r="N3093">
        <v>0.01</v>
      </c>
      <c r="O3093">
        <v>1.31</v>
      </c>
    </row>
    <row r="3094" spans="1:15">
      <c r="A3094" t="str">
        <f>"600267"</f>
        <v>600267</v>
      </c>
      <c r="B3094" t="s">
        <v>3133</v>
      </c>
      <c r="C3094">
        <v>2.07</v>
      </c>
      <c r="D3094">
        <v>9.85</v>
      </c>
      <c r="E3094" t="s">
        <v>16</v>
      </c>
      <c r="F3094" t="s">
        <v>16</v>
      </c>
      <c r="H3094">
        <v>0.51</v>
      </c>
      <c r="I3094">
        <v>4.01</v>
      </c>
      <c r="J3094">
        <v>-0.81</v>
      </c>
      <c r="L3094">
        <v>1.04</v>
      </c>
      <c r="M3094">
        <v>86.87</v>
      </c>
      <c r="N3094">
        <v>0.01</v>
      </c>
      <c r="O3094">
        <v>2.88</v>
      </c>
    </row>
    <row r="3095" spans="1:15">
      <c r="A3095" t="str">
        <f>"600268"</f>
        <v>600268</v>
      </c>
      <c r="B3095" t="s">
        <v>3134</v>
      </c>
      <c r="C3095">
        <v>-1.44</v>
      </c>
      <c r="D3095">
        <v>12.35</v>
      </c>
      <c r="E3095" t="s">
        <v>16</v>
      </c>
      <c r="F3095" t="s">
        <v>16</v>
      </c>
      <c r="H3095">
        <v>0</v>
      </c>
      <c r="I3095">
        <v>-3.29</v>
      </c>
      <c r="J3095">
        <v>-2.06</v>
      </c>
      <c r="L3095">
        <v>-0.32</v>
      </c>
      <c r="M3095">
        <v>14.61</v>
      </c>
      <c r="N3095">
        <v>0</v>
      </c>
      <c r="O3095">
        <v>0.34</v>
      </c>
    </row>
    <row r="3096" spans="1:15">
      <c r="A3096" t="str">
        <f>"600269"</f>
        <v>600269</v>
      </c>
      <c r="B3096" t="s">
        <v>3135</v>
      </c>
      <c r="C3096">
        <v>-1.47</v>
      </c>
      <c r="D3096">
        <v>4.03</v>
      </c>
      <c r="E3096" t="s">
        <v>16</v>
      </c>
      <c r="F3096" t="s">
        <v>16</v>
      </c>
      <c r="H3096">
        <v>-0.48</v>
      </c>
      <c r="I3096">
        <v>-6.93</v>
      </c>
      <c r="J3096">
        <v>-1.47</v>
      </c>
      <c r="L3096">
        <v>-0.24</v>
      </c>
      <c r="M3096">
        <v>5.96</v>
      </c>
      <c r="N3096">
        <v>0</v>
      </c>
      <c r="O3096">
        <v>0.55</v>
      </c>
    </row>
    <row r="3097" spans="1:15">
      <c r="A3097" t="str">
        <f>"600271"</f>
        <v>600271</v>
      </c>
      <c r="B3097" t="s">
        <v>3136</v>
      </c>
      <c r="C3097">
        <v>-0.43</v>
      </c>
      <c r="D3097">
        <v>7</v>
      </c>
      <c r="E3097" t="s">
        <v>16</v>
      </c>
      <c r="F3097" t="s">
        <v>16</v>
      </c>
      <c r="H3097">
        <v>0</v>
      </c>
      <c r="I3097">
        <v>-3.05</v>
      </c>
      <c r="J3097">
        <v>-1.69</v>
      </c>
      <c r="L3097">
        <v>0.28</v>
      </c>
      <c r="M3097">
        <v>23.62</v>
      </c>
      <c r="N3097">
        <v>0</v>
      </c>
      <c r="O3097">
        <v>0.42</v>
      </c>
    </row>
    <row r="3098" spans="1:15">
      <c r="A3098" t="str">
        <f>"600272"</f>
        <v>600272</v>
      </c>
      <c r="B3098" t="s">
        <v>3137</v>
      </c>
      <c r="C3098">
        <v>0.37</v>
      </c>
      <c r="D3098">
        <v>10.84</v>
      </c>
      <c r="E3098" t="s">
        <v>16</v>
      </c>
      <c r="F3098" t="s">
        <v>16</v>
      </c>
      <c r="H3098">
        <v>-0.17</v>
      </c>
      <c r="I3098">
        <v>-0.28</v>
      </c>
      <c r="J3098">
        <v>-0.46</v>
      </c>
      <c r="L3098">
        <v>-0.28</v>
      </c>
      <c r="M3098">
        <v>52.88</v>
      </c>
      <c r="N3098">
        <v>0.05</v>
      </c>
      <c r="O3098">
        <v>8.93</v>
      </c>
    </row>
    <row r="3099" spans="1:15">
      <c r="A3099" t="str">
        <f>"600273"</f>
        <v>600273</v>
      </c>
      <c r="B3099" t="s">
        <v>3138</v>
      </c>
      <c r="C3099">
        <v>-2.45</v>
      </c>
      <c r="D3099">
        <v>6.78</v>
      </c>
      <c r="E3099" t="s">
        <v>16</v>
      </c>
      <c r="F3099" t="s">
        <v>16</v>
      </c>
      <c r="H3099">
        <v>0.15</v>
      </c>
      <c r="I3099">
        <v>-4.78</v>
      </c>
      <c r="J3099">
        <v>-2.31</v>
      </c>
      <c r="L3099">
        <v>-0.14</v>
      </c>
      <c r="M3099">
        <v>14.16</v>
      </c>
      <c r="N3099">
        <v>0</v>
      </c>
      <c r="O3099">
        <v>0.7</v>
      </c>
    </row>
    <row r="3100" spans="1:15">
      <c r="A3100" t="str">
        <f>"600276"</f>
        <v>600276</v>
      </c>
      <c r="B3100" t="s">
        <v>3139</v>
      </c>
      <c r="C3100">
        <v>3.04</v>
      </c>
      <c r="D3100">
        <v>48.42</v>
      </c>
      <c r="E3100" t="s">
        <v>16</v>
      </c>
      <c r="F3100" t="s">
        <v>16</v>
      </c>
      <c r="H3100">
        <v>-0.24</v>
      </c>
      <c r="I3100">
        <v>3.84</v>
      </c>
      <c r="J3100">
        <v>-2.18</v>
      </c>
      <c r="L3100">
        <v>0</v>
      </c>
      <c r="M3100">
        <v>1139.04</v>
      </c>
      <c r="N3100">
        <v>0.01</v>
      </c>
      <c r="O3100">
        <v>1.17</v>
      </c>
    </row>
    <row r="3101" spans="1:15">
      <c r="A3101" t="str">
        <f>"600278"</f>
        <v>600278</v>
      </c>
      <c r="B3101" t="s">
        <v>3140</v>
      </c>
      <c r="C3101">
        <v>0</v>
      </c>
      <c r="D3101">
        <v>6.34</v>
      </c>
      <c r="E3101" t="s">
        <v>16</v>
      </c>
      <c r="F3101" t="s">
        <v>16</v>
      </c>
      <c r="H3101">
        <v>0.16</v>
      </c>
      <c r="I3101">
        <v>-1.71</v>
      </c>
      <c r="J3101">
        <v>-2.31</v>
      </c>
      <c r="L3101">
        <v>-0.32</v>
      </c>
      <c r="M3101">
        <v>30.21</v>
      </c>
      <c r="N3101">
        <v>0.01</v>
      </c>
      <c r="O3101">
        <v>2.35</v>
      </c>
    </row>
    <row r="3102" spans="1:15">
      <c r="A3102" t="str">
        <f>"600279"</f>
        <v>600279</v>
      </c>
      <c r="B3102" t="s">
        <v>3141</v>
      </c>
      <c r="C3102">
        <v>-1.98</v>
      </c>
      <c r="D3102">
        <v>3.97</v>
      </c>
      <c r="E3102" t="s">
        <v>16</v>
      </c>
      <c r="F3102" t="s">
        <v>16</v>
      </c>
      <c r="H3102">
        <v>-0.24</v>
      </c>
      <c r="I3102">
        <v>-29.61</v>
      </c>
      <c r="J3102">
        <v>-1.49</v>
      </c>
      <c r="L3102">
        <v>-0.49</v>
      </c>
      <c r="M3102">
        <v>19.14</v>
      </c>
      <c r="N3102">
        <v>0.01</v>
      </c>
      <c r="O3102">
        <v>0.83</v>
      </c>
    </row>
    <row r="3103" spans="1:15">
      <c r="A3103" t="str">
        <f>"600280"</f>
        <v>600280</v>
      </c>
      <c r="B3103" t="s">
        <v>3142</v>
      </c>
      <c r="C3103">
        <v>-3.03</v>
      </c>
      <c r="D3103">
        <v>2.88</v>
      </c>
      <c r="E3103" t="s">
        <v>16</v>
      </c>
      <c r="F3103" t="s">
        <v>16</v>
      </c>
      <c r="H3103">
        <v>-0.34</v>
      </c>
      <c r="I3103">
        <v>-19.78</v>
      </c>
      <c r="J3103">
        <v>-3.68</v>
      </c>
      <c r="L3103">
        <v>0.67</v>
      </c>
      <c r="M3103">
        <v>119.3</v>
      </c>
      <c r="N3103">
        <v>0.08</v>
      </c>
      <c r="O3103">
        <v>0.42</v>
      </c>
    </row>
    <row r="3104" spans="1:15">
      <c r="A3104" t="str">
        <f>"600281"</f>
        <v>600281</v>
      </c>
      <c r="B3104" t="s">
        <v>3143</v>
      </c>
      <c r="C3104">
        <v>-0.66</v>
      </c>
      <c r="D3104">
        <v>4.51</v>
      </c>
      <c r="E3104" t="s">
        <v>16</v>
      </c>
      <c r="F3104" t="s">
        <v>16</v>
      </c>
      <c r="H3104">
        <v>0</v>
      </c>
      <c r="I3104">
        <v>-9.26</v>
      </c>
      <c r="J3104">
        <v>-2.8</v>
      </c>
      <c r="L3104">
        <v>0.22</v>
      </c>
      <c r="M3104">
        <v>38.45</v>
      </c>
      <c r="N3104">
        <v>0.03</v>
      </c>
      <c r="O3104">
        <v>1.15</v>
      </c>
    </row>
    <row r="3105" spans="1:15">
      <c r="A3105" t="str">
        <f>"600282"</f>
        <v>600282</v>
      </c>
      <c r="B3105" t="s">
        <v>3144</v>
      </c>
      <c r="C3105">
        <v>-1.47</v>
      </c>
      <c r="D3105">
        <v>4.7</v>
      </c>
      <c r="E3105" t="s">
        <v>16</v>
      </c>
      <c r="F3105" t="s">
        <v>16</v>
      </c>
      <c r="H3105">
        <v>0</v>
      </c>
      <c r="I3105">
        <v>-7.3</v>
      </c>
      <c r="J3105">
        <v>-2.49</v>
      </c>
      <c r="L3105">
        <v>-0.21</v>
      </c>
      <c r="M3105">
        <v>48.31</v>
      </c>
      <c r="N3105">
        <v>0</v>
      </c>
      <c r="O3105">
        <v>0.34</v>
      </c>
    </row>
    <row r="3106" spans="1:15">
      <c r="A3106" t="str">
        <f>"600283"</f>
        <v>600283</v>
      </c>
      <c r="B3106" t="s">
        <v>3145</v>
      </c>
      <c r="C3106">
        <v>-0.98</v>
      </c>
      <c r="D3106">
        <v>8.12</v>
      </c>
      <c r="E3106" t="s">
        <v>16</v>
      </c>
      <c r="F3106" t="s">
        <v>16</v>
      </c>
      <c r="H3106">
        <v>-0.11</v>
      </c>
      <c r="I3106">
        <v>-3.79</v>
      </c>
      <c r="J3106">
        <v>-0.98</v>
      </c>
      <c r="L3106">
        <v>-0.24</v>
      </c>
      <c r="M3106">
        <v>5.64</v>
      </c>
      <c r="N3106">
        <v>0</v>
      </c>
      <c r="O3106">
        <v>0.37</v>
      </c>
    </row>
    <row r="3107" spans="1:15">
      <c r="A3107" t="str">
        <f>"600284"</f>
        <v>600284</v>
      </c>
      <c r="B3107" t="s">
        <v>3146</v>
      </c>
      <c r="C3107">
        <v>1.16</v>
      </c>
      <c r="D3107">
        <v>5.23</v>
      </c>
      <c r="E3107" t="s">
        <v>16</v>
      </c>
      <c r="F3107" t="s">
        <v>16</v>
      </c>
      <c r="H3107">
        <v>0</v>
      </c>
      <c r="I3107">
        <v>-7.76</v>
      </c>
      <c r="J3107">
        <v>-1.13</v>
      </c>
      <c r="L3107">
        <v>0.58</v>
      </c>
      <c r="M3107">
        <v>47.06</v>
      </c>
      <c r="N3107">
        <v>0.01</v>
      </c>
      <c r="O3107">
        <v>4.76</v>
      </c>
    </row>
    <row r="3108" spans="1:15">
      <c r="A3108" t="str">
        <f>"600285"</f>
        <v>600285</v>
      </c>
      <c r="B3108" t="s">
        <v>3147</v>
      </c>
      <c r="C3108">
        <v>-1.61</v>
      </c>
      <c r="D3108">
        <v>20.12</v>
      </c>
      <c r="E3108" t="s">
        <v>16</v>
      </c>
      <c r="F3108" t="s">
        <v>16</v>
      </c>
      <c r="H3108">
        <v>0</v>
      </c>
      <c r="I3108">
        <v>-0.79</v>
      </c>
      <c r="J3108">
        <v>-1.42</v>
      </c>
      <c r="L3108">
        <v>-0.29</v>
      </c>
      <c r="M3108">
        <v>30.18</v>
      </c>
      <c r="N3108">
        <v>0</v>
      </c>
      <c r="O3108">
        <v>0.97</v>
      </c>
    </row>
    <row r="3109" spans="1:15">
      <c r="A3109" t="str">
        <f>"600287"</f>
        <v>600287</v>
      </c>
      <c r="B3109" t="s">
        <v>3148</v>
      </c>
      <c r="C3109">
        <v>-1.28</v>
      </c>
      <c r="D3109">
        <v>4.61</v>
      </c>
      <c r="E3109" t="s">
        <v>16</v>
      </c>
      <c r="F3109" t="s">
        <v>16</v>
      </c>
      <c r="H3109">
        <v>0</v>
      </c>
      <c r="I3109">
        <v>-7.06</v>
      </c>
      <c r="J3109">
        <v>-2.12</v>
      </c>
      <c r="L3109">
        <v>-1.07</v>
      </c>
      <c r="M3109">
        <v>27.4</v>
      </c>
      <c r="N3109">
        <v>0.03</v>
      </c>
      <c r="O3109">
        <v>7.15</v>
      </c>
    </row>
    <row r="3110" spans="1:15">
      <c r="A3110" t="str">
        <f>"600288"</f>
        <v>600288</v>
      </c>
      <c r="B3110" t="s">
        <v>3149</v>
      </c>
      <c r="C3110">
        <v>-0.3</v>
      </c>
      <c r="D3110">
        <v>13.14</v>
      </c>
      <c r="E3110" t="s">
        <v>16</v>
      </c>
      <c r="F3110" t="s">
        <v>16</v>
      </c>
      <c r="H3110">
        <v>-0.07</v>
      </c>
      <c r="I3110">
        <v>-1.35</v>
      </c>
      <c r="J3110">
        <v>-1.57</v>
      </c>
      <c r="L3110">
        <v>-0.68</v>
      </c>
      <c r="M3110">
        <v>23.69</v>
      </c>
      <c r="N3110">
        <v>0</v>
      </c>
      <c r="O3110">
        <v>0.3</v>
      </c>
    </row>
    <row r="3111" spans="1:15">
      <c r="A3111" t="str">
        <f>"600289"</f>
        <v>600289</v>
      </c>
      <c r="B3111" t="s">
        <v>3150</v>
      </c>
      <c r="C3111">
        <v>-4.94</v>
      </c>
      <c r="D3111">
        <v>5.2</v>
      </c>
      <c r="E3111">
        <v>64.38</v>
      </c>
      <c r="F3111" t="s">
        <v>16</v>
      </c>
      <c r="H3111">
        <v>0</v>
      </c>
      <c r="I3111">
        <v>-14.19</v>
      </c>
      <c r="J3111">
        <v>-5.11</v>
      </c>
      <c r="L3111">
        <v>0.18</v>
      </c>
      <c r="M3111">
        <v>0.16</v>
      </c>
      <c r="N3111">
        <v>0</v>
      </c>
      <c r="O3111">
        <v>1.46</v>
      </c>
    </row>
    <row r="3112" spans="1:15">
      <c r="A3112" t="str">
        <f>"600292"</f>
        <v>600292</v>
      </c>
      <c r="B3112" t="s">
        <v>3151</v>
      </c>
      <c r="C3112">
        <v>2.15</v>
      </c>
      <c r="D3112">
        <v>14.24</v>
      </c>
      <c r="E3112" t="s">
        <v>16</v>
      </c>
      <c r="F3112" t="s">
        <v>16</v>
      </c>
      <c r="H3112">
        <v>-0.34</v>
      </c>
      <c r="I3112">
        <v>1.86</v>
      </c>
      <c r="J3112">
        <v>-2.13</v>
      </c>
      <c r="L3112">
        <v>-0.65</v>
      </c>
      <c r="M3112">
        <v>120.36</v>
      </c>
      <c r="N3112">
        <v>0.02</v>
      </c>
      <c r="O3112">
        <v>1.09</v>
      </c>
    </row>
    <row r="3113" spans="1:15">
      <c r="A3113" t="str">
        <f>"600293"</f>
        <v>600293</v>
      </c>
      <c r="B3113" t="s">
        <v>3152</v>
      </c>
      <c r="C3113">
        <v>-7.47</v>
      </c>
      <c r="D3113">
        <v>3.59</v>
      </c>
      <c r="E3113" t="s">
        <v>16</v>
      </c>
      <c r="F3113" t="s">
        <v>16</v>
      </c>
      <c r="H3113">
        <v>-0.27</v>
      </c>
      <c r="I3113">
        <v>-0.28</v>
      </c>
      <c r="J3113">
        <v>-6.02</v>
      </c>
      <c r="K3113" t="s">
        <v>57</v>
      </c>
      <c r="L3113">
        <v>-2.32</v>
      </c>
      <c r="M3113">
        <v>660.48</v>
      </c>
      <c r="N3113">
        <v>0.21</v>
      </c>
      <c r="O3113">
        <v>1.25</v>
      </c>
    </row>
    <row r="3114" spans="1:15">
      <c r="A3114" t="str">
        <f>"600295"</f>
        <v>600295</v>
      </c>
      <c r="B3114" t="s">
        <v>3153</v>
      </c>
      <c r="C3114">
        <v>-0.63</v>
      </c>
      <c r="D3114">
        <v>12.66</v>
      </c>
      <c r="E3114" t="s">
        <v>16</v>
      </c>
      <c r="F3114" t="s">
        <v>16</v>
      </c>
      <c r="H3114">
        <v>0</v>
      </c>
      <c r="I3114">
        <v>-0.47</v>
      </c>
      <c r="J3114">
        <v>-1.25</v>
      </c>
      <c r="L3114">
        <v>0.08</v>
      </c>
      <c r="M3114">
        <v>79.3</v>
      </c>
      <c r="N3114">
        <v>0.01</v>
      </c>
      <c r="O3114">
        <v>1.36</v>
      </c>
    </row>
    <row r="3115" spans="1:15">
      <c r="A3115" t="str">
        <f>"600298"</f>
        <v>600298</v>
      </c>
      <c r="B3115" t="s">
        <v>3154</v>
      </c>
      <c r="C3115">
        <v>-1.06</v>
      </c>
      <c r="D3115">
        <v>33.5</v>
      </c>
      <c r="E3115" t="s">
        <v>16</v>
      </c>
      <c r="F3115" t="s">
        <v>16</v>
      </c>
      <c r="H3115">
        <v>-0.2</v>
      </c>
      <c r="I3115">
        <v>-1.79</v>
      </c>
      <c r="J3115">
        <v>-2.56</v>
      </c>
      <c r="L3115">
        <v>0</v>
      </c>
      <c r="M3115">
        <v>67.38</v>
      </c>
      <c r="N3115">
        <v>0</v>
      </c>
      <c r="O3115">
        <v>0.91</v>
      </c>
    </row>
    <row r="3116" spans="1:15">
      <c r="A3116" t="str">
        <f>"600299"</f>
        <v>600299</v>
      </c>
      <c r="B3116" t="s">
        <v>3155</v>
      </c>
      <c r="C3116">
        <v>-2.44</v>
      </c>
      <c r="D3116">
        <v>9.58</v>
      </c>
      <c r="E3116" t="s">
        <v>16</v>
      </c>
      <c r="F3116" t="s">
        <v>16</v>
      </c>
      <c r="H3116">
        <v>-0.2</v>
      </c>
      <c r="I3116">
        <v>-8.67</v>
      </c>
      <c r="J3116">
        <v>-3.04</v>
      </c>
      <c r="L3116">
        <v>0.61</v>
      </c>
      <c r="M3116">
        <v>24.01</v>
      </c>
      <c r="N3116">
        <v>0.01</v>
      </c>
      <c r="O3116">
        <v>0.86</v>
      </c>
    </row>
    <row r="3117" spans="1:15">
      <c r="A3117" t="str">
        <f>"600300"</f>
        <v>600300</v>
      </c>
      <c r="B3117" t="s">
        <v>3156</v>
      </c>
      <c r="C3117">
        <v>-0.67</v>
      </c>
      <c r="D3117">
        <v>2.98</v>
      </c>
      <c r="E3117" t="s">
        <v>16</v>
      </c>
      <c r="F3117" t="s">
        <v>16</v>
      </c>
      <c r="H3117">
        <v>-0.32</v>
      </c>
      <c r="I3117">
        <v>-5.4</v>
      </c>
      <c r="J3117">
        <v>-0.67</v>
      </c>
      <c r="L3117">
        <v>-0.33</v>
      </c>
      <c r="M3117">
        <v>35.01</v>
      </c>
      <c r="N3117">
        <v>0.01</v>
      </c>
      <c r="O3117">
        <v>45.03</v>
      </c>
    </row>
    <row r="3118" spans="1:15">
      <c r="A3118" t="str">
        <f>"600301"</f>
        <v>600301</v>
      </c>
      <c r="B3118" t="s">
        <v>3157</v>
      </c>
      <c r="C3118">
        <v>-1.2</v>
      </c>
      <c r="D3118">
        <v>65.61</v>
      </c>
      <c r="E3118" t="s">
        <v>16</v>
      </c>
      <c r="F3118" t="s">
        <v>16</v>
      </c>
      <c r="H3118">
        <v>-0.32</v>
      </c>
      <c r="I3118">
        <v>3.03</v>
      </c>
      <c r="J3118">
        <v>-4.06</v>
      </c>
      <c r="L3118">
        <v>-0.63</v>
      </c>
      <c r="M3118">
        <v>704.11</v>
      </c>
      <c r="N3118">
        <v>0.05</v>
      </c>
      <c r="O3118">
        <v>0.61</v>
      </c>
    </row>
    <row r="3119" spans="1:15">
      <c r="A3119" t="str">
        <f>"600302"</f>
        <v>600302</v>
      </c>
      <c r="B3119" t="s">
        <v>3158</v>
      </c>
      <c r="C3119">
        <v>-5</v>
      </c>
      <c r="D3119">
        <v>9.12</v>
      </c>
      <c r="E3119">
        <v>112.27</v>
      </c>
      <c r="F3119" t="s">
        <v>16</v>
      </c>
      <c r="H3119">
        <v>0</v>
      </c>
      <c r="I3119">
        <v>-8.98</v>
      </c>
      <c r="J3119">
        <v>-6.27</v>
      </c>
      <c r="L3119">
        <v>-2.4</v>
      </c>
      <c r="M3119">
        <v>92.2</v>
      </c>
      <c r="N3119">
        <v>0.05</v>
      </c>
      <c r="O3119">
        <v>2.34</v>
      </c>
    </row>
    <row r="3120" spans="1:15">
      <c r="A3120" t="str">
        <f>"600303"</f>
        <v>600303</v>
      </c>
      <c r="B3120" t="s">
        <v>3159</v>
      </c>
      <c r="C3120">
        <v>-2.53</v>
      </c>
      <c r="D3120">
        <v>2.7</v>
      </c>
      <c r="E3120" t="s">
        <v>16</v>
      </c>
      <c r="F3120" t="s">
        <v>16</v>
      </c>
      <c r="H3120">
        <v>-0.36</v>
      </c>
      <c r="I3120">
        <v>-14.29</v>
      </c>
      <c r="J3120">
        <v>-2.88</v>
      </c>
      <c r="L3120">
        <v>-0.72</v>
      </c>
      <c r="M3120">
        <v>73.32</v>
      </c>
      <c r="N3120">
        <v>0.05</v>
      </c>
      <c r="O3120">
        <v>0.53</v>
      </c>
    </row>
    <row r="3121" spans="1:15">
      <c r="A3121" t="str">
        <f>"600305"</f>
        <v>600305</v>
      </c>
      <c r="B3121" t="s">
        <v>3160</v>
      </c>
      <c r="C3121">
        <v>-1.05</v>
      </c>
      <c r="D3121">
        <v>6.6</v>
      </c>
      <c r="E3121" t="s">
        <v>16</v>
      </c>
      <c r="F3121" t="s">
        <v>16</v>
      </c>
      <c r="H3121">
        <v>-0.29</v>
      </c>
      <c r="I3121">
        <v>-3.93</v>
      </c>
      <c r="J3121">
        <v>-1.2</v>
      </c>
      <c r="L3121">
        <v>-0.6</v>
      </c>
      <c r="M3121">
        <v>30.23</v>
      </c>
      <c r="N3121">
        <v>0.01</v>
      </c>
      <c r="O3121">
        <v>2.59</v>
      </c>
    </row>
    <row r="3122" spans="1:15">
      <c r="A3122" t="str">
        <f>"600307"</f>
        <v>600307</v>
      </c>
      <c r="B3122" t="s">
        <v>3161</v>
      </c>
      <c r="C3122">
        <v>0</v>
      </c>
      <c r="D3122">
        <v>1.51</v>
      </c>
      <c r="E3122" t="s">
        <v>16</v>
      </c>
      <c r="F3122" t="s">
        <v>16</v>
      </c>
      <c r="H3122">
        <v>0.67</v>
      </c>
      <c r="I3122">
        <v>-5.03</v>
      </c>
      <c r="J3122">
        <v>-1.31</v>
      </c>
      <c r="L3122">
        <v>0</v>
      </c>
      <c r="M3122">
        <v>42.31</v>
      </c>
      <c r="N3122">
        <v>0.01</v>
      </c>
      <c r="O3122">
        <v>8.92</v>
      </c>
    </row>
    <row r="3123" spans="1:15">
      <c r="A3123" t="str">
        <f>"600308"</f>
        <v>600308</v>
      </c>
      <c r="B3123" t="s">
        <v>3162</v>
      </c>
      <c r="C3123">
        <v>-3.69</v>
      </c>
      <c r="D3123">
        <v>3.13</v>
      </c>
      <c r="E3123" t="s">
        <v>16</v>
      </c>
      <c r="F3123" t="s">
        <v>16</v>
      </c>
      <c r="H3123">
        <v>0</v>
      </c>
      <c r="I3123">
        <v>-7.94</v>
      </c>
      <c r="J3123">
        <v>-3.69</v>
      </c>
      <c r="L3123">
        <v>-0.31</v>
      </c>
      <c r="M3123">
        <v>10.04</v>
      </c>
      <c r="N3123">
        <v>0</v>
      </c>
      <c r="O3123">
        <v>0.89</v>
      </c>
    </row>
    <row r="3124" spans="1:15">
      <c r="A3124" t="str">
        <f>"600309"</f>
        <v>600309</v>
      </c>
      <c r="B3124" t="s">
        <v>3163</v>
      </c>
      <c r="C3124">
        <v>-2.46</v>
      </c>
      <c r="D3124">
        <v>69.05</v>
      </c>
      <c r="E3124" t="s">
        <v>16</v>
      </c>
      <c r="F3124" t="s">
        <v>16</v>
      </c>
      <c r="H3124">
        <v>-0.12</v>
      </c>
      <c r="I3124">
        <v>-4.32</v>
      </c>
      <c r="J3124">
        <v>-2.17</v>
      </c>
      <c r="L3124">
        <v>-1.1</v>
      </c>
      <c r="M3124">
        <v>866.02</v>
      </c>
      <c r="N3124">
        <v>0.01</v>
      </c>
      <c r="O3124">
        <v>0.98</v>
      </c>
    </row>
    <row r="3125" spans="1:15">
      <c r="A3125" t="str">
        <f>"600310"</f>
        <v>600310</v>
      </c>
      <c r="B3125" t="s">
        <v>3164</v>
      </c>
      <c r="C3125">
        <v>-6.21</v>
      </c>
      <c r="D3125">
        <v>4.38</v>
      </c>
      <c r="E3125" t="s">
        <v>16</v>
      </c>
      <c r="F3125" t="s">
        <v>16</v>
      </c>
      <c r="H3125">
        <v>0</v>
      </c>
      <c r="I3125">
        <v>-30.03</v>
      </c>
      <c r="J3125">
        <v>-6.21</v>
      </c>
      <c r="L3125">
        <v>0</v>
      </c>
      <c r="M3125">
        <v>219.4</v>
      </c>
      <c r="N3125">
        <v>0.07</v>
      </c>
      <c r="O3125">
        <v>1.55</v>
      </c>
    </row>
    <row r="3126" spans="1:15">
      <c r="A3126" t="str">
        <f>"600312"</f>
        <v>600312</v>
      </c>
      <c r="B3126" t="s">
        <v>3165</v>
      </c>
      <c r="C3126">
        <v>-1.68</v>
      </c>
      <c r="D3126">
        <v>18.69</v>
      </c>
      <c r="E3126" t="s">
        <v>16</v>
      </c>
      <c r="F3126" t="s">
        <v>16</v>
      </c>
      <c r="H3126">
        <v>-0.04</v>
      </c>
      <c r="I3126">
        <v>-4.69</v>
      </c>
      <c r="J3126">
        <v>-2.04</v>
      </c>
      <c r="L3126">
        <v>-0.47</v>
      </c>
      <c r="M3126">
        <v>131.3</v>
      </c>
      <c r="N3126">
        <v>0.01</v>
      </c>
      <c r="O3126">
        <v>0.63</v>
      </c>
    </row>
    <row r="3127" spans="1:15">
      <c r="A3127" t="str">
        <f>"600313"</f>
        <v>600313</v>
      </c>
      <c r="B3127" t="s">
        <v>3166</v>
      </c>
      <c r="C3127">
        <v>-0.88</v>
      </c>
      <c r="D3127">
        <v>5.65</v>
      </c>
      <c r="E3127" t="s">
        <v>16</v>
      </c>
      <c r="F3127" t="s">
        <v>16</v>
      </c>
      <c r="H3127">
        <v>0</v>
      </c>
      <c r="I3127">
        <v>-9.6</v>
      </c>
      <c r="J3127">
        <v>-1.4</v>
      </c>
      <c r="L3127">
        <v>-0.18</v>
      </c>
      <c r="M3127">
        <v>23.44</v>
      </c>
      <c r="N3127">
        <v>0.01</v>
      </c>
      <c r="O3127">
        <v>0.57</v>
      </c>
    </row>
    <row r="3128" spans="1:15">
      <c r="A3128" t="str">
        <f>"600315"</f>
        <v>600315</v>
      </c>
      <c r="B3128" t="s">
        <v>3167</v>
      </c>
      <c r="C3128">
        <v>-2.98</v>
      </c>
      <c r="D3128">
        <v>17.59</v>
      </c>
      <c r="E3128" t="s">
        <v>16</v>
      </c>
      <c r="F3128" t="s">
        <v>16</v>
      </c>
      <c r="H3128">
        <v>-0.22</v>
      </c>
      <c r="I3128">
        <v>-0.23</v>
      </c>
      <c r="J3128">
        <v>-2.66</v>
      </c>
      <c r="L3128">
        <v>-0.33</v>
      </c>
      <c r="M3128">
        <v>15.9</v>
      </c>
      <c r="N3128">
        <v>0</v>
      </c>
      <c r="O3128">
        <v>0.45</v>
      </c>
    </row>
    <row r="3129" spans="1:15">
      <c r="A3129" t="str">
        <f>"600316"</f>
        <v>600316</v>
      </c>
      <c r="B3129" t="s">
        <v>3168</v>
      </c>
      <c r="C3129">
        <v>4.87</v>
      </c>
      <c r="D3129">
        <v>28.02</v>
      </c>
      <c r="E3129" t="s">
        <v>16</v>
      </c>
      <c r="F3129" t="s">
        <v>16</v>
      </c>
      <c r="H3129">
        <v>-0.13</v>
      </c>
      <c r="I3129">
        <v>0.57</v>
      </c>
      <c r="J3129">
        <v>-1.55</v>
      </c>
      <c r="L3129">
        <v>-0.34</v>
      </c>
      <c r="M3129">
        <v>76.96</v>
      </c>
      <c r="N3129">
        <v>0.01</v>
      </c>
      <c r="O3129">
        <v>1.49</v>
      </c>
    </row>
    <row r="3130" spans="1:15">
      <c r="A3130" t="str">
        <f>"600318"</f>
        <v>600318</v>
      </c>
      <c r="B3130" t="s">
        <v>3169</v>
      </c>
      <c r="C3130">
        <v>-2.66</v>
      </c>
      <c r="D3130">
        <v>6.23</v>
      </c>
      <c r="E3130" t="s">
        <v>16</v>
      </c>
      <c r="F3130" t="s">
        <v>16</v>
      </c>
      <c r="H3130">
        <v>0</v>
      </c>
      <c r="I3130">
        <v>-4.15</v>
      </c>
      <c r="J3130">
        <v>-2.81</v>
      </c>
      <c r="L3130">
        <v>0</v>
      </c>
      <c r="M3130">
        <v>7.55</v>
      </c>
      <c r="N3130">
        <v>0</v>
      </c>
      <c r="O3130">
        <v>0.25</v>
      </c>
    </row>
    <row r="3131" spans="1:15">
      <c r="A3131" t="str">
        <f>"600319"</f>
        <v>600319</v>
      </c>
      <c r="B3131" t="s">
        <v>3170</v>
      </c>
      <c r="C3131">
        <v>-2.51</v>
      </c>
      <c r="D3131">
        <v>6.61</v>
      </c>
      <c r="E3131" t="s">
        <v>16</v>
      </c>
      <c r="F3131" t="s">
        <v>16</v>
      </c>
      <c r="H3131">
        <v>-0.14</v>
      </c>
      <c r="I3131">
        <v>-9.7</v>
      </c>
      <c r="J3131">
        <v>-2.36</v>
      </c>
      <c r="L3131">
        <v>-1.18</v>
      </c>
      <c r="M3131">
        <v>7.3</v>
      </c>
      <c r="N3131">
        <v>0</v>
      </c>
      <c r="O3131">
        <v>0.68</v>
      </c>
    </row>
    <row r="3132" spans="1:15">
      <c r="A3132" t="str">
        <f>"600320"</f>
        <v>600320</v>
      </c>
      <c r="B3132" t="s">
        <v>3171</v>
      </c>
      <c r="C3132">
        <v>-2.43</v>
      </c>
      <c r="D3132">
        <v>4.41</v>
      </c>
      <c r="E3132" t="s">
        <v>16</v>
      </c>
      <c r="F3132" t="s">
        <v>16</v>
      </c>
      <c r="H3132">
        <v>0</v>
      </c>
      <c r="I3132">
        <v>-3.92</v>
      </c>
      <c r="J3132">
        <v>-2.43</v>
      </c>
      <c r="L3132">
        <v>-1.11</v>
      </c>
      <c r="M3132">
        <v>120.46</v>
      </c>
      <c r="N3132">
        <v>0.02</v>
      </c>
      <c r="O3132">
        <v>2.61</v>
      </c>
    </row>
    <row r="3133" spans="1:15">
      <c r="A3133" t="str">
        <f>"600322"</f>
        <v>600322</v>
      </c>
      <c r="B3133" t="s">
        <v>3172</v>
      </c>
      <c r="C3133">
        <v>0</v>
      </c>
      <c r="D3133">
        <v>2.42</v>
      </c>
      <c r="E3133" t="s">
        <v>16</v>
      </c>
      <c r="F3133" t="s">
        <v>16</v>
      </c>
      <c r="H3133">
        <v>0.41</v>
      </c>
      <c r="I3133">
        <v>-10.37</v>
      </c>
      <c r="J3133">
        <v>-1.63</v>
      </c>
      <c r="L3133">
        <v>-1.24</v>
      </c>
      <c r="M3133">
        <v>46.75</v>
      </c>
      <c r="N3133">
        <v>0.02</v>
      </c>
      <c r="O3133">
        <v>0.17</v>
      </c>
    </row>
    <row r="3134" spans="1:15">
      <c r="A3134" t="str">
        <f>"600323"</f>
        <v>600323</v>
      </c>
      <c r="B3134" t="s">
        <v>3173</v>
      </c>
      <c r="C3134">
        <v>0.24</v>
      </c>
      <c r="D3134">
        <v>28.92</v>
      </c>
      <c r="E3134" t="s">
        <v>16</v>
      </c>
      <c r="F3134" t="s">
        <v>16</v>
      </c>
      <c r="H3134">
        <v>2.92</v>
      </c>
      <c r="I3134">
        <v>-5.02</v>
      </c>
      <c r="J3134">
        <v>-0.21</v>
      </c>
      <c r="L3134">
        <v>0.17</v>
      </c>
      <c r="M3134">
        <v>29.77</v>
      </c>
      <c r="N3134">
        <v>0</v>
      </c>
      <c r="O3134">
        <v>0.23</v>
      </c>
    </row>
    <row r="3135" spans="1:15">
      <c r="A3135" t="str">
        <f>"600325"</f>
        <v>600325</v>
      </c>
      <c r="B3135" t="s">
        <v>3174</v>
      </c>
      <c r="C3135">
        <v>-1.98</v>
      </c>
      <c r="D3135">
        <v>2.48</v>
      </c>
      <c r="E3135" t="s">
        <v>16</v>
      </c>
      <c r="F3135" t="s">
        <v>16</v>
      </c>
      <c r="H3135">
        <v>0</v>
      </c>
      <c r="I3135">
        <v>-8.49</v>
      </c>
      <c r="J3135">
        <v>-2.36</v>
      </c>
      <c r="L3135">
        <v>-0.79</v>
      </c>
      <c r="M3135">
        <v>40.46</v>
      </c>
      <c r="N3135">
        <v>0.01</v>
      </c>
      <c r="O3135">
        <v>0.97</v>
      </c>
    </row>
    <row r="3136" spans="1:15">
      <c r="A3136" t="str">
        <f>"600326"</f>
        <v>600326</v>
      </c>
      <c r="B3136" t="s">
        <v>3175</v>
      </c>
      <c r="C3136">
        <v>-1.82</v>
      </c>
      <c r="D3136">
        <v>7.02</v>
      </c>
      <c r="E3136" t="s">
        <v>16</v>
      </c>
      <c r="F3136" t="s">
        <v>16</v>
      </c>
      <c r="H3136">
        <v>-0.13</v>
      </c>
      <c r="I3136">
        <v>-7.14</v>
      </c>
      <c r="J3136">
        <v>-1.82</v>
      </c>
      <c r="L3136">
        <v>-0.7</v>
      </c>
      <c r="M3136">
        <v>48</v>
      </c>
      <c r="N3136">
        <v>0.01</v>
      </c>
      <c r="O3136">
        <v>1.58</v>
      </c>
    </row>
    <row r="3137" spans="1:15">
      <c r="A3137" t="str">
        <f>"600327"</f>
        <v>600327</v>
      </c>
      <c r="B3137" t="s">
        <v>3176</v>
      </c>
      <c r="C3137">
        <v>-1.79</v>
      </c>
      <c r="D3137">
        <v>3.29</v>
      </c>
      <c r="E3137" t="s">
        <v>16</v>
      </c>
      <c r="F3137" t="s">
        <v>16</v>
      </c>
      <c r="H3137">
        <v>-0.59</v>
      </c>
      <c r="I3137">
        <v>-7.84</v>
      </c>
      <c r="J3137">
        <v>-2.37</v>
      </c>
      <c r="L3137">
        <v>0.3</v>
      </c>
      <c r="M3137">
        <v>12.4</v>
      </c>
      <c r="N3137">
        <v>0.01</v>
      </c>
      <c r="O3137">
        <v>10.54</v>
      </c>
    </row>
    <row r="3138" spans="1:15">
      <c r="A3138" t="str">
        <f>"600328"</f>
        <v>600328</v>
      </c>
      <c r="B3138" t="s">
        <v>3177</v>
      </c>
      <c r="C3138">
        <v>-1.93</v>
      </c>
      <c r="D3138">
        <v>6.59</v>
      </c>
      <c r="E3138" t="s">
        <v>16</v>
      </c>
      <c r="F3138" t="s">
        <v>16</v>
      </c>
      <c r="H3138">
        <v>0</v>
      </c>
      <c r="I3138">
        <v>-1.2</v>
      </c>
      <c r="J3138">
        <v>-3.09</v>
      </c>
      <c r="L3138">
        <v>1.19</v>
      </c>
      <c r="M3138">
        <v>68.07</v>
      </c>
      <c r="N3138">
        <v>0.01</v>
      </c>
      <c r="O3138">
        <v>3.11</v>
      </c>
    </row>
    <row r="3139" spans="1:15">
      <c r="A3139" t="str">
        <f>"600329"</f>
        <v>600329</v>
      </c>
      <c r="B3139" t="s">
        <v>3178</v>
      </c>
      <c r="C3139">
        <v>0.29</v>
      </c>
      <c r="D3139">
        <v>37.84</v>
      </c>
      <c r="E3139" t="s">
        <v>16</v>
      </c>
      <c r="F3139" t="s">
        <v>16</v>
      </c>
      <c r="H3139">
        <v>-0.02</v>
      </c>
      <c r="I3139">
        <v>-4.52</v>
      </c>
      <c r="J3139">
        <v>-1.46</v>
      </c>
      <c r="L3139">
        <v>0</v>
      </c>
      <c r="M3139">
        <v>35.47</v>
      </c>
      <c r="N3139">
        <v>0</v>
      </c>
      <c r="O3139">
        <v>3.62</v>
      </c>
    </row>
    <row r="3140" spans="1:15">
      <c r="A3140" t="str">
        <f>"600330"</f>
        <v>600330</v>
      </c>
      <c r="B3140" t="s">
        <v>3179</v>
      </c>
      <c r="C3140">
        <v>-1.59</v>
      </c>
      <c r="D3140">
        <v>32.88</v>
      </c>
      <c r="E3140" t="s">
        <v>16</v>
      </c>
      <c r="F3140" t="s">
        <v>16</v>
      </c>
      <c r="H3140">
        <v>-0.02</v>
      </c>
      <c r="I3140">
        <v>10.45</v>
      </c>
      <c r="J3140">
        <v>-4.11</v>
      </c>
      <c r="L3140">
        <v>-0.18</v>
      </c>
      <c r="M3140">
        <v>3833.25</v>
      </c>
      <c r="N3140">
        <v>0.11</v>
      </c>
      <c r="O3140">
        <v>0.81</v>
      </c>
    </row>
    <row r="3141" spans="1:15">
      <c r="A3141" t="str">
        <f>"600331"</f>
        <v>600331</v>
      </c>
      <c r="B3141" t="s">
        <v>3180</v>
      </c>
      <c r="C3141">
        <v>-1.84</v>
      </c>
      <c r="D3141">
        <v>12.8</v>
      </c>
      <c r="E3141" t="s">
        <v>16</v>
      </c>
      <c r="F3141" t="s">
        <v>16</v>
      </c>
      <c r="H3141">
        <v>0</v>
      </c>
      <c r="I3141">
        <v>-10.68</v>
      </c>
      <c r="J3141">
        <v>-5.54</v>
      </c>
      <c r="L3141">
        <v>-1</v>
      </c>
      <c r="M3141">
        <v>234.7</v>
      </c>
      <c r="N3141">
        <v>0.01</v>
      </c>
      <c r="O3141">
        <v>1.64</v>
      </c>
    </row>
    <row r="3142" spans="1:15">
      <c r="A3142" t="str">
        <f>"600332"</f>
        <v>600332</v>
      </c>
      <c r="B3142" t="s">
        <v>3181</v>
      </c>
      <c r="C3142">
        <v>-1.56</v>
      </c>
      <c r="D3142">
        <v>20.78</v>
      </c>
      <c r="E3142" t="s">
        <v>16</v>
      </c>
      <c r="F3142" t="s">
        <v>16</v>
      </c>
      <c r="H3142">
        <v>-0.09</v>
      </c>
      <c r="I3142">
        <v>-0.48</v>
      </c>
      <c r="J3142">
        <v>-1.42</v>
      </c>
      <c r="L3142">
        <v>-0.14</v>
      </c>
      <c r="M3142">
        <v>31.62</v>
      </c>
      <c r="N3142">
        <v>0</v>
      </c>
      <c r="O3142">
        <v>0.25</v>
      </c>
    </row>
    <row r="3143" spans="1:15">
      <c r="A3143" t="str">
        <f>"600333"</f>
        <v>600333</v>
      </c>
      <c r="B3143" t="s">
        <v>3182</v>
      </c>
      <c r="C3143">
        <v>-3.41</v>
      </c>
      <c r="D3143">
        <v>5.38</v>
      </c>
      <c r="E3143" t="s">
        <v>16</v>
      </c>
      <c r="F3143" t="s">
        <v>16</v>
      </c>
      <c r="H3143">
        <v>0</v>
      </c>
      <c r="I3143">
        <v>-5.28</v>
      </c>
      <c r="J3143">
        <v>-3.93</v>
      </c>
      <c r="L3143">
        <v>0</v>
      </c>
      <c r="M3143">
        <v>0.17</v>
      </c>
      <c r="N3143">
        <v>0</v>
      </c>
      <c r="O3143">
        <v>0.04</v>
      </c>
    </row>
    <row r="3144" spans="1:15">
      <c r="A3144" t="str">
        <f>"600335"</f>
        <v>600335</v>
      </c>
      <c r="B3144" t="s">
        <v>3183</v>
      </c>
      <c r="C3144">
        <v>-0.96</v>
      </c>
      <c r="D3144">
        <v>5.17</v>
      </c>
      <c r="E3144" t="s">
        <v>16</v>
      </c>
      <c r="F3144" t="s">
        <v>16</v>
      </c>
      <c r="H3144">
        <v>0.19</v>
      </c>
      <c r="I3144">
        <v>-4.44</v>
      </c>
      <c r="J3144">
        <v>-1.34</v>
      </c>
      <c r="L3144">
        <v>0.38</v>
      </c>
      <c r="M3144">
        <v>42.65</v>
      </c>
      <c r="N3144">
        <v>0.02</v>
      </c>
      <c r="O3144">
        <v>11.97</v>
      </c>
    </row>
    <row r="3145" spans="1:15">
      <c r="A3145" t="str">
        <f>"600336"</f>
        <v>600336</v>
      </c>
      <c r="B3145" t="s">
        <v>3184</v>
      </c>
      <c r="C3145">
        <v>-2.01</v>
      </c>
      <c r="D3145">
        <v>6.83</v>
      </c>
      <c r="E3145" t="s">
        <v>16</v>
      </c>
      <c r="F3145" t="s">
        <v>16</v>
      </c>
      <c r="H3145">
        <v>0.29</v>
      </c>
      <c r="I3145">
        <v>-12.1</v>
      </c>
      <c r="J3145">
        <v>-1.87</v>
      </c>
      <c r="L3145">
        <v>-0.14</v>
      </c>
      <c r="M3145">
        <v>5.43</v>
      </c>
      <c r="N3145">
        <v>0</v>
      </c>
      <c r="O3145">
        <v>0.38</v>
      </c>
    </row>
    <row r="3146" spans="1:15">
      <c r="A3146" t="str">
        <f>"600337"</f>
        <v>600337</v>
      </c>
      <c r="B3146" t="s">
        <v>3185</v>
      </c>
      <c r="C3146">
        <v>-1.01</v>
      </c>
      <c r="D3146">
        <v>2.93</v>
      </c>
      <c r="E3146" t="s">
        <v>16</v>
      </c>
      <c r="F3146" t="s">
        <v>16</v>
      </c>
      <c r="H3146">
        <v>-0.67</v>
      </c>
      <c r="I3146">
        <v>-9.85</v>
      </c>
      <c r="J3146">
        <v>-4.25</v>
      </c>
      <c r="L3146">
        <v>0</v>
      </c>
      <c r="M3146">
        <v>34.84</v>
      </c>
      <c r="N3146">
        <v>0.02</v>
      </c>
      <c r="O3146">
        <v>1.85</v>
      </c>
    </row>
    <row r="3147" spans="1:15">
      <c r="A3147" t="str">
        <f>"600338"</f>
        <v>600338</v>
      </c>
      <c r="B3147" t="s">
        <v>3186</v>
      </c>
      <c r="C3147">
        <v>-2.74</v>
      </c>
      <c r="D3147">
        <v>17.42</v>
      </c>
      <c r="E3147" t="s">
        <v>16</v>
      </c>
      <c r="F3147" t="s">
        <v>16</v>
      </c>
      <c r="H3147">
        <v>-0.05</v>
      </c>
      <c r="I3147">
        <v>1.28</v>
      </c>
      <c r="J3147">
        <v>-3.49</v>
      </c>
      <c r="L3147">
        <v>-0.89</v>
      </c>
      <c r="M3147">
        <v>1066.06</v>
      </c>
      <c r="N3147">
        <v>0.07</v>
      </c>
      <c r="O3147">
        <v>2.7</v>
      </c>
    </row>
    <row r="3148" spans="1:15">
      <c r="A3148" t="str">
        <f>"600339"</f>
        <v>600339</v>
      </c>
      <c r="B3148" t="s">
        <v>3187</v>
      </c>
      <c r="C3148">
        <v>-1.49</v>
      </c>
      <c r="D3148">
        <v>3.31</v>
      </c>
      <c r="E3148" t="s">
        <v>16</v>
      </c>
      <c r="F3148" t="s">
        <v>16</v>
      </c>
      <c r="H3148">
        <v>0</v>
      </c>
      <c r="I3148">
        <v>-5.43</v>
      </c>
      <c r="J3148">
        <v>-2.93</v>
      </c>
      <c r="L3148">
        <v>-0.89</v>
      </c>
      <c r="M3148">
        <v>153.95</v>
      </c>
      <c r="N3148">
        <v>0.03</v>
      </c>
      <c r="O3148">
        <v>1.23</v>
      </c>
    </row>
    <row r="3149" spans="1:15">
      <c r="A3149" t="str">
        <f>"600340"</f>
        <v>600340</v>
      </c>
      <c r="B3149" t="s">
        <v>3188</v>
      </c>
      <c r="C3149">
        <v>0.78</v>
      </c>
      <c r="D3149">
        <v>1.29</v>
      </c>
      <c r="E3149" t="s">
        <v>16</v>
      </c>
      <c r="F3149" t="s">
        <v>16</v>
      </c>
      <c r="H3149">
        <v>-0.76</v>
      </c>
      <c r="I3149">
        <v>3.2</v>
      </c>
      <c r="J3149">
        <v>-1.53</v>
      </c>
      <c r="L3149">
        <v>1.56</v>
      </c>
      <c r="M3149">
        <v>80.96</v>
      </c>
      <c r="N3149">
        <v>0.03</v>
      </c>
      <c r="O3149">
        <v>1.34</v>
      </c>
    </row>
    <row r="3150" spans="1:15">
      <c r="A3150" t="str">
        <f>"600343"</f>
        <v>600343</v>
      </c>
      <c r="B3150" t="s">
        <v>3189</v>
      </c>
      <c r="C3150">
        <v>1.55</v>
      </c>
      <c r="D3150">
        <v>24.88</v>
      </c>
      <c r="E3150" t="s">
        <v>16</v>
      </c>
      <c r="F3150" t="s">
        <v>16</v>
      </c>
      <c r="H3150">
        <v>0.04</v>
      </c>
      <c r="I3150">
        <v>-0.56</v>
      </c>
      <c r="J3150">
        <v>-1.62</v>
      </c>
      <c r="L3150">
        <v>-1.14</v>
      </c>
      <c r="M3150">
        <v>300.81</v>
      </c>
      <c r="N3150">
        <v>0.03</v>
      </c>
      <c r="O3150">
        <v>0.64</v>
      </c>
    </row>
    <row r="3151" spans="1:15">
      <c r="A3151" t="str">
        <f>"600345"</f>
        <v>600345</v>
      </c>
      <c r="B3151" t="s">
        <v>3190</v>
      </c>
      <c r="C3151">
        <v>7.02</v>
      </c>
      <c r="D3151">
        <v>64.78</v>
      </c>
      <c r="E3151" t="s">
        <v>16</v>
      </c>
      <c r="F3151" t="s">
        <v>16</v>
      </c>
      <c r="H3151">
        <v>0.08</v>
      </c>
      <c r="I3151">
        <v>19.43</v>
      </c>
      <c r="J3151">
        <v>-1.33</v>
      </c>
      <c r="L3151">
        <v>-1.54</v>
      </c>
      <c r="M3151">
        <v>408.26</v>
      </c>
      <c r="N3151">
        <v>0.05</v>
      </c>
      <c r="O3151">
        <v>0.34</v>
      </c>
    </row>
    <row r="3152" spans="1:15">
      <c r="A3152" t="str">
        <f>"600346"</f>
        <v>600346</v>
      </c>
      <c r="B3152" t="s">
        <v>3191</v>
      </c>
      <c r="C3152">
        <v>-4.04</v>
      </c>
      <c r="D3152">
        <v>17.1</v>
      </c>
      <c r="E3152" t="s">
        <v>16</v>
      </c>
      <c r="F3152" t="s">
        <v>16</v>
      </c>
      <c r="H3152">
        <v>-0.34</v>
      </c>
      <c r="I3152">
        <v>2.21</v>
      </c>
      <c r="J3152">
        <v>-3.77</v>
      </c>
      <c r="L3152">
        <v>-0.39</v>
      </c>
      <c r="M3152">
        <v>179.1</v>
      </c>
      <c r="N3152">
        <v>0.01</v>
      </c>
      <c r="O3152">
        <v>0.51</v>
      </c>
    </row>
    <row r="3153" spans="1:15">
      <c r="A3153" t="str">
        <f>"600348"</f>
        <v>600348</v>
      </c>
      <c r="B3153" t="s">
        <v>3192</v>
      </c>
      <c r="C3153">
        <v>-3.31</v>
      </c>
      <c r="D3153">
        <v>8.18</v>
      </c>
      <c r="E3153" t="s">
        <v>16</v>
      </c>
      <c r="F3153" t="s">
        <v>16</v>
      </c>
      <c r="H3153">
        <v>0</v>
      </c>
      <c r="I3153">
        <v>-17.21</v>
      </c>
      <c r="J3153">
        <v>-3.65</v>
      </c>
      <c r="L3153">
        <v>0</v>
      </c>
      <c r="M3153">
        <v>34.09</v>
      </c>
      <c r="N3153">
        <v>0</v>
      </c>
      <c r="O3153">
        <v>0.62</v>
      </c>
    </row>
    <row r="3154" spans="1:15">
      <c r="A3154" t="str">
        <f>"600350"</f>
        <v>600350</v>
      </c>
      <c r="B3154" t="s">
        <v>3193</v>
      </c>
      <c r="C3154">
        <v>-3.94</v>
      </c>
      <c r="D3154">
        <v>10.49</v>
      </c>
      <c r="E3154" t="s">
        <v>16</v>
      </c>
      <c r="F3154" t="s">
        <v>16</v>
      </c>
      <c r="H3154">
        <v>0.1</v>
      </c>
      <c r="I3154">
        <v>-4.46</v>
      </c>
      <c r="J3154">
        <v>-4.9</v>
      </c>
      <c r="L3154">
        <v>0.64</v>
      </c>
      <c r="M3154">
        <v>40.22</v>
      </c>
      <c r="N3154">
        <v>0.01</v>
      </c>
      <c r="O3154">
        <v>1.66</v>
      </c>
    </row>
    <row r="3155" spans="1:15">
      <c r="A3155" t="str">
        <f>"600351"</f>
        <v>600351</v>
      </c>
      <c r="B3155" t="s">
        <v>3194</v>
      </c>
      <c r="C3155">
        <v>-0.99</v>
      </c>
      <c r="D3155">
        <v>5.98</v>
      </c>
      <c r="E3155" t="s">
        <v>16</v>
      </c>
      <c r="F3155" t="s">
        <v>16</v>
      </c>
      <c r="H3155">
        <v>0</v>
      </c>
      <c r="I3155">
        <v>-0.66</v>
      </c>
      <c r="J3155">
        <v>-1.48</v>
      </c>
      <c r="L3155">
        <v>-0.17</v>
      </c>
      <c r="M3155">
        <v>1.27</v>
      </c>
      <c r="N3155">
        <v>0</v>
      </c>
      <c r="O3155">
        <v>0.07</v>
      </c>
    </row>
    <row r="3156" spans="1:15">
      <c r="A3156" t="str">
        <f>"600352"</f>
        <v>600352</v>
      </c>
      <c r="B3156" t="s">
        <v>3195</v>
      </c>
      <c r="C3156">
        <v>-7.59</v>
      </c>
      <c r="D3156">
        <v>10.96</v>
      </c>
      <c r="E3156" t="s">
        <v>16</v>
      </c>
      <c r="F3156" t="s">
        <v>16</v>
      </c>
      <c r="H3156">
        <v>0.09</v>
      </c>
      <c r="I3156">
        <v>0.18</v>
      </c>
      <c r="J3156">
        <v>-9.05</v>
      </c>
      <c r="L3156">
        <v>-0.51</v>
      </c>
      <c r="M3156">
        <v>899.51</v>
      </c>
      <c r="N3156">
        <v>0.03</v>
      </c>
      <c r="O3156">
        <v>2.09</v>
      </c>
    </row>
    <row r="3157" spans="1:15">
      <c r="A3157" t="str">
        <f>"600353"</f>
        <v>600353</v>
      </c>
      <c r="B3157" t="s">
        <v>3196</v>
      </c>
      <c r="C3157">
        <v>10</v>
      </c>
      <c r="D3157">
        <v>42.01</v>
      </c>
      <c r="E3157">
        <v>34690.18</v>
      </c>
      <c r="F3157">
        <v>4</v>
      </c>
      <c r="H3157">
        <v>0</v>
      </c>
      <c r="I3157">
        <v>58.89</v>
      </c>
      <c r="J3157">
        <v>0</v>
      </c>
      <c r="K3157" t="s">
        <v>3197</v>
      </c>
      <c r="L3157">
        <v>8.67</v>
      </c>
      <c r="M3157">
        <v>24013.15</v>
      </c>
      <c r="N3157">
        <v>1.2</v>
      </c>
      <c r="O3157">
        <v>0.54</v>
      </c>
    </row>
    <row r="3158" spans="1:15">
      <c r="A3158" t="str">
        <f>"600354"</f>
        <v>600354</v>
      </c>
      <c r="B3158" t="s">
        <v>3198</v>
      </c>
      <c r="C3158">
        <v>0.39</v>
      </c>
      <c r="D3158">
        <v>5.09</v>
      </c>
      <c r="E3158" t="s">
        <v>16</v>
      </c>
      <c r="F3158" t="s">
        <v>16</v>
      </c>
      <c r="H3158">
        <v>0</v>
      </c>
      <c r="I3158">
        <v>-5.74</v>
      </c>
      <c r="J3158">
        <v>-0.97</v>
      </c>
      <c r="L3158">
        <v>0.2</v>
      </c>
      <c r="M3158">
        <v>15.85</v>
      </c>
      <c r="N3158">
        <v>0.01</v>
      </c>
      <c r="O3158">
        <v>1.33</v>
      </c>
    </row>
    <row r="3159" spans="1:15">
      <c r="A3159" t="str">
        <f>"600356"</f>
        <v>600356</v>
      </c>
      <c r="B3159" t="s">
        <v>3199</v>
      </c>
      <c r="C3159">
        <v>-0.86</v>
      </c>
      <c r="D3159">
        <v>8.06</v>
      </c>
      <c r="E3159" t="s">
        <v>16</v>
      </c>
      <c r="F3159" t="s">
        <v>16</v>
      </c>
      <c r="H3159">
        <v>0.12</v>
      </c>
      <c r="I3159">
        <v>-7.46</v>
      </c>
      <c r="J3159">
        <v>-0.98</v>
      </c>
      <c r="L3159">
        <v>0.12</v>
      </c>
      <c r="M3159">
        <v>14.08</v>
      </c>
      <c r="N3159">
        <v>0.01</v>
      </c>
      <c r="O3159">
        <v>0.7</v>
      </c>
    </row>
    <row r="3160" spans="1:15">
      <c r="A3160" t="str">
        <f>"600358"</f>
        <v>600358</v>
      </c>
      <c r="B3160" t="s">
        <v>3200</v>
      </c>
      <c r="C3160">
        <v>-1.62</v>
      </c>
      <c r="D3160">
        <v>5.48</v>
      </c>
      <c r="E3160" t="s">
        <v>16</v>
      </c>
      <c r="F3160" t="s">
        <v>16</v>
      </c>
      <c r="H3160">
        <v>-0.17</v>
      </c>
      <c r="I3160">
        <v>-10.6</v>
      </c>
      <c r="J3160">
        <v>-1.62</v>
      </c>
      <c r="L3160">
        <v>-0.36</v>
      </c>
      <c r="M3160">
        <v>12.15</v>
      </c>
      <c r="N3160">
        <v>0.01</v>
      </c>
      <c r="O3160">
        <v>0.48</v>
      </c>
    </row>
    <row r="3161" spans="1:15">
      <c r="A3161" t="str">
        <f>"600359"</f>
        <v>600359</v>
      </c>
      <c r="B3161" t="s">
        <v>3201</v>
      </c>
      <c r="C3161">
        <v>-1.49</v>
      </c>
      <c r="D3161">
        <v>5.95</v>
      </c>
      <c r="E3161" t="s">
        <v>16</v>
      </c>
      <c r="F3161" t="s">
        <v>16</v>
      </c>
      <c r="H3161">
        <v>0</v>
      </c>
      <c r="I3161">
        <v>-9.02</v>
      </c>
      <c r="J3161">
        <v>-1.98</v>
      </c>
      <c r="L3161">
        <v>-0.5</v>
      </c>
      <c r="M3161">
        <v>14.48</v>
      </c>
      <c r="N3161">
        <v>0.01</v>
      </c>
      <c r="O3161">
        <v>1.14</v>
      </c>
    </row>
    <row r="3162" spans="1:15">
      <c r="A3162" t="str">
        <f>"600360"</f>
        <v>600360</v>
      </c>
      <c r="B3162" t="s">
        <v>3202</v>
      </c>
      <c r="C3162">
        <v>1.81</v>
      </c>
      <c r="D3162">
        <v>12.4</v>
      </c>
      <c r="E3162" t="s">
        <v>16</v>
      </c>
      <c r="F3162" t="s">
        <v>16</v>
      </c>
      <c r="H3162">
        <v>0.08</v>
      </c>
      <c r="I3162">
        <v>-9.42</v>
      </c>
      <c r="J3162">
        <v>-1.59</v>
      </c>
      <c r="L3162">
        <v>-0.9</v>
      </c>
      <c r="M3162">
        <v>751.84</v>
      </c>
      <c r="N3162">
        <v>0.08</v>
      </c>
      <c r="O3162">
        <v>1.14</v>
      </c>
    </row>
    <row r="3163" spans="1:15">
      <c r="A3163" t="str">
        <f>"600361"</f>
        <v>600361</v>
      </c>
      <c r="B3163" t="s">
        <v>3203</v>
      </c>
      <c r="C3163">
        <v>-0.74</v>
      </c>
      <c r="D3163">
        <v>4.05</v>
      </c>
      <c r="E3163" t="s">
        <v>16</v>
      </c>
      <c r="F3163" t="s">
        <v>16</v>
      </c>
      <c r="H3163">
        <v>0</v>
      </c>
      <c r="I3163">
        <v>-6.03</v>
      </c>
      <c r="J3163">
        <v>-3.8</v>
      </c>
      <c r="L3163">
        <v>-1.23</v>
      </c>
      <c r="M3163">
        <v>124</v>
      </c>
      <c r="N3163">
        <v>0.02</v>
      </c>
      <c r="O3163">
        <v>1.64</v>
      </c>
    </row>
    <row r="3164" spans="1:15">
      <c r="A3164" t="str">
        <f>"600362"</f>
        <v>600362</v>
      </c>
      <c r="B3164" t="s">
        <v>3204</v>
      </c>
      <c r="C3164">
        <v>10.01</v>
      </c>
      <c r="D3164">
        <v>53.31</v>
      </c>
      <c r="E3164">
        <v>25447.53</v>
      </c>
      <c r="F3164">
        <v>1</v>
      </c>
      <c r="H3164">
        <v>0</v>
      </c>
      <c r="I3164">
        <v>15.77</v>
      </c>
      <c r="J3164">
        <v>0</v>
      </c>
      <c r="K3164" t="s">
        <v>220</v>
      </c>
      <c r="L3164">
        <v>3.18</v>
      </c>
      <c r="M3164">
        <v>9416.74</v>
      </c>
      <c r="N3164">
        <v>0.22</v>
      </c>
      <c r="O3164">
        <v>6.45</v>
      </c>
    </row>
    <row r="3165" spans="1:15">
      <c r="A3165" t="str">
        <f>"600363"</f>
        <v>600363</v>
      </c>
      <c r="B3165" t="s">
        <v>3205</v>
      </c>
      <c r="C3165">
        <v>-0.46</v>
      </c>
      <c r="D3165">
        <v>34.45</v>
      </c>
      <c r="E3165" t="s">
        <v>16</v>
      </c>
      <c r="F3165" t="s">
        <v>16</v>
      </c>
      <c r="H3165">
        <v>-0.05</v>
      </c>
      <c r="I3165">
        <v>-4.07</v>
      </c>
      <c r="J3165">
        <v>-2.93</v>
      </c>
      <c r="L3165">
        <v>0.12</v>
      </c>
      <c r="M3165">
        <v>203.74</v>
      </c>
      <c r="N3165">
        <v>0.02</v>
      </c>
      <c r="O3165">
        <v>1.3</v>
      </c>
    </row>
    <row r="3166" spans="1:15">
      <c r="A3166" t="str">
        <f>"600365"</f>
        <v>600365</v>
      </c>
      <c r="B3166" t="s">
        <v>3206</v>
      </c>
      <c r="C3166">
        <v>-0.41</v>
      </c>
      <c r="D3166">
        <v>2.44</v>
      </c>
      <c r="E3166" t="s">
        <v>16</v>
      </c>
      <c r="F3166" t="s">
        <v>16</v>
      </c>
      <c r="H3166">
        <v>0.41</v>
      </c>
      <c r="I3166">
        <v>-8.61</v>
      </c>
      <c r="J3166">
        <v>-1.21</v>
      </c>
      <c r="L3166">
        <v>0</v>
      </c>
      <c r="M3166">
        <v>16.07</v>
      </c>
      <c r="N3166">
        <v>0.02</v>
      </c>
      <c r="O3166">
        <v>2.44</v>
      </c>
    </row>
    <row r="3167" spans="1:15">
      <c r="A3167" t="str">
        <f>"600366"</f>
        <v>600366</v>
      </c>
      <c r="B3167" t="s">
        <v>3207</v>
      </c>
      <c r="C3167">
        <v>5.89</v>
      </c>
      <c r="D3167">
        <v>14.91</v>
      </c>
      <c r="E3167" t="s">
        <v>16</v>
      </c>
      <c r="F3167" t="s">
        <v>16</v>
      </c>
      <c r="H3167">
        <v>-0.12</v>
      </c>
      <c r="I3167">
        <v>19.47</v>
      </c>
      <c r="J3167">
        <v>-1</v>
      </c>
      <c r="L3167">
        <v>-0.14</v>
      </c>
      <c r="M3167">
        <v>985.47</v>
      </c>
      <c r="N3167">
        <v>0.1</v>
      </c>
      <c r="O3167">
        <v>0.25</v>
      </c>
    </row>
    <row r="3168" spans="1:15">
      <c r="A3168" t="str">
        <f>"600367"</f>
        <v>600367</v>
      </c>
      <c r="B3168" t="s">
        <v>3208</v>
      </c>
      <c r="C3168">
        <v>-0.95</v>
      </c>
      <c r="D3168">
        <v>56.56</v>
      </c>
      <c r="E3168" t="s">
        <v>16</v>
      </c>
      <c r="F3168" t="s">
        <v>16</v>
      </c>
      <c r="H3168">
        <v>0.11</v>
      </c>
      <c r="I3168">
        <v>20.39</v>
      </c>
      <c r="J3168">
        <v>-3.81</v>
      </c>
      <c r="L3168">
        <v>0.86</v>
      </c>
      <c r="M3168">
        <v>5495.34</v>
      </c>
      <c r="N3168">
        <v>0.44</v>
      </c>
      <c r="O3168">
        <v>1.24</v>
      </c>
    </row>
    <row r="3169" spans="1:15">
      <c r="A3169" t="str">
        <f>"600368"</f>
        <v>600368</v>
      </c>
      <c r="B3169" t="s">
        <v>3209</v>
      </c>
      <c r="C3169">
        <v>-3.84</v>
      </c>
      <c r="D3169">
        <v>3.51</v>
      </c>
      <c r="E3169" t="s">
        <v>16</v>
      </c>
      <c r="F3169" t="s">
        <v>16</v>
      </c>
      <c r="H3169">
        <v>0.29</v>
      </c>
      <c r="I3169">
        <v>-11.59</v>
      </c>
      <c r="J3169">
        <v>-3.84</v>
      </c>
      <c r="L3169">
        <v>0</v>
      </c>
      <c r="M3169">
        <v>41.35</v>
      </c>
      <c r="N3169">
        <v>0.01</v>
      </c>
      <c r="O3169">
        <v>0.87</v>
      </c>
    </row>
    <row r="3170" spans="1:15">
      <c r="A3170" t="str">
        <f>"600369"</f>
        <v>600369</v>
      </c>
      <c r="B3170" t="s">
        <v>3210</v>
      </c>
      <c r="C3170">
        <v>-2.95</v>
      </c>
      <c r="D3170">
        <v>3.95</v>
      </c>
      <c r="E3170" t="s">
        <v>16</v>
      </c>
      <c r="F3170" t="s">
        <v>16</v>
      </c>
      <c r="H3170">
        <v>0</v>
      </c>
      <c r="I3170">
        <v>1.02</v>
      </c>
      <c r="J3170">
        <v>-2.95</v>
      </c>
      <c r="L3170">
        <v>0</v>
      </c>
      <c r="M3170">
        <v>54.33</v>
      </c>
      <c r="N3170">
        <v>0</v>
      </c>
      <c r="O3170">
        <v>3.14</v>
      </c>
    </row>
    <row r="3171" spans="1:15">
      <c r="A3171" t="str">
        <f>"600370"</f>
        <v>600370</v>
      </c>
      <c r="B3171" t="s">
        <v>3211</v>
      </c>
      <c r="C3171">
        <v>3.01</v>
      </c>
      <c r="D3171">
        <v>1.71</v>
      </c>
      <c r="E3171" t="s">
        <v>16</v>
      </c>
      <c r="F3171" t="s">
        <v>16</v>
      </c>
      <c r="H3171">
        <v>0</v>
      </c>
      <c r="I3171">
        <v>22.14</v>
      </c>
      <c r="J3171">
        <v>-1.72</v>
      </c>
      <c r="K3171" t="s">
        <v>3212</v>
      </c>
      <c r="L3171">
        <v>4.82</v>
      </c>
      <c r="M3171">
        <v>2163.68</v>
      </c>
      <c r="N3171">
        <v>1.46</v>
      </c>
      <c r="O3171">
        <v>2.08</v>
      </c>
    </row>
    <row r="3172" spans="1:15">
      <c r="A3172" t="str">
        <f>"600371"</f>
        <v>600371</v>
      </c>
      <c r="B3172" t="s">
        <v>3213</v>
      </c>
      <c r="C3172">
        <v>-0.6</v>
      </c>
      <c r="D3172">
        <v>6.62</v>
      </c>
      <c r="E3172" t="s">
        <v>16</v>
      </c>
      <c r="F3172" t="s">
        <v>16</v>
      </c>
      <c r="H3172">
        <v>0.15</v>
      </c>
      <c r="I3172">
        <v>-8.44</v>
      </c>
      <c r="J3172">
        <v>-1.63</v>
      </c>
      <c r="L3172">
        <v>-0.9</v>
      </c>
      <c r="M3172">
        <v>36.63</v>
      </c>
      <c r="N3172">
        <v>0.04</v>
      </c>
      <c r="O3172">
        <v>5.97</v>
      </c>
    </row>
    <row r="3173" spans="1:15">
      <c r="A3173" t="str">
        <f>"600372"</f>
        <v>600372</v>
      </c>
      <c r="B3173" t="s">
        <v>3214</v>
      </c>
      <c r="C3173">
        <v>-1.17</v>
      </c>
      <c r="D3173">
        <v>10.98</v>
      </c>
      <c r="E3173" t="s">
        <v>16</v>
      </c>
      <c r="F3173" t="s">
        <v>16</v>
      </c>
      <c r="H3173">
        <v>-0.08</v>
      </c>
      <c r="I3173">
        <v>-0.09</v>
      </c>
      <c r="J3173">
        <v>-1.96</v>
      </c>
      <c r="L3173">
        <v>-0.54</v>
      </c>
      <c r="M3173">
        <v>107.3</v>
      </c>
      <c r="N3173">
        <v>0</v>
      </c>
      <c r="O3173">
        <v>0.7</v>
      </c>
    </row>
    <row r="3174" spans="1:15">
      <c r="A3174" t="str">
        <f>"600373"</f>
        <v>600373</v>
      </c>
      <c r="B3174" t="s">
        <v>3215</v>
      </c>
      <c r="C3174">
        <v>-2.41</v>
      </c>
      <c r="D3174">
        <v>7.29</v>
      </c>
      <c r="E3174" t="s">
        <v>16</v>
      </c>
      <c r="F3174" t="s">
        <v>16</v>
      </c>
      <c r="H3174">
        <v>-0.26</v>
      </c>
      <c r="I3174">
        <v>2.39</v>
      </c>
      <c r="J3174">
        <v>-2.8</v>
      </c>
      <c r="L3174">
        <v>-0.13</v>
      </c>
      <c r="M3174">
        <v>4.03</v>
      </c>
      <c r="N3174">
        <v>0</v>
      </c>
      <c r="O3174">
        <v>0.17</v>
      </c>
    </row>
    <row r="3175" spans="1:15">
      <c r="A3175" t="str">
        <f>"600375"</f>
        <v>600375</v>
      </c>
      <c r="B3175" t="s">
        <v>3216</v>
      </c>
      <c r="C3175">
        <v>-2.69</v>
      </c>
      <c r="D3175">
        <v>3.98</v>
      </c>
      <c r="E3175" t="s">
        <v>16</v>
      </c>
      <c r="F3175" t="s">
        <v>16</v>
      </c>
      <c r="H3175">
        <v>0</v>
      </c>
      <c r="I3175">
        <v>-3.86</v>
      </c>
      <c r="J3175">
        <v>-4.1</v>
      </c>
      <c r="K3175" t="s">
        <v>57</v>
      </c>
      <c r="L3175">
        <v>0.73</v>
      </c>
      <c r="M3175">
        <v>163.69</v>
      </c>
      <c r="N3175">
        <v>0.03</v>
      </c>
      <c r="O3175">
        <v>0.48</v>
      </c>
    </row>
    <row r="3176" spans="1:15">
      <c r="A3176" t="str">
        <f>"600376"</f>
        <v>600376</v>
      </c>
      <c r="B3176" t="s">
        <v>3217</v>
      </c>
      <c r="C3176">
        <v>0.58</v>
      </c>
      <c r="D3176">
        <v>3.45</v>
      </c>
      <c r="E3176" t="s">
        <v>16</v>
      </c>
      <c r="F3176" t="s">
        <v>16</v>
      </c>
      <c r="H3176">
        <v>0</v>
      </c>
      <c r="I3176">
        <v>-11.99</v>
      </c>
      <c r="J3176">
        <v>-0.86</v>
      </c>
      <c r="L3176">
        <v>1.17</v>
      </c>
      <c r="M3176">
        <v>71.1</v>
      </c>
      <c r="N3176">
        <v>0.02</v>
      </c>
      <c r="O3176">
        <v>0.97</v>
      </c>
    </row>
    <row r="3177" spans="1:15">
      <c r="A3177" t="str">
        <f>"600377"</f>
        <v>600377</v>
      </c>
      <c r="B3177" t="s">
        <v>3218</v>
      </c>
      <c r="C3177">
        <v>-0.74</v>
      </c>
      <c r="D3177">
        <v>12.06</v>
      </c>
      <c r="E3177" t="s">
        <v>16</v>
      </c>
      <c r="F3177" t="s">
        <v>16</v>
      </c>
      <c r="H3177">
        <v>0</v>
      </c>
      <c r="I3177">
        <v>-5.41</v>
      </c>
      <c r="J3177">
        <v>-0.99</v>
      </c>
      <c r="L3177">
        <v>-0.33</v>
      </c>
      <c r="M3177">
        <v>16.35</v>
      </c>
      <c r="N3177">
        <v>0</v>
      </c>
      <c r="O3177">
        <v>0.56</v>
      </c>
    </row>
    <row r="3178" spans="1:15">
      <c r="A3178" t="str">
        <f>"600378"</f>
        <v>600378</v>
      </c>
      <c r="B3178" t="s">
        <v>3219</v>
      </c>
      <c r="C3178">
        <v>2.13</v>
      </c>
      <c r="D3178">
        <v>65.16</v>
      </c>
      <c r="E3178" t="s">
        <v>16</v>
      </c>
      <c r="F3178" t="s">
        <v>16</v>
      </c>
      <c r="H3178">
        <v>-0.02</v>
      </c>
      <c r="I3178">
        <v>50.94</v>
      </c>
      <c r="J3178">
        <v>-2.73</v>
      </c>
      <c r="K3178" t="s">
        <v>3212</v>
      </c>
      <c r="L3178">
        <v>1.33</v>
      </c>
      <c r="M3178">
        <v>9856.54</v>
      </c>
      <c r="N3178">
        <v>0.32</v>
      </c>
      <c r="O3178">
        <v>0.85</v>
      </c>
    </row>
    <row r="3179" spans="1:15">
      <c r="A3179" t="str">
        <f>"600379"</f>
        <v>600379</v>
      </c>
      <c r="B3179" t="s">
        <v>3220</v>
      </c>
      <c r="C3179">
        <v>-1.71</v>
      </c>
      <c r="D3179">
        <v>12.08</v>
      </c>
      <c r="E3179" t="s">
        <v>16</v>
      </c>
      <c r="F3179" t="s">
        <v>16</v>
      </c>
      <c r="H3179">
        <v>-0.07</v>
      </c>
      <c r="I3179">
        <v>-4.66</v>
      </c>
      <c r="J3179">
        <v>-1.55</v>
      </c>
      <c r="L3179">
        <v>-0.33</v>
      </c>
      <c r="M3179">
        <v>53.53</v>
      </c>
      <c r="N3179">
        <v>0.02</v>
      </c>
      <c r="O3179">
        <v>0.47</v>
      </c>
    </row>
    <row r="3180" spans="1:15">
      <c r="A3180" t="str">
        <f>"600380"</f>
        <v>600380</v>
      </c>
      <c r="B3180" t="s">
        <v>3221</v>
      </c>
      <c r="C3180">
        <v>0.31</v>
      </c>
      <c r="D3180">
        <v>9.81</v>
      </c>
      <c r="E3180" t="s">
        <v>16</v>
      </c>
      <c r="F3180" t="s">
        <v>16</v>
      </c>
      <c r="H3180">
        <v>-0.09</v>
      </c>
      <c r="I3180">
        <v>0.1</v>
      </c>
      <c r="J3180">
        <v>-1.01</v>
      </c>
      <c r="L3180">
        <v>-0.72</v>
      </c>
      <c r="M3180">
        <v>74.18</v>
      </c>
      <c r="N3180">
        <v>0.01</v>
      </c>
      <c r="O3180">
        <v>3.74</v>
      </c>
    </row>
    <row r="3181" spans="1:15">
      <c r="A3181" t="str">
        <f>"600381"</f>
        <v>600381</v>
      </c>
      <c r="B3181" t="s">
        <v>3222</v>
      </c>
      <c r="C3181">
        <v>5</v>
      </c>
      <c r="D3181">
        <v>5.04</v>
      </c>
      <c r="E3181">
        <v>122.62</v>
      </c>
      <c r="F3181">
        <v>1</v>
      </c>
      <c r="H3181">
        <v>0</v>
      </c>
      <c r="I3181">
        <v>-6.67</v>
      </c>
      <c r="J3181">
        <v>0</v>
      </c>
      <c r="K3181" t="s">
        <v>140</v>
      </c>
      <c r="L3181">
        <v>1.04</v>
      </c>
      <c r="M3181">
        <v>62.42</v>
      </c>
      <c r="N3181">
        <v>0.04</v>
      </c>
      <c r="O3181">
        <v>1.76</v>
      </c>
    </row>
    <row r="3182" spans="1:15">
      <c r="A3182" t="str">
        <f>"600382"</f>
        <v>600382</v>
      </c>
      <c r="B3182" t="s">
        <v>3223</v>
      </c>
      <c r="C3182">
        <v>0.86</v>
      </c>
      <c r="D3182">
        <v>8.24</v>
      </c>
      <c r="E3182" t="s">
        <v>16</v>
      </c>
      <c r="F3182" t="s">
        <v>16</v>
      </c>
      <c r="H3182">
        <v>0.12</v>
      </c>
      <c r="I3182">
        <v>-6.36</v>
      </c>
      <c r="J3182">
        <v>-1.08</v>
      </c>
      <c r="L3182">
        <v>0</v>
      </c>
      <c r="M3182">
        <v>46.32</v>
      </c>
      <c r="N3182">
        <v>0.01</v>
      </c>
      <c r="O3182">
        <v>0.18</v>
      </c>
    </row>
    <row r="3183" spans="1:15">
      <c r="A3183" t="str">
        <f>"600383"</f>
        <v>600383</v>
      </c>
      <c r="B3183" t="s">
        <v>3224</v>
      </c>
      <c r="C3183">
        <v>-3.72</v>
      </c>
      <c r="D3183">
        <v>2.33</v>
      </c>
      <c r="E3183" t="s">
        <v>16</v>
      </c>
      <c r="F3183" t="s">
        <v>16</v>
      </c>
      <c r="H3183">
        <v>0</v>
      </c>
      <c r="I3183">
        <v>-10.73</v>
      </c>
      <c r="J3183">
        <v>-3.72</v>
      </c>
      <c r="L3183">
        <v>-0.83</v>
      </c>
      <c r="M3183">
        <v>117.98</v>
      </c>
      <c r="N3183">
        <v>0.02</v>
      </c>
      <c r="O3183">
        <v>1.74</v>
      </c>
    </row>
    <row r="3184" spans="1:15">
      <c r="A3184" t="str">
        <f>"600386"</f>
        <v>600386</v>
      </c>
      <c r="B3184" t="s">
        <v>3225</v>
      </c>
      <c r="C3184">
        <v>-0.3</v>
      </c>
      <c r="D3184">
        <v>3.33</v>
      </c>
      <c r="E3184" t="s">
        <v>16</v>
      </c>
      <c r="F3184" t="s">
        <v>16</v>
      </c>
      <c r="H3184">
        <v>0.6</v>
      </c>
      <c r="I3184">
        <v>-6.72</v>
      </c>
      <c r="J3184">
        <v>-0.6</v>
      </c>
      <c r="L3184">
        <v>0</v>
      </c>
      <c r="M3184">
        <v>9.49</v>
      </c>
      <c r="N3184">
        <v>0.01</v>
      </c>
      <c r="O3184">
        <v>2.45</v>
      </c>
    </row>
    <row r="3185" spans="1:15">
      <c r="A3185" t="str">
        <f>"600388"</f>
        <v>600388</v>
      </c>
      <c r="B3185" t="s">
        <v>3226</v>
      </c>
      <c r="C3185">
        <v>-3.8</v>
      </c>
      <c r="D3185">
        <v>16.21</v>
      </c>
      <c r="E3185" t="s">
        <v>16</v>
      </c>
      <c r="F3185" t="s">
        <v>16</v>
      </c>
      <c r="H3185">
        <v>0</v>
      </c>
      <c r="I3185">
        <v>-2.93</v>
      </c>
      <c r="J3185">
        <v>-3.51</v>
      </c>
      <c r="L3185">
        <v>-0.89</v>
      </c>
      <c r="M3185">
        <v>107.05</v>
      </c>
      <c r="N3185">
        <v>0.01</v>
      </c>
      <c r="O3185">
        <v>1.15</v>
      </c>
    </row>
    <row r="3186" spans="1:15">
      <c r="A3186" t="str">
        <f>"600389"</f>
        <v>600389</v>
      </c>
      <c r="B3186" t="s">
        <v>3227</v>
      </c>
      <c r="C3186">
        <v>-4.01</v>
      </c>
      <c r="D3186">
        <v>21.8</v>
      </c>
      <c r="E3186" t="s">
        <v>16</v>
      </c>
      <c r="F3186" t="s">
        <v>16</v>
      </c>
      <c r="H3186">
        <v>0</v>
      </c>
      <c r="I3186">
        <v>-11.49</v>
      </c>
      <c r="J3186">
        <v>-5.83</v>
      </c>
      <c r="L3186">
        <v>0.13</v>
      </c>
      <c r="M3186">
        <v>20.01</v>
      </c>
      <c r="N3186">
        <v>0</v>
      </c>
      <c r="O3186">
        <v>0.24</v>
      </c>
    </row>
    <row r="3187" spans="1:15">
      <c r="A3187" t="str">
        <f>"600390"</f>
        <v>600390</v>
      </c>
      <c r="B3187" t="s">
        <v>3228</v>
      </c>
      <c r="C3187">
        <v>-3.14</v>
      </c>
      <c r="D3187">
        <v>4.62</v>
      </c>
      <c r="E3187" t="s">
        <v>16</v>
      </c>
      <c r="F3187" t="s">
        <v>16</v>
      </c>
      <c r="H3187">
        <v>-0.21</v>
      </c>
      <c r="I3187">
        <v>-1.49</v>
      </c>
      <c r="J3187">
        <v>-3.35</v>
      </c>
      <c r="L3187">
        <v>-0.21</v>
      </c>
      <c r="M3187">
        <v>29.7</v>
      </c>
      <c r="N3187">
        <v>0</v>
      </c>
      <c r="O3187">
        <v>0.49</v>
      </c>
    </row>
    <row r="3188" spans="1:15">
      <c r="A3188" t="str">
        <f>"600391"</f>
        <v>600391</v>
      </c>
      <c r="B3188" t="s">
        <v>3229</v>
      </c>
      <c r="C3188">
        <v>1.71</v>
      </c>
      <c r="D3188">
        <v>35.12</v>
      </c>
      <c r="E3188" t="s">
        <v>16</v>
      </c>
      <c r="F3188" t="s">
        <v>16</v>
      </c>
      <c r="H3188">
        <v>0</v>
      </c>
      <c r="I3188">
        <v>2.78</v>
      </c>
      <c r="J3188">
        <v>-1.07</v>
      </c>
      <c r="L3188">
        <v>-0.7</v>
      </c>
      <c r="M3188">
        <v>50.41</v>
      </c>
      <c r="N3188">
        <v>0.01</v>
      </c>
      <c r="O3188">
        <v>0.78</v>
      </c>
    </row>
    <row r="3189" spans="1:15">
      <c r="A3189" t="str">
        <f>"600392"</f>
        <v>600392</v>
      </c>
      <c r="B3189" t="s">
        <v>3230</v>
      </c>
      <c r="C3189">
        <v>10.01</v>
      </c>
      <c r="D3189">
        <v>31.66</v>
      </c>
      <c r="E3189">
        <v>5782.07</v>
      </c>
      <c r="F3189">
        <v>1</v>
      </c>
      <c r="H3189">
        <v>0</v>
      </c>
      <c r="I3189">
        <v>36.64</v>
      </c>
      <c r="J3189">
        <v>0</v>
      </c>
      <c r="K3189" t="s">
        <v>233</v>
      </c>
      <c r="L3189">
        <v>0.76</v>
      </c>
      <c r="M3189">
        <v>8253.69</v>
      </c>
      <c r="N3189">
        <v>0.22</v>
      </c>
      <c r="O3189">
        <v>0.4</v>
      </c>
    </row>
    <row r="3190" spans="1:15">
      <c r="A3190" t="str">
        <f>"600395"</f>
        <v>600395</v>
      </c>
      <c r="B3190" t="s">
        <v>3231</v>
      </c>
      <c r="C3190">
        <v>-3.77</v>
      </c>
      <c r="D3190">
        <v>4.85</v>
      </c>
      <c r="E3190" t="s">
        <v>16</v>
      </c>
      <c r="F3190" t="s">
        <v>16</v>
      </c>
      <c r="H3190">
        <v>-0.2</v>
      </c>
      <c r="I3190">
        <v>-21.14</v>
      </c>
      <c r="J3190">
        <v>-3.58</v>
      </c>
      <c r="L3190">
        <v>-0.79</v>
      </c>
      <c r="M3190">
        <v>225.15</v>
      </c>
      <c r="N3190">
        <v>0.05</v>
      </c>
      <c r="O3190">
        <v>2.57</v>
      </c>
    </row>
    <row r="3191" spans="1:15">
      <c r="A3191" t="str">
        <f>"600396"</f>
        <v>600396</v>
      </c>
      <c r="B3191" t="s">
        <v>3232</v>
      </c>
      <c r="C3191">
        <v>-7.98</v>
      </c>
      <c r="D3191">
        <v>16.38</v>
      </c>
      <c r="E3191" t="s">
        <v>16</v>
      </c>
      <c r="F3191" t="s">
        <v>16</v>
      </c>
      <c r="H3191">
        <v>-0.05</v>
      </c>
      <c r="I3191">
        <v>-25.44</v>
      </c>
      <c r="J3191">
        <v>-7.46</v>
      </c>
      <c r="L3191">
        <v>-1.24</v>
      </c>
      <c r="M3191">
        <v>3841.41</v>
      </c>
      <c r="N3191">
        <v>0.33</v>
      </c>
      <c r="O3191">
        <v>1.77</v>
      </c>
    </row>
    <row r="3192" spans="1:15">
      <c r="A3192" t="str">
        <f>"600397"</f>
        <v>600397</v>
      </c>
      <c r="B3192" t="s">
        <v>3233</v>
      </c>
      <c r="C3192">
        <v>10.02</v>
      </c>
      <c r="D3192">
        <v>20.2</v>
      </c>
      <c r="E3192">
        <v>3331.79</v>
      </c>
      <c r="F3192">
        <v>3</v>
      </c>
      <c r="H3192">
        <v>0</v>
      </c>
      <c r="I3192">
        <v>45.11</v>
      </c>
      <c r="J3192">
        <v>0</v>
      </c>
      <c r="K3192" t="s">
        <v>696</v>
      </c>
      <c r="L3192">
        <v>0</v>
      </c>
      <c r="M3192">
        <v>4410.62</v>
      </c>
      <c r="N3192">
        <v>0.4</v>
      </c>
      <c r="O3192">
        <v>1.12</v>
      </c>
    </row>
    <row r="3193" spans="1:15">
      <c r="A3193" t="str">
        <f>"600398"</f>
        <v>600398</v>
      </c>
      <c r="B3193" t="s">
        <v>3234</v>
      </c>
      <c r="C3193">
        <v>-1.23</v>
      </c>
      <c r="D3193">
        <v>5.6</v>
      </c>
      <c r="E3193" t="s">
        <v>16</v>
      </c>
      <c r="F3193" t="s">
        <v>16</v>
      </c>
      <c r="H3193">
        <v>-0.35</v>
      </c>
      <c r="I3193">
        <v>-2.44</v>
      </c>
      <c r="J3193">
        <v>-1.93</v>
      </c>
      <c r="L3193">
        <v>-0.18</v>
      </c>
      <c r="M3193">
        <v>31.87</v>
      </c>
      <c r="N3193">
        <v>0</v>
      </c>
      <c r="O3193">
        <v>0.67</v>
      </c>
    </row>
    <row r="3194" spans="1:15">
      <c r="A3194" t="str">
        <f>"600399"</f>
        <v>600399</v>
      </c>
      <c r="B3194" t="s">
        <v>3235</v>
      </c>
      <c r="C3194">
        <v>10.09</v>
      </c>
      <c r="D3194">
        <v>4.69</v>
      </c>
      <c r="E3194">
        <v>5031.15</v>
      </c>
      <c r="F3194">
        <v>1</v>
      </c>
      <c r="H3194">
        <v>0</v>
      </c>
      <c r="I3194">
        <v>3.53</v>
      </c>
      <c r="J3194">
        <v>0</v>
      </c>
      <c r="K3194" t="s">
        <v>140</v>
      </c>
      <c r="L3194">
        <v>-1.17</v>
      </c>
      <c r="M3194">
        <v>36.96</v>
      </c>
      <c r="N3194">
        <v>0.01</v>
      </c>
      <c r="O3194">
        <v>0.97</v>
      </c>
    </row>
    <row r="3195" spans="1:15">
      <c r="A3195" t="str">
        <f>"600400"</f>
        <v>600400</v>
      </c>
      <c r="B3195" t="s">
        <v>3236</v>
      </c>
      <c r="C3195">
        <v>0.75</v>
      </c>
      <c r="D3195">
        <v>2.69</v>
      </c>
      <c r="E3195" t="s">
        <v>16</v>
      </c>
      <c r="F3195" t="s">
        <v>16</v>
      </c>
      <c r="H3195">
        <v>0.37</v>
      </c>
      <c r="I3195">
        <v>-3.93</v>
      </c>
      <c r="J3195">
        <v>-1.47</v>
      </c>
      <c r="L3195">
        <v>-0.75</v>
      </c>
      <c r="M3195">
        <v>25.18</v>
      </c>
      <c r="N3195">
        <v>0.01</v>
      </c>
      <c r="O3195">
        <v>1.2</v>
      </c>
    </row>
    <row r="3196" spans="1:15">
      <c r="A3196" t="str">
        <f>"600403"</f>
        <v>600403</v>
      </c>
      <c r="B3196" t="s">
        <v>3237</v>
      </c>
      <c r="C3196">
        <v>-3.38</v>
      </c>
      <c r="D3196">
        <v>6.01</v>
      </c>
      <c r="E3196" t="s">
        <v>16</v>
      </c>
      <c r="F3196" t="s">
        <v>16</v>
      </c>
      <c r="H3196">
        <v>0</v>
      </c>
      <c r="I3196">
        <v>-18.78</v>
      </c>
      <c r="J3196">
        <v>-4.6</v>
      </c>
      <c r="L3196">
        <v>-1.29</v>
      </c>
      <c r="M3196">
        <v>1067.19</v>
      </c>
      <c r="N3196">
        <v>0.47</v>
      </c>
      <c r="O3196">
        <v>1.24</v>
      </c>
    </row>
    <row r="3197" spans="1:15">
      <c r="A3197" t="str">
        <f>"600405"</f>
        <v>600405</v>
      </c>
      <c r="B3197" t="s">
        <v>3238</v>
      </c>
      <c r="C3197">
        <v>-0.25</v>
      </c>
      <c r="D3197">
        <v>4.03</v>
      </c>
      <c r="E3197" t="s">
        <v>16</v>
      </c>
      <c r="F3197" t="s">
        <v>16</v>
      </c>
      <c r="H3197">
        <v>-0.48</v>
      </c>
      <c r="I3197">
        <v>-10.64</v>
      </c>
      <c r="J3197">
        <v>-1.47</v>
      </c>
      <c r="L3197">
        <v>-0.99</v>
      </c>
      <c r="M3197">
        <v>45.72</v>
      </c>
      <c r="N3197">
        <v>0.02</v>
      </c>
      <c r="O3197">
        <v>2.51</v>
      </c>
    </row>
    <row r="3198" spans="1:15">
      <c r="A3198" t="str">
        <f>"600406"</f>
        <v>600406</v>
      </c>
      <c r="B3198" t="s">
        <v>3239</v>
      </c>
      <c r="C3198">
        <v>-1.11</v>
      </c>
      <c r="D3198">
        <v>23.06</v>
      </c>
      <c r="E3198" t="s">
        <v>16</v>
      </c>
      <c r="F3198" t="s">
        <v>16</v>
      </c>
      <c r="H3198">
        <v>-0.21</v>
      </c>
      <c r="I3198">
        <v>-3.11</v>
      </c>
      <c r="J3198">
        <v>-1.33</v>
      </c>
      <c r="L3198">
        <v>-0.09</v>
      </c>
      <c r="M3198">
        <v>667.08</v>
      </c>
      <c r="N3198">
        <v>0.01</v>
      </c>
      <c r="O3198">
        <v>1.01</v>
      </c>
    </row>
    <row r="3199" spans="1:15">
      <c r="A3199" t="str">
        <f>"600408"</f>
        <v>600408</v>
      </c>
      <c r="B3199" t="s">
        <v>3240</v>
      </c>
      <c r="C3199">
        <v>-3.38</v>
      </c>
      <c r="D3199">
        <v>2.57</v>
      </c>
      <c r="E3199" t="s">
        <v>16</v>
      </c>
      <c r="F3199" t="s">
        <v>16</v>
      </c>
      <c r="H3199">
        <v>-0.38</v>
      </c>
      <c r="I3199">
        <v>-25.94</v>
      </c>
      <c r="J3199">
        <v>-3.02</v>
      </c>
      <c r="L3199">
        <v>-0.38</v>
      </c>
      <c r="M3199">
        <v>44.97</v>
      </c>
      <c r="N3199">
        <v>0.02</v>
      </c>
      <c r="O3199">
        <v>0.47</v>
      </c>
    </row>
    <row r="3200" spans="1:15">
      <c r="A3200" t="str">
        <f>"600409"</f>
        <v>600409</v>
      </c>
      <c r="B3200" t="s">
        <v>3241</v>
      </c>
      <c r="C3200">
        <v>-3.01</v>
      </c>
      <c r="D3200">
        <v>6.12</v>
      </c>
      <c r="E3200" t="s">
        <v>16</v>
      </c>
      <c r="F3200" t="s">
        <v>16</v>
      </c>
      <c r="H3200">
        <v>0.16</v>
      </c>
      <c r="I3200">
        <v>-0.81</v>
      </c>
      <c r="J3200">
        <v>-3.01</v>
      </c>
      <c r="L3200">
        <v>-0.32</v>
      </c>
      <c r="M3200">
        <v>21.26</v>
      </c>
      <c r="N3200">
        <v>0</v>
      </c>
      <c r="O3200">
        <v>0.31</v>
      </c>
    </row>
    <row r="3201" spans="1:15">
      <c r="A3201" t="str">
        <f>"600410"</f>
        <v>600410</v>
      </c>
      <c r="B3201" t="s">
        <v>3242</v>
      </c>
      <c r="C3201">
        <v>1.01</v>
      </c>
      <c r="D3201">
        <v>17.92</v>
      </c>
      <c r="E3201" t="s">
        <v>16</v>
      </c>
      <c r="F3201" t="s">
        <v>16</v>
      </c>
      <c r="H3201">
        <v>0</v>
      </c>
      <c r="I3201">
        <v>-0.78</v>
      </c>
      <c r="J3201">
        <v>-1.92</v>
      </c>
      <c r="L3201">
        <v>0.17</v>
      </c>
      <c r="M3201">
        <v>278.46</v>
      </c>
      <c r="N3201">
        <v>0.01</v>
      </c>
      <c r="O3201">
        <v>0.74</v>
      </c>
    </row>
    <row r="3202" spans="1:15">
      <c r="A3202" t="str">
        <f>"600415"</f>
        <v>600415</v>
      </c>
      <c r="B3202" t="s">
        <v>3243</v>
      </c>
      <c r="C3202">
        <v>-2.86</v>
      </c>
      <c r="D3202">
        <v>10.54</v>
      </c>
      <c r="E3202" t="s">
        <v>16</v>
      </c>
      <c r="F3202" t="s">
        <v>16</v>
      </c>
      <c r="H3202">
        <v>-0.18</v>
      </c>
      <c r="I3202">
        <v>-8.51</v>
      </c>
      <c r="J3202">
        <v>-4.53</v>
      </c>
      <c r="L3202">
        <v>1.47</v>
      </c>
      <c r="M3202">
        <v>1497.03</v>
      </c>
      <c r="N3202">
        <v>0.06</v>
      </c>
      <c r="O3202">
        <v>4.18</v>
      </c>
    </row>
    <row r="3203" spans="1:15">
      <c r="A3203" t="str">
        <f>"600416"</f>
        <v>600416</v>
      </c>
      <c r="B3203" t="s">
        <v>3244</v>
      </c>
      <c r="C3203">
        <v>-0.36</v>
      </c>
      <c r="D3203">
        <v>11.13</v>
      </c>
      <c r="E3203" t="s">
        <v>16</v>
      </c>
      <c r="F3203" t="s">
        <v>16</v>
      </c>
      <c r="H3203">
        <v>-0.17</v>
      </c>
      <c r="I3203">
        <v>4.8</v>
      </c>
      <c r="J3203">
        <v>-3.05</v>
      </c>
      <c r="L3203">
        <v>-0.72</v>
      </c>
      <c r="M3203">
        <v>282.91</v>
      </c>
      <c r="N3203">
        <v>0.03</v>
      </c>
      <c r="O3203">
        <v>0.67</v>
      </c>
    </row>
    <row r="3204" spans="1:15">
      <c r="A3204" t="str">
        <f>"600418"</f>
        <v>600418</v>
      </c>
      <c r="B3204" t="s">
        <v>3245</v>
      </c>
      <c r="C3204">
        <v>-2.97</v>
      </c>
      <c r="D3204">
        <v>30.74</v>
      </c>
      <c r="E3204" t="s">
        <v>16</v>
      </c>
      <c r="F3204" t="s">
        <v>16</v>
      </c>
      <c r="H3204">
        <v>-0.15</v>
      </c>
      <c r="I3204">
        <v>-10.25</v>
      </c>
      <c r="J3204">
        <v>-2.91</v>
      </c>
      <c r="L3204">
        <v>-0.25</v>
      </c>
      <c r="M3204">
        <v>1164.78</v>
      </c>
      <c r="N3204">
        <v>0.02</v>
      </c>
      <c r="O3204">
        <v>2.4</v>
      </c>
    </row>
    <row r="3205" spans="1:15">
      <c r="A3205" t="str">
        <f>"600419"</f>
        <v>600419</v>
      </c>
      <c r="B3205" t="s">
        <v>3246</v>
      </c>
      <c r="C3205">
        <v>-1.4</v>
      </c>
      <c r="D3205">
        <v>7.76</v>
      </c>
      <c r="E3205" t="s">
        <v>16</v>
      </c>
      <c r="F3205" t="s">
        <v>16</v>
      </c>
      <c r="H3205">
        <v>0.26</v>
      </c>
      <c r="I3205">
        <v>-5.94</v>
      </c>
      <c r="J3205">
        <v>-1.4</v>
      </c>
      <c r="L3205">
        <v>-0.76</v>
      </c>
      <c r="M3205">
        <v>4.06</v>
      </c>
      <c r="N3205">
        <v>0</v>
      </c>
      <c r="O3205">
        <v>0.29</v>
      </c>
    </row>
    <row r="3206" spans="1:15">
      <c r="A3206" t="str">
        <f>"600420"</f>
        <v>600420</v>
      </c>
      <c r="B3206" t="s">
        <v>3247</v>
      </c>
      <c r="C3206">
        <v>-2.03</v>
      </c>
      <c r="D3206">
        <v>8.2</v>
      </c>
      <c r="E3206" t="s">
        <v>16</v>
      </c>
      <c r="F3206" t="s">
        <v>16</v>
      </c>
      <c r="H3206">
        <v>-0.11</v>
      </c>
      <c r="I3206">
        <v>-7.55</v>
      </c>
      <c r="J3206">
        <v>-2.96</v>
      </c>
      <c r="L3206">
        <v>-0.12</v>
      </c>
      <c r="M3206">
        <v>19.4</v>
      </c>
      <c r="N3206">
        <v>0</v>
      </c>
      <c r="O3206">
        <v>1.65</v>
      </c>
    </row>
    <row r="3207" spans="1:15">
      <c r="A3207" t="str">
        <f>"600422"</f>
        <v>600422</v>
      </c>
      <c r="B3207" t="s">
        <v>3248</v>
      </c>
      <c r="C3207">
        <v>-1.34</v>
      </c>
      <c r="D3207">
        <v>8.09</v>
      </c>
      <c r="E3207" t="s">
        <v>16</v>
      </c>
      <c r="F3207" t="s">
        <v>16</v>
      </c>
      <c r="H3207">
        <v>0</v>
      </c>
      <c r="I3207">
        <v>-6.69</v>
      </c>
      <c r="J3207">
        <v>-1.94</v>
      </c>
      <c r="L3207">
        <v>0</v>
      </c>
      <c r="M3207">
        <v>20.17</v>
      </c>
      <c r="N3207">
        <v>0.01</v>
      </c>
      <c r="O3207">
        <v>1.45</v>
      </c>
    </row>
    <row r="3208" spans="1:15">
      <c r="A3208" t="str">
        <f>"600423"</f>
        <v>600423</v>
      </c>
      <c r="B3208" t="s">
        <v>3249</v>
      </c>
      <c r="C3208">
        <v>-3.38</v>
      </c>
      <c r="D3208">
        <v>2.29</v>
      </c>
      <c r="E3208" t="s">
        <v>16</v>
      </c>
      <c r="F3208" t="s">
        <v>16</v>
      </c>
      <c r="H3208">
        <v>0</v>
      </c>
      <c r="I3208">
        <v>-13.26</v>
      </c>
      <c r="J3208">
        <v>-3.78</v>
      </c>
      <c r="L3208">
        <v>-1.27</v>
      </c>
      <c r="M3208">
        <v>5.43</v>
      </c>
      <c r="N3208">
        <v>0</v>
      </c>
      <c r="O3208">
        <v>0.49</v>
      </c>
    </row>
    <row r="3209" spans="1:15">
      <c r="A3209" t="str">
        <f>"600425"</f>
        <v>600425</v>
      </c>
      <c r="B3209" t="s">
        <v>3250</v>
      </c>
      <c r="C3209">
        <v>-2.25</v>
      </c>
      <c r="D3209">
        <v>3.47</v>
      </c>
      <c r="E3209" t="s">
        <v>16</v>
      </c>
      <c r="F3209" t="s">
        <v>16</v>
      </c>
      <c r="H3209">
        <v>-0.56</v>
      </c>
      <c r="I3209">
        <v>-1.14</v>
      </c>
      <c r="J3209">
        <v>-2.25</v>
      </c>
      <c r="L3209">
        <v>-0.28</v>
      </c>
      <c r="M3209">
        <v>9.42</v>
      </c>
      <c r="N3209">
        <v>0</v>
      </c>
      <c r="O3209">
        <v>1.57</v>
      </c>
    </row>
    <row r="3210" spans="1:15">
      <c r="A3210" t="str">
        <f>"600426"</f>
        <v>600426</v>
      </c>
      <c r="B3210" t="s">
        <v>3251</v>
      </c>
      <c r="C3210">
        <v>-2.78</v>
      </c>
      <c r="D3210">
        <v>25.51</v>
      </c>
      <c r="E3210" t="s">
        <v>16</v>
      </c>
      <c r="F3210" t="s">
        <v>16</v>
      </c>
      <c r="H3210">
        <v>-0.11</v>
      </c>
      <c r="I3210">
        <v>-10.02</v>
      </c>
      <c r="J3210">
        <v>-3</v>
      </c>
      <c r="L3210">
        <v>-0.42</v>
      </c>
      <c r="M3210">
        <v>188.66</v>
      </c>
      <c r="N3210">
        <v>0.01</v>
      </c>
      <c r="O3210">
        <v>1.09</v>
      </c>
    </row>
    <row r="3211" spans="1:15">
      <c r="A3211" t="str">
        <f>"600428"</f>
        <v>600428</v>
      </c>
      <c r="B3211" t="s">
        <v>3252</v>
      </c>
      <c r="C3211">
        <v>-1.26</v>
      </c>
      <c r="D3211">
        <v>7.86</v>
      </c>
      <c r="E3211" t="s">
        <v>16</v>
      </c>
      <c r="F3211" t="s">
        <v>16</v>
      </c>
      <c r="H3211">
        <v>0.13</v>
      </c>
      <c r="I3211">
        <v>3.29</v>
      </c>
      <c r="J3211">
        <v>-1.75</v>
      </c>
      <c r="L3211">
        <v>-0.5</v>
      </c>
      <c r="M3211">
        <v>57.42</v>
      </c>
      <c r="N3211">
        <v>0.01</v>
      </c>
      <c r="O3211">
        <v>0.62</v>
      </c>
    </row>
    <row r="3212" spans="1:15">
      <c r="A3212" t="str">
        <f>"600429"</f>
        <v>600429</v>
      </c>
      <c r="B3212" t="s">
        <v>3253</v>
      </c>
      <c r="C3212">
        <v>-0.93</v>
      </c>
      <c r="D3212">
        <v>4.25</v>
      </c>
      <c r="E3212" t="s">
        <v>16</v>
      </c>
      <c r="F3212" t="s">
        <v>16</v>
      </c>
      <c r="H3212">
        <v>0</v>
      </c>
      <c r="I3212">
        <v>-6.59</v>
      </c>
      <c r="J3212">
        <v>-0.93</v>
      </c>
      <c r="L3212">
        <v>-0.7</v>
      </c>
      <c r="M3212">
        <v>22.15</v>
      </c>
      <c r="N3212">
        <v>0.01</v>
      </c>
      <c r="O3212">
        <v>4.3</v>
      </c>
    </row>
    <row r="3213" spans="1:15">
      <c r="A3213" t="str">
        <f>"600433"</f>
        <v>600433</v>
      </c>
      <c r="B3213" t="s">
        <v>3254</v>
      </c>
      <c r="C3213">
        <v>-2.35</v>
      </c>
      <c r="D3213">
        <v>3.32</v>
      </c>
      <c r="E3213" t="s">
        <v>16</v>
      </c>
      <c r="F3213" t="s">
        <v>16</v>
      </c>
      <c r="H3213">
        <v>0</v>
      </c>
      <c r="I3213">
        <v>-10.51</v>
      </c>
      <c r="J3213">
        <v>-1.78</v>
      </c>
      <c r="L3213">
        <v>-1.18</v>
      </c>
      <c r="M3213">
        <v>42.5</v>
      </c>
      <c r="N3213">
        <v>0.01</v>
      </c>
      <c r="O3213">
        <v>2.12</v>
      </c>
    </row>
    <row r="3214" spans="1:15">
      <c r="A3214" t="str">
        <f>"600435"</f>
        <v>600435</v>
      </c>
      <c r="B3214" t="s">
        <v>3255</v>
      </c>
      <c r="C3214">
        <v>-1.35</v>
      </c>
      <c r="D3214">
        <v>11.72</v>
      </c>
      <c r="E3214" t="s">
        <v>16</v>
      </c>
      <c r="F3214" t="s">
        <v>16</v>
      </c>
      <c r="H3214">
        <v>-0.08</v>
      </c>
      <c r="I3214">
        <v>0.09</v>
      </c>
      <c r="J3214">
        <v>-1.76</v>
      </c>
      <c r="L3214">
        <v>-0.42</v>
      </c>
      <c r="M3214">
        <v>64.71</v>
      </c>
      <c r="N3214">
        <v>0.01</v>
      </c>
      <c r="O3214">
        <v>1.22</v>
      </c>
    </row>
    <row r="3215" spans="1:15">
      <c r="A3215" t="str">
        <f>"600436"</f>
        <v>600436</v>
      </c>
      <c r="B3215" t="s">
        <v>3256</v>
      </c>
      <c r="C3215">
        <v>-1.49</v>
      </c>
      <c r="D3215">
        <v>112.89</v>
      </c>
      <c r="E3215" t="s">
        <v>16</v>
      </c>
      <c r="F3215" t="s">
        <v>16</v>
      </c>
      <c r="H3215">
        <v>-0.31</v>
      </c>
      <c r="I3215">
        <v>-6.96</v>
      </c>
      <c r="J3215">
        <v>-2.22</v>
      </c>
      <c r="L3215">
        <v>-0.63</v>
      </c>
      <c r="M3215">
        <v>361</v>
      </c>
      <c r="N3215">
        <v>0.01</v>
      </c>
      <c r="O3215">
        <v>3.77</v>
      </c>
    </row>
    <row r="3216" spans="1:15">
      <c r="A3216" t="str">
        <f>"600438"</f>
        <v>600438</v>
      </c>
      <c r="B3216" t="s">
        <v>3257</v>
      </c>
      <c r="C3216">
        <v>-2.5</v>
      </c>
      <c r="D3216">
        <v>12.85</v>
      </c>
      <c r="E3216" t="s">
        <v>16</v>
      </c>
      <c r="F3216" t="s">
        <v>16</v>
      </c>
      <c r="H3216">
        <v>-0.3</v>
      </c>
      <c r="I3216">
        <v>-7.49</v>
      </c>
      <c r="J3216">
        <v>-2.5</v>
      </c>
      <c r="L3216">
        <v>-0.08</v>
      </c>
      <c r="M3216">
        <v>307.52</v>
      </c>
      <c r="N3216">
        <v>0.01</v>
      </c>
      <c r="O3216">
        <v>2.18</v>
      </c>
    </row>
    <row r="3217" spans="1:15">
      <c r="A3217" t="str">
        <f>"600439"</f>
        <v>600439</v>
      </c>
      <c r="B3217" t="s">
        <v>3258</v>
      </c>
      <c r="C3217">
        <v>-2.27</v>
      </c>
      <c r="D3217">
        <v>2.15</v>
      </c>
      <c r="E3217" t="s">
        <v>16</v>
      </c>
      <c r="F3217" t="s">
        <v>16</v>
      </c>
      <c r="H3217">
        <v>-0.45</v>
      </c>
      <c r="I3217">
        <v>-25.35</v>
      </c>
      <c r="J3217">
        <v>-2.27</v>
      </c>
      <c r="L3217">
        <v>-0.45</v>
      </c>
      <c r="M3217">
        <v>32.32</v>
      </c>
      <c r="N3217">
        <v>0.02</v>
      </c>
      <c r="O3217">
        <v>0.86</v>
      </c>
    </row>
    <row r="3218" spans="1:15">
      <c r="A3218" t="str">
        <f>"600444"</f>
        <v>600444</v>
      </c>
      <c r="B3218" t="s">
        <v>3259</v>
      </c>
      <c r="C3218">
        <v>-0.43</v>
      </c>
      <c r="D3218">
        <v>13.86</v>
      </c>
      <c r="E3218" t="s">
        <v>16</v>
      </c>
      <c r="F3218" t="s">
        <v>16</v>
      </c>
      <c r="H3218">
        <v>0.43</v>
      </c>
      <c r="I3218">
        <v>-4.94</v>
      </c>
      <c r="J3218">
        <v>-0.86</v>
      </c>
      <c r="L3218">
        <v>-1.22</v>
      </c>
      <c r="M3218">
        <v>13.34</v>
      </c>
      <c r="N3218">
        <v>0.01</v>
      </c>
      <c r="O3218">
        <v>2.06</v>
      </c>
    </row>
    <row r="3219" spans="1:15">
      <c r="A3219" t="str">
        <f>"600446"</f>
        <v>600446</v>
      </c>
      <c r="B3219" t="s">
        <v>3260</v>
      </c>
      <c r="C3219">
        <v>-2.97</v>
      </c>
      <c r="D3219">
        <v>11.1</v>
      </c>
      <c r="E3219" t="s">
        <v>16</v>
      </c>
      <c r="F3219" t="s">
        <v>16</v>
      </c>
      <c r="H3219">
        <v>-0.53</v>
      </c>
      <c r="I3219">
        <v>-10.77</v>
      </c>
      <c r="J3219">
        <v>-3.65</v>
      </c>
      <c r="L3219">
        <v>-0.35</v>
      </c>
      <c r="M3219">
        <v>17.33</v>
      </c>
      <c r="N3219">
        <v>0</v>
      </c>
      <c r="O3219">
        <v>0.24</v>
      </c>
    </row>
    <row r="3220" spans="1:15">
      <c r="A3220" t="str">
        <f>"600448"</f>
        <v>600448</v>
      </c>
      <c r="B3220" t="s">
        <v>3261</v>
      </c>
      <c r="C3220">
        <v>-1.09</v>
      </c>
      <c r="D3220">
        <v>2.72</v>
      </c>
      <c r="E3220" t="s">
        <v>16</v>
      </c>
      <c r="F3220" t="s">
        <v>16</v>
      </c>
      <c r="H3220">
        <v>0</v>
      </c>
      <c r="I3220">
        <v>-8.11</v>
      </c>
      <c r="J3220">
        <v>-1.45</v>
      </c>
      <c r="L3220">
        <v>-0.36</v>
      </c>
      <c r="M3220">
        <v>20</v>
      </c>
      <c r="N3220">
        <v>0.01</v>
      </c>
      <c r="O3220">
        <v>0.85</v>
      </c>
    </row>
    <row r="3221" spans="1:15">
      <c r="A3221" t="str">
        <f>"600449"</f>
        <v>600449</v>
      </c>
      <c r="B3221" t="s">
        <v>3262</v>
      </c>
      <c r="C3221">
        <v>0.7</v>
      </c>
      <c r="D3221">
        <v>13.01</v>
      </c>
      <c r="E3221" t="s">
        <v>16</v>
      </c>
      <c r="F3221" t="s">
        <v>16</v>
      </c>
      <c r="H3221">
        <v>0.31</v>
      </c>
      <c r="I3221">
        <v>-1.21</v>
      </c>
      <c r="J3221">
        <v>-1.21</v>
      </c>
      <c r="L3221">
        <v>-0.85</v>
      </c>
      <c r="M3221">
        <v>24.47</v>
      </c>
      <c r="N3221">
        <v>0.01</v>
      </c>
      <c r="O3221">
        <v>9.1</v>
      </c>
    </row>
    <row r="3222" spans="1:15">
      <c r="A3222" t="str">
        <f>"600452"</f>
        <v>600452</v>
      </c>
      <c r="B3222" t="s">
        <v>3263</v>
      </c>
      <c r="C3222">
        <v>-3</v>
      </c>
      <c r="D3222">
        <v>10.03</v>
      </c>
      <c r="E3222" t="s">
        <v>16</v>
      </c>
      <c r="F3222" t="s">
        <v>16</v>
      </c>
      <c r="H3222">
        <v>-0.19</v>
      </c>
      <c r="I3222">
        <v>-13.46</v>
      </c>
      <c r="J3222">
        <v>-3.09</v>
      </c>
      <c r="L3222">
        <v>-0.39</v>
      </c>
      <c r="M3222">
        <v>39.76</v>
      </c>
      <c r="N3222">
        <v>0</v>
      </c>
      <c r="O3222">
        <v>0.49</v>
      </c>
    </row>
    <row r="3223" spans="1:15">
      <c r="A3223" t="str">
        <f>"600455"</f>
        <v>600455</v>
      </c>
      <c r="B3223" t="s">
        <v>3264</v>
      </c>
      <c r="C3223">
        <v>0</v>
      </c>
      <c r="D3223">
        <v>23.39</v>
      </c>
      <c r="E3223" t="s">
        <v>16</v>
      </c>
      <c r="F3223" t="s">
        <v>16</v>
      </c>
      <c r="H3223">
        <v>0.34</v>
      </c>
      <c r="I3223">
        <v>-6.37</v>
      </c>
      <c r="J3223">
        <v>-0.64</v>
      </c>
      <c r="L3223">
        <v>0</v>
      </c>
      <c r="M3223">
        <v>16.14</v>
      </c>
      <c r="N3223">
        <v>0.01</v>
      </c>
      <c r="O3223">
        <v>1.06</v>
      </c>
    </row>
    <row r="3224" spans="1:15">
      <c r="A3224" t="str">
        <f>"600456"</f>
        <v>600456</v>
      </c>
      <c r="B3224" t="s">
        <v>3265</v>
      </c>
      <c r="C3224">
        <v>0.89</v>
      </c>
      <c r="D3224">
        <v>30.6</v>
      </c>
      <c r="E3224" t="s">
        <v>16</v>
      </c>
      <c r="F3224" t="s">
        <v>16</v>
      </c>
      <c r="H3224">
        <v>-0.48</v>
      </c>
      <c r="I3224">
        <v>-1.19</v>
      </c>
      <c r="J3224">
        <v>-1.73</v>
      </c>
      <c r="L3224">
        <v>-0.59</v>
      </c>
      <c r="M3224">
        <v>39.2</v>
      </c>
      <c r="N3224">
        <v>0.01</v>
      </c>
      <c r="O3224">
        <v>0.44</v>
      </c>
    </row>
    <row r="3225" spans="1:15">
      <c r="A3225" t="str">
        <f>"600458"</f>
        <v>600458</v>
      </c>
      <c r="B3225" t="s">
        <v>3266</v>
      </c>
      <c r="C3225">
        <v>-2.17</v>
      </c>
      <c r="D3225">
        <v>16.71</v>
      </c>
      <c r="E3225" t="s">
        <v>16</v>
      </c>
      <c r="F3225" t="s">
        <v>16</v>
      </c>
      <c r="H3225">
        <v>0.18</v>
      </c>
      <c r="I3225">
        <v>21.17</v>
      </c>
      <c r="J3225">
        <v>-4.51</v>
      </c>
      <c r="K3225" t="s">
        <v>26</v>
      </c>
      <c r="L3225">
        <v>-1.81</v>
      </c>
      <c r="M3225">
        <v>1015.42</v>
      </c>
      <c r="N3225">
        <v>0.13</v>
      </c>
      <c r="O3225">
        <v>0.37</v>
      </c>
    </row>
    <row r="3226" spans="1:15">
      <c r="A3226" t="str">
        <f>"600459"</f>
        <v>600459</v>
      </c>
      <c r="B3226" t="s">
        <v>3267</v>
      </c>
      <c r="C3226">
        <v>-1.62</v>
      </c>
      <c r="D3226">
        <v>26.09</v>
      </c>
      <c r="E3226" t="s">
        <v>16</v>
      </c>
      <c r="F3226" t="s">
        <v>16</v>
      </c>
      <c r="H3226">
        <v>0.04</v>
      </c>
      <c r="I3226">
        <v>7.63</v>
      </c>
      <c r="J3226">
        <v>-2.94</v>
      </c>
      <c r="L3226">
        <v>-0.9</v>
      </c>
      <c r="M3226">
        <v>851.02</v>
      </c>
      <c r="N3226">
        <v>0.07</v>
      </c>
      <c r="O3226">
        <v>0.54</v>
      </c>
    </row>
    <row r="3227" spans="1:15">
      <c r="A3227" t="str">
        <f>"600460"</f>
        <v>600460</v>
      </c>
      <c r="B3227" t="s">
        <v>3268</v>
      </c>
      <c r="C3227">
        <v>2.45</v>
      </c>
      <c r="D3227">
        <v>41.83</v>
      </c>
      <c r="E3227" t="s">
        <v>16</v>
      </c>
      <c r="F3227" t="s">
        <v>16</v>
      </c>
      <c r="H3227">
        <v>-0.13</v>
      </c>
      <c r="I3227">
        <v>18.43</v>
      </c>
      <c r="J3227">
        <v>-1.85</v>
      </c>
      <c r="K3227" t="s">
        <v>57</v>
      </c>
      <c r="L3227">
        <v>-0.81</v>
      </c>
      <c r="M3227">
        <v>6974.5</v>
      </c>
      <c r="N3227">
        <v>0.15</v>
      </c>
      <c r="O3227">
        <v>0.51</v>
      </c>
    </row>
    <row r="3228" spans="1:15">
      <c r="A3228" t="str">
        <f>"600461"</f>
        <v>600461</v>
      </c>
      <c r="B3228" t="s">
        <v>3269</v>
      </c>
      <c r="C3228">
        <v>-1.93</v>
      </c>
      <c r="D3228">
        <v>9.17</v>
      </c>
      <c r="E3228" t="s">
        <v>16</v>
      </c>
      <c r="F3228" t="s">
        <v>16</v>
      </c>
      <c r="H3228">
        <v>-0.1</v>
      </c>
      <c r="I3228">
        <v>-5.37</v>
      </c>
      <c r="J3228">
        <v>-1.82</v>
      </c>
      <c r="L3228">
        <v>-0.64</v>
      </c>
      <c r="M3228">
        <v>27.22</v>
      </c>
      <c r="N3228">
        <v>0</v>
      </c>
      <c r="O3228">
        <v>0.57</v>
      </c>
    </row>
    <row r="3229" spans="1:15">
      <c r="A3229" t="str">
        <f>"600463"</f>
        <v>600463</v>
      </c>
      <c r="B3229" t="s">
        <v>3270</v>
      </c>
      <c r="C3229">
        <v>0.47</v>
      </c>
      <c r="D3229">
        <v>8.53</v>
      </c>
      <c r="E3229" t="s">
        <v>16</v>
      </c>
      <c r="F3229" t="s">
        <v>16</v>
      </c>
      <c r="H3229">
        <v>0.24</v>
      </c>
      <c r="I3229">
        <v>-7.28</v>
      </c>
      <c r="J3229">
        <v>-1.61</v>
      </c>
      <c r="L3229">
        <v>1.18</v>
      </c>
      <c r="M3229">
        <v>28.95</v>
      </c>
      <c r="N3229">
        <v>0.03</v>
      </c>
      <c r="O3229">
        <v>5.11</v>
      </c>
    </row>
    <row r="3230" spans="1:15">
      <c r="A3230" t="str">
        <f>"600467"</f>
        <v>600467</v>
      </c>
      <c r="B3230" t="s">
        <v>3271</v>
      </c>
      <c r="C3230">
        <v>-1.84</v>
      </c>
      <c r="D3230">
        <v>2.13</v>
      </c>
      <c r="E3230" t="s">
        <v>16</v>
      </c>
      <c r="F3230" t="s">
        <v>16</v>
      </c>
      <c r="H3230">
        <v>-0.46</v>
      </c>
      <c r="I3230">
        <v>-7.79</v>
      </c>
      <c r="J3230">
        <v>-1.39</v>
      </c>
      <c r="L3230">
        <v>-0.92</v>
      </c>
      <c r="M3230">
        <v>12.64</v>
      </c>
      <c r="N3230">
        <v>0.01</v>
      </c>
      <c r="O3230">
        <v>0.71</v>
      </c>
    </row>
    <row r="3231" spans="1:15">
      <c r="A3231" t="str">
        <f>"600468"</f>
        <v>600468</v>
      </c>
      <c r="B3231" t="s">
        <v>3272</v>
      </c>
      <c r="C3231">
        <v>-2.21</v>
      </c>
      <c r="D3231">
        <v>5.74</v>
      </c>
      <c r="E3231" t="s">
        <v>16</v>
      </c>
      <c r="F3231" t="s">
        <v>16</v>
      </c>
      <c r="H3231">
        <v>0</v>
      </c>
      <c r="I3231">
        <v>-9.32</v>
      </c>
      <c r="J3231">
        <v>-1.88</v>
      </c>
      <c r="L3231">
        <v>-1.36</v>
      </c>
      <c r="M3231">
        <v>27.73</v>
      </c>
      <c r="N3231">
        <v>0.01</v>
      </c>
      <c r="O3231">
        <v>0.91</v>
      </c>
    </row>
    <row r="3232" spans="1:15">
      <c r="A3232" t="str">
        <f>"600469"</f>
        <v>600469</v>
      </c>
      <c r="B3232" t="s">
        <v>3273</v>
      </c>
      <c r="C3232">
        <v>-0.71</v>
      </c>
      <c r="D3232">
        <v>5.59</v>
      </c>
      <c r="E3232" t="s">
        <v>16</v>
      </c>
      <c r="F3232" t="s">
        <v>16</v>
      </c>
      <c r="H3232">
        <v>1.82</v>
      </c>
      <c r="I3232">
        <v>-4.28</v>
      </c>
      <c r="J3232">
        <v>-0.53</v>
      </c>
      <c r="L3232">
        <v>-0.18</v>
      </c>
      <c r="M3232">
        <v>0.22</v>
      </c>
      <c r="N3232">
        <v>0</v>
      </c>
      <c r="O3232">
        <v>0.02</v>
      </c>
    </row>
    <row r="3233" spans="1:15">
      <c r="A3233" t="str">
        <f>"600470"</f>
        <v>600470</v>
      </c>
      <c r="B3233" t="s">
        <v>3274</v>
      </c>
      <c r="C3233">
        <v>-3.24</v>
      </c>
      <c r="D3233">
        <v>5.37</v>
      </c>
      <c r="E3233" t="s">
        <v>16</v>
      </c>
      <c r="F3233" t="s">
        <v>16</v>
      </c>
      <c r="H3233">
        <v>-0.36</v>
      </c>
      <c r="I3233">
        <v>-2.01</v>
      </c>
      <c r="J3233">
        <v>-4.79</v>
      </c>
      <c r="L3233">
        <v>-0.72</v>
      </c>
      <c r="M3233">
        <v>167.61</v>
      </c>
      <c r="N3233">
        <v>0.08</v>
      </c>
      <c r="O3233">
        <v>1.22</v>
      </c>
    </row>
    <row r="3234" spans="1:15">
      <c r="A3234" t="str">
        <f>"600475"</f>
        <v>600475</v>
      </c>
      <c r="B3234" t="s">
        <v>3275</v>
      </c>
      <c r="C3234">
        <v>-4.52</v>
      </c>
      <c r="D3234">
        <v>14.78</v>
      </c>
      <c r="E3234" t="s">
        <v>16</v>
      </c>
      <c r="F3234" t="s">
        <v>16</v>
      </c>
      <c r="H3234">
        <v>0.48</v>
      </c>
      <c r="I3234">
        <v>-3.96</v>
      </c>
      <c r="J3234">
        <v>-6.4</v>
      </c>
      <c r="L3234">
        <v>-0.39</v>
      </c>
      <c r="M3234">
        <v>126.75</v>
      </c>
      <c r="N3234">
        <v>0.03</v>
      </c>
      <c r="O3234">
        <v>2.8</v>
      </c>
    </row>
    <row r="3235" spans="1:15">
      <c r="A3235" t="str">
        <f>"600476"</f>
        <v>600476</v>
      </c>
      <c r="B3235" t="s">
        <v>3276</v>
      </c>
      <c r="C3235">
        <v>-2.8</v>
      </c>
      <c r="D3235">
        <v>9.71</v>
      </c>
      <c r="E3235" t="s">
        <v>16</v>
      </c>
      <c r="F3235" t="s">
        <v>16</v>
      </c>
      <c r="H3235">
        <v>0.31</v>
      </c>
      <c r="I3235">
        <v>-12.52</v>
      </c>
      <c r="J3235">
        <v>-3.48</v>
      </c>
      <c r="L3235">
        <v>-0.7</v>
      </c>
      <c r="M3235">
        <v>12.4</v>
      </c>
      <c r="N3235">
        <v>0.01</v>
      </c>
      <c r="O3235">
        <v>1.49</v>
      </c>
    </row>
    <row r="3236" spans="1:15">
      <c r="A3236" t="str">
        <f>"600477"</f>
        <v>600477</v>
      </c>
      <c r="B3236" t="s">
        <v>3277</v>
      </c>
      <c r="C3236">
        <v>-2.72</v>
      </c>
      <c r="D3236">
        <v>2.5</v>
      </c>
      <c r="E3236" t="s">
        <v>16</v>
      </c>
      <c r="F3236" t="s">
        <v>16</v>
      </c>
      <c r="H3236">
        <v>0</v>
      </c>
      <c r="I3236">
        <v>-6.02</v>
      </c>
      <c r="J3236">
        <v>-2.72</v>
      </c>
      <c r="L3236">
        <v>0</v>
      </c>
      <c r="M3236">
        <v>6.86</v>
      </c>
      <c r="N3236">
        <v>0</v>
      </c>
      <c r="O3236">
        <v>0.89</v>
      </c>
    </row>
    <row r="3237" spans="1:15">
      <c r="A3237" t="str">
        <f>"600478"</f>
        <v>600478</v>
      </c>
      <c r="B3237" t="s">
        <v>3278</v>
      </c>
      <c r="C3237">
        <v>-2.57</v>
      </c>
      <c r="D3237">
        <v>5.68</v>
      </c>
      <c r="E3237" t="s">
        <v>16</v>
      </c>
      <c r="F3237" t="s">
        <v>16</v>
      </c>
      <c r="H3237">
        <v>0</v>
      </c>
      <c r="I3237">
        <v>0.18</v>
      </c>
      <c r="J3237">
        <v>-3.07</v>
      </c>
      <c r="L3237">
        <v>-1.37</v>
      </c>
      <c r="M3237">
        <v>135.41</v>
      </c>
      <c r="N3237">
        <v>0.02</v>
      </c>
      <c r="O3237">
        <v>0.3</v>
      </c>
    </row>
    <row r="3238" spans="1:15">
      <c r="A3238" t="str">
        <f>"600479"</f>
        <v>600479</v>
      </c>
      <c r="B3238" t="s">
        <v>3279</v>
      </c>
      <c r="C3238">
        <v>0.31</v>
      </c>
      <c r="D3238">
        <v>9.56</v>
      </c>
      <c r="E3238" t="s">
        <v>16</v>
      </c>
      <c r="F3238" t="s">
        <v>16</v>
      </c>
      <c r="H3238">
        <v>0.21</v>
      </c>
      <c r="I3238">
        <v>-4.4</v>
      </c>
      <c r="J3238">
        <v>-1.04</v>
      </c>
      <c r="L3238">
        <v>0</v>
      </c>
      <c r="M3238">
        <v>31.16</v>
      </c>
      <c r="N3238">
        <v>0.01</v>
      </c>
      <c r="O3238">
        <v>3.44</v>
      </c>
    </row>
    <row r="3239" spans="1:15">
      <c r="A3239" t="str">
        <f>"600480"</f>
        <v>600480</v>
      </c>
      <c r="B3239" t="s">
        <v>3280</v>
      </c>
      <c r="C3239">
        <v>0.51</v>
      </c>
      <c r="D3239">
        <v>9.89</v>
      </c>
      <c r="E3239" t="s">
        <v>16</v>
      </c>
      <c r="F3239" t="s">
        <v>16</v>
      </c>
      <c r="H3239">
        <v>-0.09</v>
      </c>
      <c r="I3239">
        <v>-5.18</v>
      </c>
      <c r="J3239">
        <v>-1.59</v>
      </c>
      <c r="L3239">
        <v>0</v>
      </c>
      <c r="M3239">
        <v>51.66</v>
      </c>
      <c r="N3239">
        <v>0.01</v>
      </c>
      <c r="O3239">
        <v>0.49</v>
      </c>
    </row>
    <row r="3240" spans="1:15">
      <c r="A3240" t="str">
        <f>"600481"</f>
        <v>600481</v>
      </c>
      <c r="B3240" t="s">
        <v>3281</v>
      </c>
      <c r="C3240">
        <v>-5.95</v>
      </c>
      <c r="D3240">
        <v>4.74</v>
      </c>
      <c r="E3240" t="s">
        <v>16</v>
      </c>
      <c r="F3240" t="s">
        <v>16</v>
      </c>
      <c r="H3240">
        <v>-0.2</v>
      </c>
      <c r="I3240">
        <v>-4.63</v>
      </c>
      <c r="J3240">
        <v>-4.82</v>
      </c>
      <c r="L3240">
        <v>-1.39</v>
      </c>
      <c r="M3240">
        <v>242.34</v>
      </c>
      <c r="N3240">
        <v>0.04</v>
      </c>
      <c r="O3240">
        <v>0.8</v>
      </c>
    </row>
    <row r="3241" spans="1:15">
      <c r="A3241" t="str">
        <f>"600482"</f>
        <v>600482</v>
      </c>
      <c r="B3241" t="s">
        <v>3282</v>
      </c>
      <c r="C3241">
        <v>3.92</v>
      </c>
      <c r="D3241">
        <v>33.11</v>
      </c>
      <c r="E3241" t="s">
        <v>16</v>
      </c>
      <c r="F3241" t="s">
        <v>16</v>
      </c>
      <c r="H3241">
        <v>0</v>
      </c>
      <c r="I3241">
        <v>-16.83</v>
      </c>
      <c r="J3241">
        <v>-4.2</v>
      </c>
      <c r="L3241">
        <v>1.07</v>
      </c>
      <c r="M3241">
        <v>604.07</v>
      </c>
      <c r="N3241">
        <v>0.02</v>
      </c>
      <c r="O3241">
        <v>2.43</v>
      </c>
    </row>
    <row r="3242" spans="1:15">
      <c r="A3242" t="str">
        <f>"600483"</f>
        <v>600483</v>
      </c>
      <c r="B3242" t="s">
        <v>3283</v>
      </c>
      <c r="C3242">
        <v>-3.79</v>
      </c>
      <c r="D3242">
        <v>11.16</v>
      </c>
      <c r="E3242" t="s">
        <v>16</v>
      </c>
      <c r="F3242" t="s">
        <v>16</v>
      </c>
      <c r="H3242">
        <v>-0.26</v>
      </c>
      <c r="I3242">
        <v>-6.38</v>
      </c>
      <c r="J3242">
        <v>-4.37</v>
      </c>
      <c r="L3242">
        <v>-0.34</v>
      </c>
      <c r="M3242">
        <v>74.68</v>
      </c>
      <c r="N3242">
        <v>0.01</v>
      </c>
      <c r="O3242">
        <v>0.84</v>
      </c>
    </row>
    <row r="3243" spans="1:15">
      <c r="A3243" t="str">
        <f>"600486"</f>
        <v>600486</v>
      </c>
      <c r="B3243" t="s">
        <v>3284</v>
      </c>
      <c r="C3243">
        <v>-2.48</v>
      </c>
      <c r="D3243">
        <v>53.91</v>
      </c>
      <c r="E3243" t="s">
        <v>16</v>
      </c>
      <c r="F3243" t="s">
        <v>16</v>
      </c>
      <c r="H3243">
        <v>-0.12</v>
      </c>
      <c r="I3243">
        <v>-8.32</v>
      </c>
      <c r="J3243">
        <v>-2.83</v>
      </c>
      <c r="L3243">
        <v>0.36</v>
      </c>
      <c r="M3243">
        <v>69.35</v>
      </c>
      <c r="N3243">
        <v>0.01</v>
      </c>
      <c r="O3243">
        <v>2.6</v>
      </c>
    </row>
    <row r="3244" spans="1:15">
      <c r="A3244" t="str">
        <f>"600487"</f>
        <v>600487</v>
      </c>
      <c r="B3244" t="s">
        <v>3285</v>
      </c>
      <c r="C3244">
        <v>0.01</v>
      </c>
      <c r="D3244">
        <v>111.01</v>
      </c>
      <c r="E3244" t="s">
        <v>16</v>
      </c>
      <c r="F3244" t="s">
        <v>16</v>
      </c>
      <c r="H3244">
        <v>0.56</v>
      </c>
      <c r="I3244">
        <v>13.43</v>
      </c>
      <c r="J3244">
        <v>-4.84</v>
      </c>
      <c r="L3244">
        <v>0.03</v>
      </c>
      <c r="M3244">
        <v>17968.38</v>
      </c>
      <c r="N3244">
        <v>0.09</v>
      </c>
      <c r="O3244">
        <v>0.7</v>
      </c>
    </row>
    <row r="3245" spans="1:15">
      <c r="A3245" t="str">
        <f>"600488"</f>
        <v>600488</v>
      </c>
      <c r="B3245" t="s">
        <v>3286</v>
      </c>
      <c r="C3245">
        <v>-1.09</v>
      </c>
      <c r="D3245">
        <v>4.55</v>
      </c>
      <c r="E3245" t="s">
        <v>16</v>
      </c>
      <c r="F3245" t="s">
        <v>16</v>
      </c>
      <c r="H3245">
        <v>0</v>
      </c>
      <c r="I3245">
        <v>-16.67</v>
      </c>
      <c r="J3245">
        <v>-2.99</v>
      </c>
      <c r="L3245">
        <v>-0.22</v>
      </c>
      <c r="M3245">
        <v>162.49</v>
      </c>
      <c r="N3245">
        <v>0.07</v>
      </c>
      <c r="O3245">
        <v>1.03</v>
      </c>
    </row>
    <row r="3246" spans="1:15">
      <c r="A3246" t="str">
        <f>"600489"</f>
        <v>600489</v>
      </c>
      <c r="B3246" t="s">
        <v>3287</v>
      </c>
      <c r="C3246">
        <v>-3.44</v>
      </c>
      <c r="D3246">
        <v>21.92</v>
      </c>
      <c r="E3246" t="s">
        <v>16</v>
      </c>
      <c r="F3246" t="s">
        <v>16</v>
      </c>
      <c r="H3246">
        <v>-0.04</v>
      </c>
      <c r="I3246">
        <v>-2.79</v>
      </c>
      <c r="J3246">
        <v>-3.78</v>
      </c>
      <c r="L3246">
        <v>-1.32</v>
      </c>
      <c r="M3246">
        <v>1925.5</v>
      </c>
      <c r="N3246">
        <v>0.03</v>
      </c>
      <c r="O3246">
        <v>2.51</v>
      </c>
    </row>
    <row r="3247" spans="1:15">
      <c r="A3247" t="str">
        <f>"600490"</f>
        <v>600490</v>
      </c>
      <c r="B3247" t="s">
        <v>3288</v>
      </c>
      <c r="C3247">
        <v>-2.44</v>
      </c>
      <c r="D3247">
        <v>7.21</v>
      </c>
      <c r="E3247" t="s">
        <v>16</v>
      </c>
      <c r="F3247" t="s">
        <v>16</v>
      </c>
      <c r="H3247">
        <v>0.14</v>
      </c>
      <c r="I3247">
        <v>0.14</v>
      </c>
      <c r="J3247">
        <v>-3.87</v>
      </c>
      <c r="L3247">
        <v>-0.54</v>
      </c>
      <c r="M3247">
        <v>315.76</v>
      </c>
      <c r="N3247">
        <v>0.03</v>
      </c>
      <c r="O3247">
        <v>1.18</v>
      </c>
    </row>
    <row r="3248" spans="1:15">
      <c r="A3248" t="str">
        <f>"600491"</f>
        <v>600491</v>
      </c>
      <c r="B3248" t="s">
        <v>3289</v>
      </c>
      <c r="C3248">
        <v>-4.72</v>
      </c>
      <c r="D3248">
        <v>1.21</v>
      </c>
      <c r="E3248">
        <v>72.82</v>
      </c>
      <c r="F3248" t="s">
        <v>16</v>
      </c>
      <c r="H3248">
        <v>-0.81</v>
      </c>
      <c r="I3248">
        <v>-15.97</v>
      </c>
      <c r="J3248">
        <v>-4.72</v>
      </c>
      <c r="L3248">
        <v>0</v>
      </c>
      <c r="M3248">
        <v>36.97</v>
      </c>
      <c r="N3248">
        <v>0.03</v>
      </c>
      <c r="O3248">
        <v>0.51</v>
      </c>
    </row>
    <row r="3249" spans="1:15">
      <c r="A3249" t="str">
        <f>"600493"</f>
        <v>600493</v>
      </c>
      <c r="B3249" t="s">
        <v>3290</v>
      </c>
      <c r="C3249">
        <v>-0.7</v>
      </c>
      <c r="D3249">
        <v>5.69</v>
      </c>
      <c r="E3249" t="s">
        <v>16</v>
      </c>
      <c r="F3249" t="s">
        <v>16</v>
      </c>
      <c r="H3249">
        <v>-0.17</v>
      </c>
      <c r="I3249">
        <v>-8.81</v>
      </c>
      <c r="J3249">
        <v>-1.56</v>
      </c>
      <c r="L3249">
        <v>-0.35</v>
      </c>
      <c r="M3249">
        <v>20.67</v>
      </c>
      <c r="N3249">
        <v>0.02</v>
      </c>
      <c r="O3249">
        <v>3.69</v>
      </c>
    </row>
    <row r="3250" spans="1:15">
      <c r="A3250" t="str">
        <f>"600495"</f>
        <v>600495</v>
      </c>
      <c r="B3250" t="s">
        <v>3291</v>
      </c>
      <c r="C3250">
        <v>-2.4</v>
      </c>
      <c r="D3250">
        <v>3.66</v>
      </c>
      <c r="E3250" t="s">
        <v>16</v>
      </c>
      <c r="F3250" t="s">
        <v>16</v>
      </c>
      <c r="H3250">
        <v>-0.26</v>
      </c>
      <c r="I3250">
        <v>-7.11</v>
      </c>
      <c r="J3250">
        <v>-2.4</v>
      </c>
      <c r="L3250">
        <v>0</v>
      </c>
      <c r="M3250">
        <v>24.9</v>
      </c>
      <c r="N3250">
        <v>0.01</v>
      </c>
      <c r="O3250">
        <v>0.59</v>
      </c>
    </row>
    <row r="3251" spans="1:15">
      <c r="A3251" t="str">
        <f>"600496"</f>
        <v>600496</v>
      </c>
      <c r="B3251" t="s">
        <v>3292</v>
      </c>
      <c r="C3251">
        <v>-2.61</v>
      </c>
      <c r="D3251">
        <v>3.36</v>
      </c>
      <c r="E3251" t="s">
        <v>16</v>
      </c>
      <c r="F3251" t="s">
        <v>16</v>
      </c>
      <c r="H3251">
        <v>-0.29</v>
      </c>
      <c r="I3251">
        <v>-14.29</v>
      </c>
      <c r="J3251">
        <v>-2.33</v>
      </c>
      <c r="L3251">
        <v>-0.87</v>
      </c>
      <c r="M3251">
        <v>31.26</v>
      </c>
      <c r="N3251">
        <v>0.01</v>
      </c>
      <c r="O3251">
        <v>1.61</v>
      </c>
    </row>
    <row r="3252" spans="1:15">
      <c r="A3252" t="str">
        <f>"600497"</f>
        <v>600497</v>
      </c>
      <c r="B3252" t="s">
        <v>3293</v>
      </c>
      <c r="C3252">
        <v>1.78</v>
      </c>
      <c r="D3252">
        <v>10.28</v>
      </c>
      <c r="E3252" t="s">
        <v>16</v>
      </c>
      <c r="F3252" t="s">
        <v>16</v>
      </c>
      <c r="H3252">
        <v>-0.09</v>
      </c>
      <c r="I3252">
        <v>9.59</v>
      </c>
      <c r="J3252">
        <v>-2.56</v>
      </c>
      <c r="L3252">
        <v>-0.99</v>
      </c>
      <c r="M3252">
        <v>1554.6</v>
      </c>
      <c r="N3252">
        <v>0.05</v>
      </c>
      <c r="O3252">
        <v>0.67</v>
      </c>
    </row>
    <row r="3253" spans="1:15">
      <c r="A3253" t="str">
        <f>"600498"</f>
        <v>600498</v>
      </c>
      <c r="B3253" t="s">
        <v>3294</v>
      </c>
      <c r="C3253">
        <v>-1.79</v>
      </c>
      <c r="D3253">
        <v>75.31</v>
      </c>
      <c r="E3253" t="s">
        <v>16</v>
      </c>
      <c r="F3253" t="s">
        <v>16</v>
      </c>
      <c r="H3253">
        <v>0.07</v>
      </c>
      <c r="I3253">
        <v>42.77</v>
      </c>
      <c r="J3253">
        <v>-3.45</v>
      </c>
      <c r="L3253">
        <v>-0.16</v>
      </c>
      <c r="M3253">
        <v>8318.66</v>
      </c>
      <c r="N3253">
        <v>0.14</v>
      </c>
      <c r="O3253">
        <v>0.55</v>
      </c>
    </row>
    <row r="3254" spans="1:15">
      <c r="A3254" t="str">
        <f>"600499"</f>
        <v>600499</v>
      </c>
      <c r="B3254" t="s">
        <v>3295</v>
      </c>
      <c r="C3254">
        <v>-4.23</v>
      </c>
      <c r="D3254">
        <v>14.96</v>
      </c>
      <c r="E3254" t="s">
        <v>16</v>
      </c>
      <c r="F3254" t="s">
        <v>16</v>
      </c>
      <c r="H3254">
        <v>-0.06</v>
      </c>
      <c r="I3254">
        <v>-0.33</v>
      </c>
      <c r="J3254">
        <v>-4.35</v>
      </c>
      <c r="L3254">
        <v>-0.13</v>
      </c>
      <c r="M3254">
        <v>67.7</v>
      </c>
      <c r="N3254">
        <v>0</v>
      </c>
      <c r="O3254">
        <v>1.03</v>
      </c>
    </row>
    <row r="3255" spans="1:15">
      <c r="A3255" t="str">
        <f>"600500"</f>
        <v>600500</v>
      </c>
      <c r="B3255" t="s">
        <v>3296</v>
      </c>
      <c r="C3255">
        <v>-4.02</v>
      </c>
      <c r="D3255">
        <v>8.83</v>
      </c>
      <c r="E3255" t="s">
        <v>16</v>
      </c>
      <c r="F3255" t="s">
        <v>16</v>
      </c>
      <c r="H3255">
        <v>-0.44</v>
      </c>
      <c r="I3255">
        <v>54.91</v>
      </c>
      <c r="J3255">
        <v>-3.29</v>
      </c>
      <c r="K3255" t="s">
        <v>51</v>
      </c>
      <c r="L3255">
        <v>-3.59</v>
      </c>
      <c r="M3255">
        <v>9579.04</v>
      </c>
      <c r="N3255">
        <v>0.66</v>
      </c>
      <c r="O3255">
        <v>0.39</v>
      </c>
    </row>
    <row r="3256" spans="1:15">
      <c r="A3256" t="str">
        <f>"600501"</f>
        <v>600501</v>
      </c>
      <c r="B3256" t="s">
        <v>3297</v>
      </c>
      <c r="C3256">
        <v>-2.53</v>
      </c>
      <c r="D3256">
        <v>16.94</v>
      </c>
      <c r="E3256" t="s">
        <v>16</v>
      </c>
      <c r="F3256" t="s">
        <v>16</v>
      </c>
      <c r="H3256">
        <v>-0.05</v>
      </c>
      <c r="I3256">
        <v>-6.56</v>
      </c>
      <c r="J3256">
        <v>-2.76</v>
      </c>
      <c r="L3256">
        <v>-1.04</v>
      </c>
      <c r="M3256">
        <v>36.46</v>
      </c>
      <c r="N3256">
        <v>0.01</v>
      </c>
      <c r="O3256">
        <v>1.67</v>
      </c>
    </row>
    <row r="3257" spans="1:15">
      <c r="A3257" t="str">
        <f>"600502"</f>
        <v>600502</v>
      </c>
      <c r="B3257" t="s">
        <v>3298</v>
      </c>
      <c r="C3257">
        <v>-2.81</v>
      </c>
      <c r="D3257">
        <v>4.49</v>
      </c>
      <c r="E3257" t="s">
        <v>16</v>
      </c>
      <c r="F3257" t="s">
        <v>16</v>
      </c>
      <c r="H3257">
        <v>-0.43</v>
      </c>
      <c r="I3257">
        <v>-7.23</v>
      </c>
      <c r="J3257">
        <v>-3.44</v>
      </c>
      <c r="L3257">
        <v>0</v>
      </c>
      <c r="M3257">
        <v>65.19</v>
      </c>
      <c r="N3257">
        <v>0.01</v>
      </c>
      <c r="O3257">
        <v>0.88</v>
      </c>
    </row>
    <row r="3258" spans="1:15">
      <c r="A3258" t="str">
        <f>"600503"</f>
        <v>600503</v>
      </c>
      <c r="B3258" t="s">
        <v>3299</v>
      </c>
      <c r="C3258">
        <v>-3.56</v>
      </c>
      <c r="D3258">
        <v>2.17</v>
      </c>
      <c r="E3258" t="s">
        <v>16</v>
      </c>
      <c r="F3258" t="s">
        <v>16</v>
      </c>
      <c r="H3258">
        <v>0.46</v>
      </c>
      <c r="I3258">
        <v>-21.66</v>
      </c>
      <c r="J3258">
        <v>-3.98</v>
      </c>
      <c r="L3258">
        <v>0</v>
      </c>
      <c r="M3258">
        <v>28.1</v>
      </c>
      <c r="N3258">
        <v>0.01</v>
      </c>
      <c r="O3258">
        <v>0.89</v>
      </c>
    </row>
    <row r="3259" spans="1:15">
      <c r="A3259" t="str">
        <f>"600505"</f>
        <v>600505</v>
      </c>
      <c r="B3259" t="s">
        <v>3300</v>
      </c>
      <c r="C3259">
        <v>-9.44</v>
      </c>
      <c r="D3259">
        <v>12.67</v>
      </c>
      <c r="E3259" t="s">
        <v>16</v>
      </c>
      <c r="F3259" t="s">
        <v>16</v>
      </c>
      <c r="H3259">
        <v>0.4</v>
      </c>
      <c r="I3259">
        <v>-10.77</v>
      </c>
      <c r="J3259">
        <v>-8.06</v>
      </c>
      <c r="L3259">
        <v>-2.43</v>
      </c>
      <c r="M3259">
        <v>332.65</v>
      </c>
      <c r="N3259">
        <v>0.15</v>
      </c>
      <c r="O3259">
        <v>1.92</v>
      </c>
    </row>
    <row r="3260" spans="1:15">
      <c r="A3260" t="str">
        <f>"600506"</f>
        <v>600506</v>
      </c>
      <c r="B3260" t="s">
        <v>3301</v>
      </c>
      <c r="C3260">
        <v>-3.25</v>
      </c>
      <c r="D3260">
        <v>15.19</v>
      </c>
      <c r="E3260" t="s">
        <v>16</v>
      </c>
      <c r="F3260" t="s">
        <v>16</v>
      </c>
      <c r="H3260">
        <v>-0.19</v>
      </c>
      <c r="I3260">
        <v>-12.35</v>
      </c>
      <c r="J3260">
        <v>-3</v>
      </c>
      <c r="L3260">
        <v>-0.96</v>
      </c>
      <c r="M3260">
        <v>21.93</v>
      </c>
      <c r="N3260">
        <v>0.01</v>
      </c>
      <c r="O3260">
        <v>0.45</v>
      </c>
    </row>
    <row r="3261" spans="1:15">
      <c r="A3261" t="str">
        <f>"600507"</f>
        <v>600507</v>
      </c>
      <c r="B3261" t="s">
        <v>3302</v>
      </c>
      <c r="C3261">
        <v>-0.49</v>
      </c>
      <c r="D3261">
        <v>4.09</v>
      </c>
      <c r="E3261" t="s">
        <v>16</v>
      </c>
      <c r="F3261" t="s">
        <v>16</v>
      </c>
      <c r="H3261">
        <v>0.25</v>
      </c>
      <c r="I3261">
        <v>-9.31</v>
      </c>
      <c r="J3261">
        <v>-2.15</v>
      </c>
      <c r="L3261">
        <v>-0.49</v>
      </c>
      <c r="M3261">
        <v>12.76</v>
      </c>
      <c r="N3261">
        <v>0</v>
      </c>
      <c r="O3261">
        <v>0.82</v>
      </c>
    </row>
    <row r="3262" spans="1:15">
      <c r="A3262" t="str">
        <f>"600508"</f>
        <v>600508</v>
      </c>
      <c r="B3262" t="s">
        <v>3303</v>
      </c>
      <c r="C3262">
        <v>-6.06</v>
      </c>
      <c r="D3262">
        <v>8.06</v>
      </c>
      <c r="E3262" t="s">
        <v>16</v>
      </c>
      <c r="F3262" t="s">
        <v>16</v>
      </c>
      <c r="H3262">
        <v>0.25</v>
      </c>
      <c r="I3262">
        <v>-22.13</v>
      </c>
      <c r="J3262">
        <v>-4.95</v>
      </c>
      <c r="L3262">
        <v>-1.52</v>
      </c>
      <c r="M3262">
        <v>37.94</v>
      </c>
      <c r="N3262">
        <v>0.01</v>
      </c>
      <c r="O3262">
        <v>0.47</v>
      </c>
    </row>
    <row r="3263" spans="1:15">
      <c r="A3263" t="str">
        <f>"600509"</f>
        <v>600509</v>
      </c>
      <c r="B3263" t="s">
        <v>3304</v>
      </c>
      <c r="C3263">
        <v>-3.95</v>
      </c>
      <c r="D3263">
        <v>8.27</v>
      </c>
      <c r="E3263" t="s">
        <v>16</v>
      </c>
      <c r="F3263" t="s">
        <v>16</v>
      </c>
      <c r="H3263">
        <v>-0.11</v>
      </c>
      <c r="I3263">
        <v>-9.81</v>
      </c>
      <c r="J3263">
        <v>-5.7</v>
      </c>
      <c r="L3263">
        <v>0</v>
      </c>
      <c r="M3263">
        <v>140.69</v>
      </c>
      <c r="N3263">
        <v>0.02</v>
      </c>
      <c r="O3263">
        <v>0.66</v>
      </c>
    </row>
    <row r="3264" spans="1:15">
      <c r="A3264" t="str">
        <f>"600510"</f>
        <v>600510</v>
      </c>
      <c r="B3264" t="s">
        <v>3305</v>
      </c>
      <c r="C3264">
        <v>-3.93</v>
      </c>
      <c r="D3264">
        <v>7.82</v>
      </c>
      <c r="E3264" t="s">
        <v>16</v>
      </c>
      <c r="F3264" t="s">
        <v>16</v>
      </c>
      <c r="H3264">
        <v>0</v>
      </c>
      <c r="I3264">
        <v>-3.81</v>
      </c>
      <c r="J3264">
        <v>-6.46</v>
      </c>
      <c r="L3264">
        <v>0.49</v>
      </c>
      <c r="M3264">
        <v>41.39</v>
      </c>
      <c r="N3264">
        <v>0.01</v>
      </c>
      <c r="O3264">
        <v>0.95</v>
      </c>
    </row>
    <row r="3265" spans="1:15">
      <c r="A3265" t="str">
        <f>"600511"</f>
        <v>600511</v>
      </c>
      <c r="B3265" t="s">
        <v>3306</v>
      </c>
      <c r="C3265">
        <v>0.18</v>
      </c>
      <c r="D3265">
        <v>27.19</v>
      </c>
      <c r="E3265" t="s">
        <v>16</v>
      </c>
      <c r="F3265" t="s">
        <v>16</v>
      </c>
      <c r="H3265">
        <v>-0.03</v>
      </c>
      <c r="I3265">
        <v>5.02</v>
      </c>
      <c r="J3265">
        <v>-0.18</v>
      </c>
      <c r="L3265">
        <v>0.07</v>
      </c>
      <c r="M3265">
        <v>60.02</v>
      </c>
      <c r="N3265">
        <v>0.01</v>
      </c>
      <c r="O3265">
        <v>2.25</v>
      </c>
    </row>
    <row r="3266" spans="1:15">
      <c r="A3266" t="str">
        <f>"600512"</f>
        <v>600512</v>
      </c>
      <c r="B3266" t="s">
        <v>3307</v>
      </c>
      <c r="C3266">
        <v>-2.46</v>
      </c>
      <c r="D3266">
        <v>1.98</v>
      </c>
      <c r="E3266" t="s">
        <v>16</v>
      </c>
      <c r="F3266" t="s">
        <v>16</v>
      </c>
      <c r="H3266">
        <v>0</v>
      </c>
      <c r="I3266">
        <v>-8.33</v>
      </c>
      <c r="J3266">
        <v>-2.46</v>
      </c>
      <c r="L3266">
        <v>-0.49</v>
      </c>
      <c r="M3266">
        <v>17.92</v>
      </c>
      <c r="N3266">
        <v>0.01</v>
      </c>
      <c r="O3266">
        <v>2.28</v>
      </c>
    </row>
    <row r="3267" spans="1:15">
      <c r="A3267" t="str">
        <f>"600513"</f>
        <v>600513</v>
      </c>
      <c r="B3267" t="s">
        <v>3308</v>
      </c>
      <c r="C3267">
        <v>-0.76</v>
      </c>
      <c r="D3267">
        <v>15.73</v>
      </c>
      <c r="E3267" t="s">
        <v>16</v>
      </c>
      <c r="F3267" t="s">
        <v>16</v>
      </c>
      <c r="H3267">
        <v>-0.12</v>
      </c>
      <c r="I3267">
        <v>-7.47</v>
      </c>
      <c r="J3267">
        <v>-2.54</v>
      </c>
      <c r="L3267">
        <v>-0.13</v>
      </c>
      <c r="M3267">
        <v>10.29</v>
      </c>
      <c r="N3267">
        <v>0</v>
      </c>
      <c r="O3267">
        <v>0.79</v>
      </c>
    </row>
    <row r="3268" spans="1:15">
      <c r="A3268" t="str">
        <f>"600515"</f>
        <v>600515</v>
      </c>
      <c r="B3268" t="s">
        <v>3309</v>
      </c>
      <c r="C3268">
        <v>-2.4</v>
      </c>
      <c r="D3268">
        <v>2.85</v>
      </c>
      <c r="E3268" t="s">
        <v>16</v>
      </c>
      <c r="F3268" t="s">
        <v>16</v>
      </c>
      <c r="H3268">
        <v>-0.34</v>
      </c>
      <c r="I3268">
        <v>-6.56</v>
      </c>
      <c r="J3268">
        <v>-3.06</v>
      </c>
      <c r="L3268">
        <v>-0.34</v>
      </c>
      <c r="M3268">
        <v>82.06</v>
      </c>
      <c r="N3268">
        <v>0.01</v>
      </c>
      <c r="O3268">
        <v>2.7</v>
      </c>
    </row>
    <row r="3269" spans="1:15">
      <c r="A3269" t="str">
        <f>"600516"</f>
        <v>600516</v>
      </c>
      <c r="B3269" t="s">
        <v>3310</v>
      </c>
      <c r="C3269">
        <v>-4.28</v>
      </c>
      <c r="D3269">
        <v>5.82</v>
      </c>
      <c r="E3269" t="s">
        <v>16</v>
      </c>
      <c r="F3269" t="s">
        <v>16</v>
      </c>
      <c r="H3269">
        <v>0.52</v>
      </c>
      <c r="I3269">
        <v>9.81</v>
      </c>
      <c r="J3269">
        <v>-3.64</v>
      </c>
      <c r="L3269">
        <v>-1.15</v>
      </c>
      <c r="M3269">
        <v>413.55</v>
      </c>
      <c r="N3269">
        <v>0.03</v>
      </c>
      <c r="O3269">
        <v>1.58</v>
      </c>
    </row>
    <row r="3270" spans="1:15">
      <c r="A3270" t="str">
        <f>"600517"</f>
        <v>600517</v>
      </c>
      <c r="B3270" t="s">
        <v>3311</v>
      </c>
      <c r="C3270">
        <v>5.22</v>
      </c>
      <c r="D3270">
        <v>5.24</v>
      </c>
      <c r="E3270" t="s">
        <v>16</v>
      </c>
      <c r="F3270" t="s">
        <v>16</v>
      </c>
      <c r="H3270">
        <v>0.58</v>
      </c>
      <c r="I3270">
        <v>1.95</v>
      </c>
      <c r="J3270">
        <v>-2.78</v>
      </c>
      <c r="L3270">
        <v>8.03</v>
      </c>
      <c r="M3270">
        <v>1469.33</v>
      </c>
      <c r="N3270">
        <v>0.23</v>
      </c>
      <c r="O3270">
        <v>75.24</v>
      </c>
    </row>
    <row r="3271" spans="1:15">
      <c r="A3271" t="str">
        <f>"600518"</f>
        <v>600518</v>
      </c>
      <c r="B3271" t="s">
        <v>3312</v>
      </c>
      <c r="C3271">
        <v>3.68</v>
      </c>
      <c r="D3271">
        <v>1.41</v>
      </c>
      <c r="E3271" t="s">
        <v>16</v>
      </c>
      <c r="F3271" t="s">
        <v>16</v>
      </c>
      <c r="H3271">
        <v>0.71</v>
      </c>
      <c r="I3271">
        <v>-6.62</v>
      </c>
      <c r="J3271">
        <v>-6</v>
      </c>
      <c r="L3271">
        <v>-0.74</v>
      </c>
      <c r="M3271">
        <v>659.34</v>
      </c>
      <c r="N3271">
        <v>0.05</v>
      </c>
      <c r="O3271">
        <v>2.51</v>
      </c>
    </row>
    <row r="3272" spans="1:15">
      <c r="A3272" t="str">
        <f>"600519"</f>
        <v>600519</v>
      </c>
      <c r="B3272" t="s">
        <v>3313</v>
      </c>
      <c r="C3272">
        <v>-2.02</v>
      </c>
      <c r="D3272">
        <v>1215</v>
      </c>
      <c r="E3272" t="s">
        <v>16</v>
      </c>
      <c r="F3272" t="s">
        <v>16</v>
      </c>
      <c r="H3272">
        <v>-0.61</v>
      </c>
      <c r="I3272">
        <v>-4.18</v>
      </c>
      <c r="J3272">
        <v>-1.93</v>
      </c>
      <c r="L3272">
        <v>-0.4</v>
      </c>
      <c r="M3272">
        <v>5149.95</v>
      </c>
      <c r="N3272">
        <v>0.01</v>
      </c>
      <c r="O3272">
        <v>1.36</v>
      </c>
    </row>
    <row r="3273" spans="1:15">
      <c r="A3273" t="str">
        <f>"600520"</f>
        <v>600520</v>
      </c>
      <c r="B3273" t="s">
        <v>3314</v>
      </c>
      <c r="C3273">
        <v>5.9</v>
      </c>
      <c r="D3273">
        <v>32.66</v>
      </c>
      <c r="E3273" t="s">
        <v>16</v>
      </c>
      <c r="F3273" t="s">
        <v>16</v>
      </c>
      <c r="H3273">
        <v>-0.11</v>
      </c>
      <c r="I3273">
        <v>12.93</v>
      </c>
      <c r="J3273">
        <v>-2.8</v>
      </c>
      <c r="K3273" t="s">
        <v>57</v>
      </c>
      <c r="L3273">
        <v>0.97</v>
      </c>
      <c r="M3273">
        <v>566.44</v>
      </c>
      <c r="N3273">
        <v>0.15</v>
      </c>
      <c r="O3273">
        <v>2.39</v>
      </c>
    </row>
    <row r="3274" spans="1:15">
      <c r="A3274" t="str">
        <f>"600521"</f>
        <v>600521</v>
      </c>
      <c r="B3274" t="s">
        <v>3315</v>
      </c>
      <c r="C3274">
        <v>1.13</v>
      </c>
      <c r="D3274">
        <v>14.35</v>
      </c>
      <c r="E3274" t="s">
        <v>16</v>
      </c>
      <c r="F3274" t="s">
        <v>16</v>
      </c>
      <c r="H3274">
        <v>-0.2</v>
      </c>
      <c r="I3274">
        <v>-3.95</v>
      </c>
      <c r="J3274">
        <v>-1.64</v>
      </c>
      <c r="L3274">
        <v>0.63</v>
      </c>
      <c r="M3274">
        <v>36.56</v>
      </c>
      <c r="N3274">
        <v>0</v>
      </c>
      <c r="O3274">
        <v>1.26</v>
      </c>
    </row>
    <row r="3275" spans="1:15">
      <c r="A3275" t="str">
        <f>"600522"</f>
        <v>600522</v>
      </c>
      <c r="B3275" t="s">
        <v>3316</v>
      </c>
      <c r="C3275">
        <v>2.99</v>
      </c>
      <c r="D3275">
        <v>56.55</v>
      </c>
      <c r="E3275" t="s">
        <v>16</v>
      </c>
      <c r="F3275" t="s">
        <v>16</v>
      </c>
      <c r="H3275">
        <v>0.18</v>
      </c>
      <c r="I3275">
        <v>22.77</v>
      </c>
      <c r="J3275">
        <v>-2.11</v>
      </c>
      <c r="L3275">
        <v>-1.42</v>
      </c>
      <c r="M3275">
        <v>10607.86</v>
      </c>
      <c r="N3275">
        <v>0.07</v>
      </c>
      <c r="O3275">
        <v>0.63</v>
      </c>
    </row>
    <row r="3276" spans="1:15">
      <c r="A3276" t="str">
        <f>"600523"</f>
        <v>600523</v>
      </c>
      <c r="B3276" t="s">
        <v>3317</v>
      </c>
      <c r="C3276">
        <v>0.27</v>
      </c>
      <c r="D3276">
        <v>11.19</v>
      </c>
      <c r="E3276" t="s">
        <v>16</v>
      </c>
      <c r="F3276" t="s">
        <v>16</v>
      </c>
      <c r="H3276">
        <v>-0.08</v>
      </c>
      <c r="I3276">
        <v>-3.12</v>
      </c>
      <c r="J3276">
        <v>-1.06</v>
      </c>
      <c r="L3276">
        <v>0</v>
      </c>
      <c r="M3276">
        <v>12.28</v>
      </c>
      <c r="N3276">
        <v>0.01</v>
      </c>
      <c r="O3276">
        <v>36.68</v>
      </c>
    </row>
    <row r="3277" spans="1:15">
      <c r="A3277" t="str">
        <f>"600525"</f>
        <v>600525</v>
      </c>
      <c r="B3277" t="s">
        <v>3318</v>
      </c>
      <c r="C3277">
        <v>-2.16</v>
      </c>
      <c r="D3277">
        <v>4.98</v>
      </c>
      <c r="E3277" t="s">
        <v>16</v>
      </c>
      <c r="F3277" t="s">
        <v>16</v>
      </c>
      <c r="H3277">
        <v>-0.39</v>
      </c>
      <c r="I3277">
        <v>-3.3</v>
      </c>
      <c r="J3277">
        <v>-2.73</v>
      </c>
      <c r="L3277">
        <v>-0.2</v>
      </c>
      <c r="M3277">
        <v>1.32</v>
      </c>
      <c r="N3277">
        <v>0</v>
      </c>
      <c r="O3277">
        <v>0.07</v>
      </c>
    </row>
    <row r="3278" spans="1:15">
      <c r="A3278" t="str">
        <f>"600526"</f>
        <v>600526</v>
      </c>
      <c r="B3278" t="s">
        <v>3319</v>
      </c>
      <c r="C3278">
        <v>0.45</v>
      </c>
      <c r="D3278">
        <v>4.42</v>
      </c>
      <c r="E3278" t="s">
        <v>16</v>
      </c>
      <c r="F3278" t="s">
        <v>16</v>
      </c>
      <c r="H3278">
        <v>0.45</v>
      </c>
      <c r="I3278">
        <v>-3.91</v>
      </c>
      <c r="J3278">
        <v>0</v>
      </c>
      <c r="L3278">
        <v>-0.68</v>
      </c>
      <c r="M3278">
        <v>6.47</v>
      </c>
      <c r="N3278">
        <v>0</v>
      </c>
      <c r="O3278">
        <v>0.57</v>
      </c>
    </row>
    <row r="3279" spans="1:15">
      <c r="A3279" t="str">
        <f>"600527"</f>
        <v>600527</v>
      </c>
      <c r="B3279" t="s">
        <v>3320</v>
      </c>
      <c r="C3279">
        <v>-5.39</v>
      </c>
      <c r="D3279">
        <v>2.28</v>
      </c>
      <c r="E3279" t="s">
        <v>16</v>
      </c>
      <c r="F3279" t="s">
        <v>16</v>
      </c>
      <c r="H3279">
        <v>0</v>
      </c>
      <c r="I3279">
        <v>-5.39</v>
      </c>
      <c r="J3279">
        <v>-4.6</v>
      </c>
      <c r="L3279">
        <v>-1.24</v>
      </c>
      <c r="M3279">
        <v>71.59</v>
      </c>
      <c r="N3279">
        <v>0.02</v>
      </c>
      <c r="O3279">
        <v>2.43</v>
      </c>
    </row>
    <row r="3280" spans="1:15">
      <c r="A3280" t="str">
        <f>"600528"</f>
        <v>600528</v>
      </c>
      <c r="B3280" t="s">
        <v>3321</v>
      </c>
      <c r="C3280">
        <v>-2.23</v>
      </c>
      <c r="D3280">
        <v>7.01</v>
      </c>
      <c r="E3280" t="s">
        <v>16</v>
      </c>
      <c r="F3280" t="s">
        <v>16</v>
      </c>
      <c r="H3280">
        <v>-0.13</v>
      </c>
      <c r="I3280">
        <v>-2.77</v>
      </c>
      <c r="J3280">
        <v>-1.27</v>
      </c>
      <c r="L3280">
        <v>-0.98</v>
      </c>
      <c r="M3280">
        <v>118.78</v>
      </c>
      <c r="N3280">
        <v>0.02</v>
      </c>
      <c r="O3280">
        <v>11.95</v>
      </c>
    </row>
    <row r="3281" spans="1:15">
      <c r="A3281" t="str">
        <f>"600529"</f>
        <v>600529</v>
      </c>
      <c r="B3281" t="s">
        <v>3322</v>
      </c>
      <c r="C3281">
        <v>-3.03</v>
      </c>
      <c r="D3281">
        <v>18.55</v>
      </c>
      <c r="E3281" t="s">
        <v>16</v>
      </c>
      <c r="F3281" t="s">
        <v>16</v>
      </c>
      <c r="H3281">
        <v>-0.15</v>
      </c>
      <c r="I3281">
        <v>-3.39</v>
      </c>
      <c r="J3281">
        <v>-2.98</v>
      </c>
      <c r="L3281">
        <v>-0.21</v>
      </c>
      <c r="M3281">
        <v>123.32</v>
      </c>
      <c r="N3281">
        <v>0.01</v>
      </c>
      <c r="O3281">
        <v>1.28</v>
      </c>
    </row>
    <row r="3282" spans="1:15">
      <c r="A3282" t="str">
        <f>"600530"</f>
        <v>600530</v>
      </c>
      <c r="B3282" t="s">
        <v>3323</v>
      </c>
      <c r="C3282">
        <v>-1.69</v>
      </c>
      <c r="D3282">
        <v>5.82</v>
      </c>
      <c r="E3282" t="s">
        <v>16</v>
      </c>
      <c r="F3282" t="s">
        <v>16</v>
      </c>
      <c r="H3282">
        <v>-0.16</v>
      </c>
      <c r="I3282">
        <v>-11.28</v>
      </c>
      <c r="J3282">
        <v>-5.21</v>
      </c>
      <c r="L3282">
        <v>1.01</v>
      </c>
      <c r="M3282">
        <v>52.27</v>
      </c>
      <c r="N3282">
        <v>0.03</v>
      </c>
      <c r="O3282">
        <v>2.23</v>
      </c>
    </row>
    <row r="3283" spans="1:15">
      <c r="A3283" t="str">
        <f>"600531"</f>
        <v>600531</v>
      </c>
      <c r="B3283" t="s">
        <v>3324</v>
      </c>
      <c r="C3283">
        <v>0.22</v>
      </c>
      <c r="D3283">
        <v>13.46</v>
      </c>
      <c r="E3283" t="s">
        <v>16</v>
      </c>
      <c r="F3283" t="s">
        <v>16</v>
      </c>
      <c r="H3283">
        <v>0.15</v>
      </c>
      <c r="I3283">
        <v>4.91</v>
      </c>
      <c r="J3283">
        <v>-3.3</v>
      </c>
      <c r="L3283">
        <v>-1.04</v>
      </c>
      <c r="M3283">
        <v>402.42</v>
      </c>
      <c r="N3283">
        <v>0.04</v>
      </c>
      <c r="O3283">
        <v>1.02</v>
      </c>
    </row>
    <row r="3284" spans="1:15">
      <c r="A3284" t="str">
        <f>"600533"</f>
        <v>600533</v>
      </c>
      <c r="B3284" t="s">
        <v>3325</v>
      </c>
      <c r="C3284">
        <v>-0.98</v>
      </c>
      <c r="D3284">
        <v>2.03</v>
      </c>
      <c r="E3284" t="s">
        <v>16</v>
      </c>
      <c r="F3284" t="s">
        <v>16</v>
      </c>
      <c r="H3284">
        <v>0</v>
      </c>
      <c r="I3284">
        <v>-7.73</v>
      </c>
      <c r="J3284">
        <v>-2.4</v>
      </c>
      <c r="L3284">
        <v>0</v>
      </c>
      <c r="M3284">
        <v>16.99</v>
      </c>
      <c r="N3284">
        <v>0.01</v>
      </c>
      <c r="O3284">
        <v>0.72</v>
      </c>
    </row>
    <row r="3285" spans="1:15">
      <c r="A3285" t="str">
        <f>"600535"</f>
        <v>600535</v>
      </c>
      <c r="B3285" t="s">
        <v>3326</v>
      </c>
      <c r="C3285">
        <v>-0.07</v>
      </c>
      <c r="D3285">
        <v>14.09</v>
      </c>
      <c r="E3285" t="s">
        <v>16</v>
      </c>
      <c r="F3285" t="s">
        <v>16</v>
      </c>
      <c r="H3285">
        <v>0.14</v>
      </c>
      <c r="I3285">
        <v>0.21</v>
      </c>
      <c r="J3285">
        <v>-0.63</v>
      </c>
      <c r="L3285">
        <v>0</v>
      </c>
      <c r="M3285">
        <v>18.89</v>
      </c>
      <c r="N3285">
        <v>0</v>
      </c>
      <c r="O3285">
        <v>1.67</v>
      </c>
    </row>
    <row r="3286" spans="1:15">
      <c r="A3286" t="str">
        <f>"600536"</f>
        <v>600536</v>
      </c>
      <c r="B3286" t="s">
        <v>3327</v>
      </c>
      <c r="C3286">
        <v>-0.1</v>
      </c>
      <c r="D3286">
        <v>29.08</v>
      </c>
      <c r="E3286" t="s">
        <v>16</v>
      </c>
      <c r="F3286" t="s">
        <v>16</v>
      </c>
      <c r="H3286">
        <v>-0.13</v>
      </c>
      <c r="I3286">
        <v>-19.82</v>
      </c>
      <c r="J3286">
        <v>-1.29</v>
      </c>
      <c r="L3286">
        <v>-0.38</v>
      </c>
      <c r="M3286">
        <v>226.2</v>
      </c>
      <c r="N3286">
        <v>0.01</v>
      </c>
      <c r="O3286">
        <v>1.18</v>
      </c>
    </row>
    <row r="3287" spans="1:15">
      <c r="A3287" t="str">
        <f>"600537"</f>
        <v>600537</v>
      </c>
      <c r="B3287" t="s">
        <v>3328</v>
      </c>
      <c r="C3287">
        <v>-5.02</v>
      </c>
      <c r="D3287">
        <v>2.84</v>
      </c>
      <c r="E3287">
        <v>366.59</v>
      </c>
      <c r="F3287" t="s">
        <v>16</v>
      </c>
      <c r="H3287">
        <v>0</v>
      </c>
      <c r="I3287">
        <v>4.03</v>
      </c>
      <c r="J3287">
        <v>-9.55</v>
      </c>
      <c r="K3287" t="s">
        <v>3197</v>
      </c>
      <c r="L3287">
        <v>5.02</v>
      </c>
      <c r="M3287">
        <v>1390.62</v>
      </c>
      <c r="N3287">
        <v>0.37</v>
      </c>
      <c r="O3287">
        <v>1.58</v>
      </c>
    </row>
    <row r="3288" spans="1:15">
      <c r="A3288" t="str">
        <f>"600538"</f>
        <v>600538</v>
      </c>
      <c r="B3288" t="s">
        <v>3329</v>
      </c>
      <c r="C3288">
        <v>3.29</v>
      </c>
      <c r="D3288">
        <v>5.97</v>
      </c>
      <c r="E3288" t="s">
        <v>16</v>
      </c>
      <c r="F3288" t="s">
        <v>16</v>
      </c>
      <c r="H3288">
        <v>-0.16</v>
      </c>
      <c r="I3288">
        <v>-2.61</v>
      </c>
      <c r="J3288">
        <v>-1.97</v>
      </c>
      <c r="L3288">
        <v>0.17</v>
      </c>
      <c r="M3288">
        <v>140.81</v>
      </c>
      <c r="N3288">
        <v>0.05</v>
      </c>
      <c r="O3288">
        <v>40.53</v>
      </c>
    </row>
    <row r="3289" spans="1:15">
      <c r="A3289" t="str">
        <f>"600539"</f>
        <v>600539</v>
      </c>
      <c r="B3289" t="s">
        <v>3330</v>
      </c>
      <c r="C3289">
        <v>-9.98</v>
      </c>
      <c r="D3289">
        <v>14.44</v>
      </c>
      <c r="E3289">
        <v>774.71</v>
      </c>
      <c r="F3289" t="s">
        <v>16</v>
      </c>
      <c r="H3289">
        <v>0</v>
      </c>
      <c r="I3289">
        <v>-2.1</v>
      </c>
      <c r="J3289">
        <v>-12.17</v>
      </c>
      <c r="L3289">
        <v>-1</v>
      </c>
      <c r="M3289">
        <v>53.83</v>
      </c>
      <c r="N3289">
        <v>0.02</v>
      </c>
      <c r="O3289">
        <v>0.21</v>
      </c>
    </row>
    <row r="3290" spans="1:15">
      <c r="A3290" t="str">
        <f>"600540"</f>
        <v>600540</v>
      </c>
      <c r="B3290" t="s">
        <v>3331</v>
      </c>
      <c r="C3290">
        <v>-1.18</v>
      </c>
      <c r="D3290">
        <v>4.19</v>
      </c>
      <c r="E3290" t="s">
        <v>16</v>
      </c>
      <c r="F3290" t="s">
        <v>16</v>
      </c>
      <c r="H3290">
        <v>0.24</v>
      </c>
      <c r="I3290">
        <v>-12.16</v>
      </c>
      <c r="J3290">
        <v>-1.18</v>
      </c>
      <c r="L3290">
        <v>-0.71</v>
      </c>
      <c r="M3290">
        <v>37.3</v>
      </c>
      <c r="N3290">
        <v>0.03</v>
      </c>
      <c r="O3290">
        <v>0.48</v>
      </c>
    </row>
    <row r="3291" spans="1:15">
      <c r="A3291" t="str">
        <f>"600543"</f>
        <v>600543</v>
      </c>
      <c r="B3291" t="s">
        <v>3332</v>
      </c>
      <c r="C3291">
        <v>-2.43</v>
      </c>
      <c r="D3291">
        <v>4.02</v>
      </c>
      <c r="E3291" t="s">
        <v>16</v>
      </c>
      <c r="F3291" t="s">
        <v>16</v>
      </c>
      <c r="H3291">
        <v>0.25</v>
      </c>
      <c r="I3291">
        <v>-9.05</v>
      </c>
      <c r="J3291">
        <v>-2.19</v>
      </c>
      <c r="L3291">
        <v>-0.97</v>
      </c>
      <c r="M3291">
        <v>5.71</v>
      </c>
      <c r="N3291">
        <v>0.01</v>
      </c>
      <c r="O3291">
        <v>0.81</v>
      </c>
    </row>
    <row r="3292" spans="1:15">
      <c r="A3292" t="str">
        <f>"600545"</f>
        <v>600545</v>
      </c>
      <c r="B3292" t="s">
        <v>3333</v>
      </c>
      <c r="C3292">
        <v>10.02</v>
      </c>
      <c r="D3292">
        <v>7.25</v>
      </c>
      <c r="E3292">
        <v>9461.32</v>
      </c>
      <c r="F3292">
        <v>1</v>
      </c>
      <c r="H3292">
        <v>0</v>
      </c>
      <c r="I3292">
        <v>1.68</v>
      </c>
      <c r="J3292">
        <v>0</v>
      </c>
      <c r="K3292" t="s">
        <v>296</v>
      </c>
      <c r="L3292">
        <v>0.91</v>
      </c>
      <c r="M3292">
        <v>1652.72</v>
      </c>
      <c r="N3292">
        <v>0.26</v>
      </c>
      <c r="O3292">
        <v>0.73</v>
      </c>
    </row>
    <row r="3293" spans="1:15">
      <c r="A3293" t="str">
        <f>"600546"</f>
        <v>600546</v>
      </c>
      <c r="B3293" t="s">
        <v>3334</v>
      </c>
      <c r="C3293">
        <v>-1.91</v>
      </c>
      <c r="D3293">
        <v>12.31</v>
      </c>
      <c r="E3293" t="s">
        <v>16</v>
      </c>
      <c r="F3293" t="s">
        <v>16</v>
      </c>
      <c r="H3293">
        <v>0.16</v>
      </c>
      <c r="I3293">
        <v>-14.87</v>
      </c>
      <c r="J3293">
        <v>-2.15</v>
      </c>
      <c r="L3293">
        <v>0.24</v>
      </c>
      <c r="M3293">
        <v>101.14</v>
      </c>
      <c r="N3293">
        <v>0.01</v>
      </c>
      <c r="O3293">
        <v>1.44</v>
      </c>
    </row>
    <row r="3294" spans="1:15">
      <c r="A3294" t="str">
        <f>"600547"</f>
        <v>600547</v>
      </c>
      <c r="B3294" t="s">
        <v>3335</v>
      </c>
      <c r="C3294">
        <v>-4.78</v>
      </c>
      <c r="D3294">
        <v>26.91</v>
      </c>
      <c r="E3294" t="s">
        <v>16</v>
      </c>
      <c r="F3294" t="s">
        <v>16</v>
      </c>
      <c r="H3294">
        <v>-0.21</v>
      </c>
      <c r="I3294">
        <v>-6.27</v>
      </c>
      <c r="J3294">
        <v>-4.2</v>
      </c>
      <c r="L3294">
        <v>-1.45</v>
      </c>
      <c r="M3294">
        <v>1219.55</v>
      </c>
      <c r="N3294">
        <v>0.03</v>
      </c>
      <c r="O3294">
        <v>2.67</v>
      </c>
    </row>
    <row r="3295" spans="1:15">
      <c r="A3295" t="str">
        <f>"600548"</f>
        <v>600548</v>
      </c>
      <c r="B3295" t="s">
        <v>3336</v>
      </c>
      <c r="C3295">
        <v>-2.93</v>
      </c>
      <c r="D3295">
        <v>8.28</v>
      </c>
      <c r="E3295" t="s">
        <v>16</v>
      </c>
      <c r="F3295" t="s">
        <v>16</v>
      </c>
      <c r="H3295">
        <v>0.24</v>
      </c>
      <c r="I3295">
        <v>-5.59</v>
      </c>
      <c r="J3295">
        <v>-2.82</v>
      </c>
      <c r="L3295">
        <v>-0.12</v>
      </c>
      <c r="M3295">
        <v>1.79</v>
      </c>
      <c r="N3295">
        <v>0</v>
      </c>
      <c r="O3295">
        <v>3</v>
      </c>
    </row>
    <row r="3296" spans="1:15">
      <c r="A3296" t="str">
        <f>"600549"</f>
        <v>600549</v>
      </c>
      <c r="B3296" t="s">
        <v>3337</v>
      </c>
      <c r="C3296">
        <v>6.27</v>
      </c>
      <c r="D3296">
        <v>85.91</v>
      </c>
      <c r="E3296" t="s">
        <v>16</v>
      </c>
      <c r="F3296" t="s">
        <v>16</v>
      </c>
      <c r="H3296">
        <v>-1.85</v>
      </c>
      <c r="I3296">
        <v>35.65</v>
      </c>
      <c r="J3296">
        <v>-3.36</v>
      </c>
      <c r="K3296" t="s">
        <v>220</v>
      </c>
      <c r="L3296">
        <v>-3.36</v>
      </c>
      <c r="M3296">
        <v>10544.72</v>
      </c>
      <c r="N3296">
        <v>0.14</v>
      </c>
      <c r="O3296">
        <v>0.49</v>
      </c>
    </row>
    <row r="3297" spans="1:15">
      <c r="A3297" t="str">
        <f>"600550"</f>
        <v>600550</v>
      </c>
      <c r="B3297" t="s">
        <v>3338</v>
      </c>
      <c r="C3297">
        <v>-2.58</v>
      </c>
      <c r="D3297">
        <v>12.47</v>
      </c>
      <c r="E3297" t="s">
        <v>16</v>
      </c>
      <c r="F3297" t="s">
        <v>16</v>
      </c>
      <c r="H3297">
        <v>0.16</v>
      </c>
      <c r="I3297">
        <v>-6.45</v>
      </c>
      <c r="J3297">
        <v>-3.18</v>
      </c>
      <c r="L3297">
        <v>-1.09</v>
      </c>
      <c r="M3297">
        <v>298.27</v>
      </c>
      <c r="N3297">
        <v>0.03</v>
      </c>
      <c r="O3297">
        <v>0.49</v>
      </c>
    </row>
    <row r="3298" spans="1:15">
      <c r="A3298" t="str">
        <f>"600551"</f>
        <v>600551</v>
      </c>
      <c r="B3298" t="s">
        <v>3339</v>
      </c>
      <c r="C3298">
        <v>-2.22</v>
      </c>
      <c r="D3298">
        <v>7.04</v>
      </c>
      <c r="E3298" t="s">
        <v>16</v>
      </c>
      <c r="F3298" t="s">
        <v>16</v>
      </c>
      <c r="H3298">
        <v>-0.13</v>
      </c>
      <c r="I3298">
        <v>-2.76</v>
      </c>
      <c r="J3298">
        <v>-2.49</v>
      </c>
      <c r="L3298">
        <v>-0.14</v>
      </c>
      <c r="M3298">
        <v>4.03</v>
      </c>
      <c r="N3298">
        <v>0</v>
      </c>
      <c r="O3298">
        <v>1.75</v>
      </c>
    </row>
    <row r="3299" spans="1:15">
      <c r="A3299" t="str">
        <f>"600552"</f>
        <v>600552</v>
      </c>
      <c r="B3299" t="s">
        <v>3340</v>
      </c>
      <c r="C3299">
        <v>-3.36</v>
      </c>
      <c r="D3299">
        <v>23.32</v>
      </c>
      <c r="E3299" t="s">
        <v>16</v>
      </c>
      <c r="F3299" t="s">
        <v>16</v>
      </c>
      <c r="H3299">
        <v>0.09</v>
      </c>
      <c r="I3299">
        <v>18.44</v>
      </c>
      <c r="J3299">
        <v>-5.24</v>
      </c>
      <c r="K3299" t="s">
        <v>54</v>
      </c>
      <c r="L3299">
        <v>-0.5</v>
      </c>
      <c r="M3299">
        <v>7139.13</v>
      </c>
      <c r="N3299">
        <v>0.45</v>
      </c>
      <c r="O3299">
        <v>3.68</v>
      </c>
    </row>
    <row r="3300" spans="1:15">
      <c r="A3300" t="str">
        <f>"600556"</f>
        <v>600556</v>
      </c>
      <c r="B3300" t="s">
        <v>3341</v>
      </c>
      <c r="C3300">
        <v>-0.83</v>
      </c>
      <c r="D3300">
        <v>4.76</v>
      </c>
      <c r="E3300" t="s">
        <v>16</v>
      </c>
      <c r="F3300" t="s">
        <v>16</v>
      </c>
      <c r="H3300">
        <v>0</v>
      </c>
      <c r="I3300">
        <v>-4.61</v>
      </c>
      <c r="J3300">
        <v>-2.46</v>
      </c>
      <c r="L3300">
        <v>-0.62</v>
      </c>
      <c r="M3300">
        <v>59.63</v>
      </c>
      <c r="N3300">
        <v>0.01</v>
      </c>
      <c r="O3300">
        <v>0.54</v>
      </c>
    </row>
    <row r="3301" spans="1:15">
      <c r="A3301" t="str">
        <f>"600557"</f>
        <v>600557</v>
      </c>
      <c r="B3301" t="s">
        <v>3342</v>
      </c>
      <c r="C3301">
        <v>-0.42</v>
      </c>
      <c r="D3301">
        <v>11.83</v>
      </c>
      <c r="E3301" t="s">
        <v>16</v>
      </c>
      <c r="F3301" t="s">
        <v>16</v>
      </c>
      <c r="H3301">
        <v>0</v>
      </c>
      <c r="I3301">
        <v>-2.95</v>
      </c>
      <c r="J3301">
        <v>-1.58</v>
      </c>
      <c r="L3301">
        <v>-0.08</v>
      </c>
      <c r="M3301">
        <v>1.54</v>
      </c>
      <c r="N3301">
        <v>0</v>
      </c>
      <c r="O3301">
        <v>0.21</v>
      </c>
    </row>
    <row r="3302" spans="1:15">
      <c r="A3302" t="str">
        <f>"600558"</f>
        <v>600558</v>
      </c>
      <c r="B3302" t="s">
        <v>3343</v>
      </c>
      <c r="C3302">
        <v>0.54</v>
      </c>
      <c r="D3302">
        <v>5.56</v>
      </c>
      <c r="E3302" t="s">
        <v>16</v>
      </c>
      <c r="F3302" t="s">
        <v>16</v>
      </c>
      <c r="H3302">
        <v>0</v>
      </c>
      <c r="I3302">
        <v>-1.07</v>
      </c>
      <c r="J3302">
        <v>-2.11</v>
      </c>
      <c r="L3302">
        <v>-0.9</v>
      </c>
      <c r="M3302">
        <v>17.04</v>
      </c>
      <c r="N3302">
        <v>0.01</v>
      </c>
      <c r="O3302">
        <v>0.54</v>
      </c>
    </row>
    <row r="3303" spans="1:15">
      <c r="A3303" t="str">
        <f>"600559"</f>
        <v>600559</v>
      </c>
      <c r="B3303" t="s">
        <v>3344</v>
      </c>
      <c r="C3303">
        <v>-2.15</v>
      </c>
      <c r="D3303">
        <v>11.84</v>
      </c>
      <c r="E3303" t="s">
        <v>16</v>
      </c>
      <c r="F3303" t="s">
        <v>16</v>
      </c>
      <c r="H3303">
        <v>-0.07</v>
      </c>
      <c r="I3303">
        <v>-3.58</v>
      </c>
      <c r="J3303">
        <v>-1.99</v>
      </c>
      <c r="L3303">
        <v>-0.41</v>
      </c>
      <c r="M3303">
        <v>21.57</v>
      </c>
      <c r="N3303">
        <v>0</v>
      </c>
      <c r="O3303">
        <v>0.77</v>
      </c>
    </row>
    <row r="3304" spans="1:15">
      <c r="A3304" t="str">
        <f>"600560"</f>
        <v>600560</v>
      </c>
      <c r="B3304" t="s">
        <v>3345</v>
      </c>
      <c r="C3304">
        <v>0.41</v>
      </c>
      <c r="D3304">
        <v>12.1</v>
      </c>
      <c r="E3304" t="s">
        <v>16</v>
      </c>
      <c r="F3304" t="s">
        <v>16</v>
      </c>
      <c r="H3304">
        <v>0</v>
      </c>
      <c r="I3304">
        <v>-2.42</v>
      </c>
      <c r="J3304">
        <v>-2.34</v>
      </c>
      <c r="L3304">
        <v>-1</v>
      </c>
      <c r="M3304">
        <v>7.16</v>
      </c>
      <c r="N3304">
        <v>0</v>
      </c>
      <c r="O3304">
        <v>20.01</v>
      </c>
    </row>
    <row r="3305" spans="1:15">
      <c r="A3305" t="str">
        <f>"600561"</f>
        <v>600561</v>
      </c>
      <c r="B3305" t="s">
        <v>3346</v>
      </c>
      <c r="C3305">
        <v>-1.29</v>
      </c>
      <c r="D3305">
        <v>5.36</v>
      </c>
      <c r="E3305" t="s">
        <v>16</v>
      </c>
      <c r="F3305" t="s">
        <v>16</v>
      </c>
      <c r="H3305">
        <v>0</v>
      </c>
      <c r="I3305">
        <v>-6.78</v>
      </c>
      <c r="J3305">
        <v>-1.65</v>
      </c>
      <c r="L3305">
        <v>-1.29</v>
      </c>
      <c r="M3305">
        <v>21.06</v>
      </c>
      <c r="N3305">
        <v>0.02</v>
      </c>
      <c r="O3305">
        <v>2.95</v>
      </c>
    </row>
    <row r="3306" spans="1:15">
      <c r="A3306" t="str">
        <f>"600562"</f>
        <v>600562</v>
      </c>
      <c r="B3306" t="s">
        <v>3347</v>
      </c>
      <c r="C3306">
        <v>1.83</v>
      </c>
      <c r="D3306">
        <v>22.24</v>
      </c>
      <c r="E3306" t="s">
        <v>16</v>
      </c>
      <c r="F3306" t="s">
        <v>16</v>
      </c>
      <c r="H3306">
        <v>0.18</v>
      </c>
      <c r="I3306">
        <v>0.54</v>
      </c>
      <c r="J3306">
        <v>-1.77</v>
      </c>
      <c r="L3306">
        <v>-0.05</v>
      </c>
      <c r="M3306">
        <v>40.17</v>
      </c>
      <c r="N3306">
        <v>0</v>
      </c>
      <c r="O3306">
        <v>2.02</v>
      </c>
    </row>
    <row r="3307" spans="1:15">
      <c r="A3307" t="str">
        <f>"600563"</f>
        <v>600563</v>
      </c>
      <c r="B3307" t="s">
        <v>3348</v>
      </c>
      <c r="C3307">
        <v>-1.09</v>
      </c>
      <c r="D3307">
        <v>168.19</v>
      </c>
      <c r="E3307" t="s">
        <v>16</v>
      </c>
      <c r="F3307" t="s">
        <v>16</v>
      </c>
      <c r="H3307">
        <v>0.08</v>
      </c>
      <c r="I3307">
        <v>-0.74</v>
      </c>
      <c r="J3307">
        <v>-4.11</v>
      </c>
      <c r="K3307" t="s">
        <v>57</v>
      </c>
      <c r="L3307">
        <v>-0.04</v>
      </c>
      <c r="M3307">
        <v>739.41</v>
      </c>
      <c r="N3307">
        <v>0.03</v>
      </c>
      <c r="O3307">
        <v>0.81</v>
      </c>
    </row>
    <row r="3308" spans="1:15">
      <c r="A3308" t="str">
        <f>"600566"</f>
        <v>600566</v>
      </c>
      <c r="B3308" t="s">
        <v>3349</v>
      </c>
      <c r="C3308">
        <v>-1.3</v>
      </c>
      <c r="D3308">
        <v>25.91</v>
      </c>
      <c r="E3308" t="s">
        <v>16</v>
      </c>
      <c r="F3308" t="s">
        <v>16</v>
      </c>
      <c r="H3308">
        <v>-0.45</v>
      </c>
      <c r="I3308">
        <v>-5.82</v>
      </c>
      <c r="J3308">
        <v>-1.26</v>
      </c>
      <c r="L3308">
        <v>-0.42</v>
      </c>
      <c r="M3308">
        <v>41.04</v>
      </c>
      <c r="N3308">
        <v>0</v>
      </c>
      <c r="O3308">
        <v>1.64</v>
      </c>
    </row>
    <row r="3309" spans="1:15">
      <c r="A3309" t="str">
        <f>"600567"</f>
        <v>600567</v>
      </c>
      <c r="B3309" t="s">
        <v>3350</v>
      </c>
      <c r="C3309">
        <v>-1.48</v>
      </c>
      <c r="D3309">
        <v>1.33</v>
      </c>
      <c r="E3309" t="s">
        <v>16</v>
      </c>
      <c r="F3309" t="s">
        <v>16</v>
      </c>
      <c r="H3309">
        <v>-0.74</v>
      </c>
      <c r="I3309">
        <v>-0.75</v>
      </c>
      <c r="J3309">
        <v>-2.21</v>
      </c>
      <c r="L3309">
        <v>0</v>
      </c>
      <c r="M3309">
        <v>63</v>
      </c>
      <c r="N3309">
        <v>0.01</v>
      </c>
      <c r="O3309">
        <v>0.46</v>
      </c>
    </row>
    <row r="3310" spans="1:15">
      <c r="A3310" t="str">
        <f>"600568"</f>
        <v>600568</v>
      </c>
      <c r="B3310" t="s">
        <v>3351</v>
      </c>
      <c r="C3310">
        <v>-2.07</v>
      </c>
      <c r="D3310">
        <v>2.37</v>
      </c>
      <c r="E3310" t="s">
        <v>16</v>
      </c>
      <c r="F3310" t="s">
        <v>16</v>
      </c>
      <c r="H3310">
        <v>0.42</v>
      </c>
      <c r="I3310">
        <v>-12.22</v>
      </c>
      <c r="J3310">
        <v>-3.27</v>
      </c>
      <c r="L3310">
        <v>0</v>
      </c>
      <c r="M3310">
        <v>0.05</v>
      </c>
      <c r="N3310">
        <v>0</v>
      </c>
      <c r="O3310">
        <v>0.01</v>
      </c>
    </row>
    <row r="3311" spans="1:15">
      <c r="A3311" t="str">
        <f>"600569"</f>
        <v>600569</v>
      </c>
      <c r="B3311" t="s">
        <v>3352</v>
      </c>
      <c r="C3311">
        <v>0.56</v>
      </c>
      <c r="D3311">
        <v>1.78</v>
      </c>
      <c r="E3311" t="s">
        <v>16</v>
      </c>
      <c r="F3311" t="s">
        <v>16</v>
      </c>
      <c r="H3311">
        <v>0</v>
      </c>
      <c r="I3311">
        <v>-5.32</v>
      </c>
      <c r="J3311">
        <v>-1.11</v>
      </c>
      <c r="L3311">
        <v>0</v>
      </c>
      <c r="M3311">
        <v>12.05</v>
      </c>
      <c r="N3311">
        <v>0.01</v>
      </c>
      <c r="O3311">
        <v>1.3</v>
      </c>
    </row>
    <row r="3312" spans="1:15">
      <c r="A3312" t="str">
        <f>"600570"</f>
        <v>600570</v>
      </c>
      <c r="B3312" t="s">
        <v>3353</v>
      </c>
      <c r="C3312">
        <v>-1.11</v>
      </c>
      <c r="D3312">
        <v>22.25</v>
      </c>
      <c r="E3312" t="s">
        <v>16</v>
      </c>
      <c r="F3312" t="s">
        <v>16</v>
      </c>
      <c r="H3312">
        <v>-0.26</v>
      </c>
      <c r="I3312">
        <v>-4.75</v>
      </c>
      <c r="J3312">
        <v>-2.03</v>
      </c>
      <c r="L3312">
        <v>-0.09</v>
      </c>
      <c r="M3312">
        <v>174</v>
      </c>
      <c r="N3312">
        <v>0.01</v>
      </c>
      <c r="O3312">
        <v>1.25</v>
      </c>
    </row>
    <row r="3313" spans="1:15">
      <c r="A3313" t="str">
        <f>"600571"</f>
        <v>600571</v>
      </c>
      <c r="B3313" t="s">
        <v>3354</v>
      </c>
      <c r="C3313">
        <v>-1.61</v>
      </c>
      <c r="D3313">
        <v>10.38</v>
      </c>
      <c r="E3313" t="s">
        <v>16</v>
      </c>
      <c r="F3313" t="s">
        <v>16</v>
      </c>
      <c r="H3313">
        <v>0.19</v>
      </c>
      <c r="I3313">
        <v>-7.24</v>
      </c>
      <c r="J3313">
        <v>-1.89</v>
      </c>
      <c r="L3313">
        <v>-0.47</v>
      </c>
      <c r="M3313">
        <v>11.34</v>
      </c>
      <c r="N3313">
        <v>0</v>
      </c>
      <c r="O3313">
        <v>0.42</v>
      </c>
    </row>
    <row r="3314" spans="1:15">
      <c r="A3314" t="str">
        <f>"600572"</f>
        <v>600572</v>
      </c>
      <c r="B3314" t="s">
        <v>3355</v>
      </c>
      <c r="C3314">
        <v>0.24</v>
      </c>
      <c r="D3314">
        <v>4.12</v>
      </c>
      <c r="E3314" t="s">
        <v>16</v>
      </c>
      <c r="F3314" t="s">
        <v>16</v>
      </c>
      <c r="H3314">
        <v>0.24</v>
      </c>
      <c r="I3314">
        <v>-0.72</v>
      </c>
      <c r="J3314">
        <v>-0.96</v>
      </c>
      <c r="L3314">
        <v>0</v>
      </c>
      <c r="M3314">
        <v>94.57</v>
      </c>
      <c r="N3314">
        <v>0.01</v>
      </c>
      <c r="O3314">
        <v>1.27</v>
      </c>
    </row>
    <row r="3315" spans="1:15">
      <c r="A3315" t="str">
        <f>"600573"</f>
        <v>600573</v>
      </c>
      <c r="B3315" t="s">
        <v>3356</v>
      </c>
      <c r="C3315">
        <v>-7.11</v>
      </c>
      <c r="D3315">
        <v>10.85</v>
      </c>
      <c r="E3315" t="s">
        <v>16</v>
      </c>
      <c r="F3315" t="s">
        <v>16</v>
      </c>
      <c r="H3315">
        <v>0.28</v>
      </c>
      <c r="I3315">
        <v>-11.79</v>
      </c>
      <c r="J3315">
        <v>-6.06</v>
      </c>
      <c r="L3315">
        <v>-2.05</v>
      </c>
      <c r="M3315">
        <v>176.06</v>
      </c>
      <c r="N3315">
        <v>0.12</v>
      </c>
      <c r="O3315">
        <v>1.03</v>
      </c>
    </row>
    <row r="3316" spans="1:15">
      <c r="A3316" t="str">
        <f>"600575"</f>
        <v>600575</v>
      </c>
      <c r="B3316" t="s">
        <v>3357</v>
      </c>
      <c r="C3316">
        <v>-1.88</v>
      </c>
      <c r="D3316">
        <v>3.65</v>
      </c>
      <c r="E3316" t="s">
        <v>16</v>
      </c>
      <c r="F3316" t="s">
        <v>16</v>
      </c>
      <c r="H3316">
        <v>0</v>
      </c>
      <c r="I3316">
        <v>-8.75</v>
      </c>
      <c r="J3316">
        <v>-2.41</v>
      </c>
      <c r="L3316">
        <v>-0.54</v>
      </c>
      <c r="M3316">
        <v>60.13</v>
      </c>
      <c r="N3316">
        <v>0.01</v>
      </c>
      <c r="O3316">
        <v>0.6</v>
      </c>
    </row>
    <row r="3317" spans="1:15">
      <c r="A3317" t="str">
        <f>"600576"</f>
        <v>600576</v>
      </c>
      <c r="B3317" t="s">
        <v>3358</v>
      </c>
      <c r="C3317">
        <v>1.39</v>
      </c>
      <c r="D3317">
        <v>5.83</v>
      </c>
      <c r="E3317" t="s">
        <v>16</v>
      </c>
      <c r="F3317" t="s">
        <v>16</v>
      </c>
      <c r="H3317">
        <v>-0.16</v>
      </c>
      <c r="I3317">
        <v>-0.34</v>
      </c>
      <c r="J3317">
        <v>-2.83</v>
      </c>
      <c r="L3317">
        <v>-0.87</v>
      </c>
      <c r="M3317">
        <v>66.06</v>
      </c>
      <c r="N3317">
        <v>0.03</v>
      </c>
      <c r="O3317">
        <v>0.38</v>
      </c>
    </row>
    <row r="3318" spans="1:15">
      <c r="A3318" t="str">
        <f>"600577"</f>
        <v>600577</v>
      </c>
      <c r="B3318" t="s">
        <v>3359</v>
      </c>
      <c r="C3318">
        <v>-0.68</v>
      </c>
      <c r="D3318">
        <v>11.76</v>
      </c>
      <c r="E3318" t="s">
        <v>16</v>
      </c>
      <c r="F3318" t="s">
        <v>16</v>
      </c>
      <c r="H3318">
        <v>-0.16</v>
      </c>
      <c r="I3318">
        <v>-2.73</v>
      </c>
      <c r="J3318">
        <v>-2.33</v>
      </c>
      <c r="L3318">
        <v>-0.59</v>
      </c>
      <c r="M3318">
        <v>263.06</v>
      </c>
      <c r="N3318">
        <v>0.01</v>
      </c>
      <c r="O3318">
        <v>1.76</v>
      </c>
    </row>
    <row r="3319" spans="1:15">
      <c r="A3319" t="str">
        <f>"600578"</f>
        <v>600578</v>
      </c>
      <c r="B3319" t="s">
        <v>3360</v>
      </c>
      <c r="C3319">
        <v>-5.36</v>
      </c>
      <c r="D3319">
        <v>7.59</v>
      </c>
      <c r="E3319" t="s">
        <v>16</v>
      </c>
      <c r="F3319" t="s">
        <v>16</v>
      </c>
      <c r="H3319">
        <v>-0.12</v>
      </c>
      <c r="I3319">
        <v>-18.91</v>
      </c>
      <c r="J3319">
        <v>-5.24</v>
      </c>
      <c r="K3319" t="s">
        <v>57</v>
      </c>
      <c r="L3319">
        <v>-1.5</v>
      </c>
      <c r="M3319">
        <v>933.96</v>
      </c>
      <c r="N3319">
        <v>0.09</v>
      </c>
      <c r="O3319">
        <v>0.52</v>
      </c>
    </row>
    <row r="3320" spans="1:15">
      <c r="A3320" t="str">
        <f>"600579"</f>
        <v>600579</v>
      </c>
      <c r="B3320" t="s">
        <v>3361</v>
      </c>
      <c r="C3320">
        <v>-1.73</v>
      </c>
      <c r="D3320">
        <v>7.37</v>
      </c>
      <c r="E3320" t="s">
        <v>16</v>
      </c>
      <c r="F3320" t="s">
        <v>16</v>
      </c>
      <c r="H3320">
        <v>-1.2</v>
      </c>
      <c r="I3320">
        <v>14.26</v>
      </c>
      <c r="J3320">
        <v>-7.88</v>
      </c>
      <c r="K3320" t="s">
        <v>54</v>
      </c>
      <c r="L3320">
        <v>3.47</v>
      </c>
      <c r="M3320">
        <v>832.57</v>
      </c>
      <c r="N3320">
        <v>0.59</v>
      </c>
      <c r="O3320">
        <v>11.06</v>
      </c>
    </row>
    <row r="3321" spans="1:15">
      <c r="A3321" t="str">
        <f>"600580"</f>
        <v>600580</v>
      </c>
      <c r="B3321" t="s">
        <v>3362</v>
      </c>
      <c r="C3321">
        <v>3.72</v>
      </c>
      <c r="D3321">
        <v>36.2</v>
      </c>
      <c r="E3321" t="s">
        <v>16</v>
      </c>
      <c r="F3321" t="s">
        <v>16</v>
      </c>
      <c r="H3321">
        <v>0.08</v>
      </c>
      <c r="I3321">
        <v>-6.8</v>
      </c>
      <c r="J3321">
        <v>-0.44</v>
      </c>
      <c r="L3321">
        <v>0</v>
      </c>
      <c r="M3321">
        <v>366.52</v>
      </c>
      <c r="N3321">
        <v>0.01</v>
      </c>
      <c r="O3321">
        <v>1.12</v>
      </c>
    </row>
    <row r="3322" spans="1:15">
      <c r="A3322" t="str">
        <f>"600581"</f>
        <v>600581</v>
      </c>
      <c r="B3322" t="s">
        <v>3363</v>
      </c>
      <c r="C3322">
        <v>-2.37</v>
      </c>
      <c r="D3322">
        <v>2.47</v>
      </c>
      <c r="E3322" t="s">
        <v>16</v>
      </c>
      <c r="F3322" t="s">
        <v>16</v>
      </c>
      <c r="H3322">
        <v>-1.19</v>
      </c>
      <c r="I3322">
        <v>-3.89</v>
      </c>
      <c r="J3322">
        <v>-2.76</v>
      </c>
      <c r="L3322">
        <v>0</v>
      </c>
      <c r="M3322">
        <v>34.18</v>
      </c>
      <c r="N3322">
        <v>0.02</v>
      </c>
      <c r="O3322">
        <v>4.21</v>
      </c>
    </row>
    <row r="3323" spans="1:15">
      <c r="A3323" t="str">
        <f>"600582"</f>
        <v>600582</v>
      </c>
      <c r="B3323" t="s">
        <v>3364</v>
      </c>
      <c r="C3323">
        <v>-2.59</v>
      </c>
      <c r="D3323">
        <v>4.88</v>
      </c>
      <c r="E3323" t="s">
        <v>16</v>
      </c>
      <c r="F3323" t="s">
        <v>16</v>
      </c>
      <c r="H3323">
        <v>0</v>
      </c>
      <c r="I3323">
        <v>-4.5</v>
      </c>
      <c r="J3323">
        <v>-2.59</v>
      </c>
      <c r="L3323">
        <v>0</v>
      </c>
      <c r="M3323">
        <v>32.36</v>
      </c>
      <c r="N3323">
        <v>0</v>
      </c>
      <c r="O3323">
        <v>0.69</v>
      </c>
    </row>
    <row r="3324" spans="1:15">
      <c r="A3324" t="str">
        <f>"600583"</f>
        <v>600583</v>
      </c>
      <c r="B3324" t="s">
        <v>3365</v>
      </c>
      <c r="C3324">
        <v>-0.92</v>
      </c>
      <c r="D3324">
        <v>5.36</v>
      </c>
      <c r="E3324" t="s">
        <v>16</v>
      </c>
      <c r="F3324" t="s">
        <v>16</v>
      </c>
      <c r="H3324">
        <v>0</v>
      </c>
      <c r="I3324">
        <v>-6.62</v>
      </c>
      <c r="J3324">
        <v>-2.55</v>
      </c>
      <c r="L3324">
        <v>0</v>
      </c>
      <c r="M3324">
        <v>69.46</v>
      </c>
      <c r="N3324">
        <v>0.01</v>
      </c>
      <c r="O3324">
        <v>0.85</v>
      </c>
    </row>
    <row r="3325" spans="1:15">
      <c r="A3325" t="str">
        <f>"600584"</f>
        <v>600584</v>
      </c>
      <c r="B3325" t="s">
        <v>3366</v>
      </c>
      <c r="C3325">
        <v>1.55</v>
      </c>
      <c r="D3325">
        <v>83.03</v>
      </c>
      <c r="E3325" t="s">
        <v>16</v>
      </c>
      <c r="F3325" t="s">
        <v>16</v>
      </c>
      <c r="H3325">
        <v>-0.18</v>
      </c>
      <c r="I3325">
        <v>3.68</v>
      </c>
      <c r="J3325">
        <v>-2.95</v>
      </c>
      <c r="L3325">
        <v>0.16</v>
      </c>
      <c r="M3325">
        <v>17008.55</v>
      </c>
      <c r="N3325">
        <v>0.15</v>
      </c>
      <c r="O3325">
        <v>1.09</v>
      </c>
    </row>
    <row r="3326" spans="1:15">
      <c r="A3326" t="str">
        <f>"600585"</f>
        <v>600585</v>
      </c>
      <c r="B3326" t="s">
        <v>3367</v>
      </c>
      <c r="C3326">
        <v>-2.63</v>
      </c>
      <c r="D3326">
        <v>17.76</v>
      </c>
      <c r="E3326" t="s">
        <v>16</v>
      </c>
      <c r="F3326" t="s">
        <v>16</v>
      </c>
      <c r="H3326">
        <v>0.06</v>
      </c>
      <c r="I3326">
        <v>-7.64</v>
      </c>
      <c r="J3326">
        <v>-2.42</v>
      </c>
      <c r="L3326">
        <v>-0.49</v>
      </c>
      <c r="M3326">
        <v>247.75</v>
      </c>
      <c r="N3326">
        <v>0.01</v>
      </c>
      <c r="O3326">
        <v>2.31</v>
      </c>
    </row>
    <row r="3327" spans="1:15">
      <c r="A3327" t="str">
        <f>"600586"</f>
        <v>600586</v>
      </c>
      <c r="B3327" t="s">
        <v>3368</v>
      </c>
      <c r="C3327">
        <v>-6.76</v>
      </c>
      <c r="D3327">
        <v>4.69</v>
      </c>
      <c r="E3327" t="s">
        <v>16</v>
      </c>
      <c r="F3327" t="s">
        <v>16</v>
      </c>
      <c r="H3327">
        <v>0</v>
      </c>
      <c r="I3327">
        <v>-1.47</v>
      </c>
      <c r="J3327">
        <v>-5.25</v>
      </c>
      <c r="L3327">
        <v>-2.19</v>
      </c>
      <c r="M3327">
        <v>293.53</v>
      </c>
      <c r="N3327">
        <v>0.06</v>
      </c>
      <c r="O3327">
        <v>2.38</v>
      </c>
    </row>
    <row r="3328" spans="1:15">
      <c r="A3328" t="str">
        <f>"600587"</f>
        <v>600587</v>
      </c>
      <c r="B3328" t="s">
        <v>3369</v>
      </c>
      <c r="C3328">
        <v>-1.23</v>
      </c>
      <c r="D3328">
        <v>12.04</v>
      </c>
      <c r="E3328" t="s">
        <v>16</v>
      </c>
      <c r="F3328" t="s">
        <v>16</v>
      </c>
      <c r="H3328">
        <v>-0.16</v>
      </c>
      <c r="I3328">
        <v>-5.79</v>
      </c>
      <c r="J3328">
        <v>-1.79</v>
      </c>
      <c r="L3328">
        <v>0</v>
      </c>
      <c r="M3328">
        <v>57.29</v>
      </c>
      <c r="N3328">
        <v>0.01</v>
      </c>
      <c r="O3328">
        <v>4.02</v>
      </c>
    </row>
    <row r="3329" spans="1:15">
      <c r="A3329" t="str">
        <f>"600588"</f>
        <v>600588</v>
      </c>
      <c r="B3329" t="s">
        <v>3370</v>
      </c>
      <c r="C3329">
        <v>0.1</v>
      </c>
      <c r="D3329">
        <v>9.79</v>
      </c>
      <c r="E3329" t="s">
        <v>16</v>
      </c>
      <c r="F3329" t="s">
        <v>16</v>
      </c>
      <c r="H3329">
        <v>-0.6</v>
      </c>
      <c r="I3329">
        <v>-7.9</v>
      </c>
      <c r="J3329">
        <v>-3.74</v>
      </c>
      <c r="L3329">
        <v>-1.02</v>
      </c>
      <c r="M3329">
        <v>141.04</v>
      </c>
      <c r="N3329">
        <v>0.01</v>
      </c>
      <c r="O3329">
        <v>1.73</v>
      </c>
    </row>
    <row r="3330" spans="1:15">
      <c r="A3330" t="str">
        <f>"600589"</f>
        <v>600589</v>
      </c>
      <c r="B3330" t="s">
        <v>3371</v>
      </c>
      <c r="C3330">
        <v>-0.29</v>
      </c>
      <c r="D3330">
        <v>10.21</v>
      </c>
      <c r="E3330" t="s">
        <v>16</v>
      </c>
      <c r="F3330" t="s">
        <v>16</v>
      </c>
      <c r="H3330">
        <v>-0.09</v>
      </c>
      <c r="I3330">
        <v>-4.22</v>
      </c>
      <c r="J3330">
        <v>-3.13</v>
      </c>
      <c r="L3330">
        <v>1.56</v>
      </c>
      <c r="M3330">
        <v>743.81</v>
      </c>
      <c r="N3330">
        <v>0.06</v>
      </c>
      <c r="O3330">
        <v>2.24</v>
      </c>
    </row>
    <row r="3331" spans="1:15">
      <c r="A3331" t="str">
        <f>"600590"</f>
        <v>600590</v>
      </c>
      <c r="B3331" t="s">
        <v>3372</v>
      </c>
      <c r="C3331">
        <v>2.45</v>
      </c>
      <c r="D3331">
        <v>12.13</v>
      </c>
      <c r="E3331" t="s">
        <v>16</v>
      </c>
      <c r="F3331" t="s">
        <v>16</v>
      </c>
      <c r="H3331">
        <v>0.08</v>
      </c>
      <c r="I3331">
        <v>-9.81</v>
      </c>
      <c r="J3331">
        <v>-2.26</v>
      </c>
      <c r="L3331">
        <v>-0.08</v>
      </c>
      <c r="M3331">
        <v>41.41</v>
      </c>
      <c r="N3331">
        <v>0.01</v>
      </c>
      <c r="O3331">
        <v>1.01</v>
      </c>
    </row>
    <row r="3332" spans="1:15">
      <c r="A3332" t="str">
        <f>"600592"</f>
        <v>600592</v>
      </c>
      <c r="B3332" t="s">
        <v>3373</v>
      </c>
      <c r="C3332">
        <v>0.59</v>
      </c>
      <c r="D3332">
        <v>15.39</v>
      </c>
      <c r="E3332" t="s">
        <v>16</v>
      </c>
      <c r="F3332" t="s">
        <v>16</v>
      </c>
      <c r="H3332">
        <v>0</v>
      </c>
      <c r="I3332">
        <v>-24.41</v>
      </c>
      <c r="J3332">
        <v>-0.45</v>
      </c>
      <c r="L3332">
        <v>-0.07</v>
      </c>
      <c r="M3332">
        <v>34.86</v>
      </c>
      <c r="N3332">
        <v>0.01</v>
      </c>
      <c r="O3332">
        <v>0.55</v>
      </c>
    </row>
    <row r="3333" spans="1:15">
      <c r="A3333" t="str">
        <f>"600593"</f>
        <v>600593</v>
      </c>
      <c r="B3333" t="s">
        <v>3374</v>
      </c>
      <c r="C3333">
        <v>-2.15</v>
      </c>
      <c r="D3333">
        <v>37.36</v>
      </c>
      <c r="E3333" t="s">
        <v>16</v>
      </c>
      <c r="F3333" t="s">
        <v>16</v>
      </c>
      <c r="H3333">
        <v>-0.15</v>
      </c>
      <c r="I3333">
        <v>-2.66</v>
      </c>
      <c r="J3333">
        <v>-2.94</v>
      </c>
      <c r="L3333">
        <v>0.52</v>
      </c>
      <c r="M3333">
        <v>245.63</v>
      </c>
      <c r="N3333">
        <v>0.11</v>
      </c>
      <c r="O3333">
        <v>2.37</v>
      </c>
    </row>
    <row r="3334" spans="1:15">
      <c r="A3334" t="str">
        <f>"600594"</f>
        <v>600594</v>
      </c>
      <c r="B3334" t="s">
        <v>3375</v>
      </c>
      <c r="C3334">
        <v>-1.27</v>
      </c>
      <c r="D3334">
        <v>3.11</v>
      </c>
      <c r="E3334" t="s">
        <v>16</v>
      </c>
      <c r="F3334" t="s">
        <v>16</v>
      </c>
      <c r="H3334">
        <v>0</v>
      </c>
      <c r="I3334">
        <v>-9.33</v>
      </c>
      <c r="J3334">
        <v>-2.2</v>
      </c>
      <c r="L3334">
        <v>-0.32</v>
      </c>
      <c r="M3334">
        <v>4.9</v>
      </c>
      <c r="N3334">
        <v>0</v>
      </c>
      <c r="O3334">
        <v>1.32</v>
      </c>
    </row>
    <row r="3335" spans="1:15">
      <c r="A3335" t="str">
        <f>"600595"</f>
        <v>600595</v>
      </c>
      <c r="B3335" t="s">
        <v>3376</v>
      </c>
      <c r="C3335">
        <v>-2.88</v>
      </c>
      <c r="D3335">
        <v>6.06</v>
      </c>
      <c r="E3335" t="s">
        <v>16</v>
      </c>
      <c r="F3335" t="s">
        <v>16</v>
      </c>
      <c r="H3335">
        <v>0</v>
      </c>
      <c r="I3335">
        <v>-15.24</v>
      </c>
      <c r="J3335">
        <v>-4.87</v>
      </c>
      <c r="L3335">
        <v>-0.8</v>
      </c>
      <c r="M3335">
        <v>165.15</v>
      </c>
      <c r="N3335">
        <v>0.01</v>
      </c>
      <c r="O3335">
        <v>0.97</v>
      </c>
    </row>
    <row r="3336" spans="1:15">
      <c r="A3336" t="str">
        <f>"600596"</f>
        <v>600596</v>
      </c>
      <c r="B3336" t="s">
        <v>3377</v>
      </c>
      <c r="C3336">
        <v>-3.81</v>
      </c>
      <c r="D3336">
        <v>15.38</v>
      </c>
      <c r="E3336" t="s">
        <v>16</v>
      </c>
      <c r="F3336" t="s">
        <v>16</v>
      </c>
      <c r="H3336">
        <v>-0.05</v>
      </c>
      <c r="I3336">
        <v>8.16</v>
      </c>
      <c r="J3336">
        <v>-3.87</v>
      </c>
      <c r="L3336">
        <v>-0.06</v>
      </c>
      <c r="M3336">
        <v>798.04</v>
      </c>
      <c r="N3336">
        <v>0.05</v>
      </c>
      <c r="O3336">
        <v>0.78</v>
      </c>
    </row>
    <row r="3337" spans="1:15">
      <c r="A3337" t="str">
        <f>"600597"</f>
        <v>600597</v>
      </c>
      <c r="B3337" t="s">
        <v>3378</v>
      </c>
      <c r="C3337">
        <v>-2.13</v>
      </c>
      <c r="D3337">
        <v>6.44</v>
      </c>
      <c r="E3337" t="s">
        <v>16</v>
      </c>
      <c r="F3337" t="s">
        <v>16</v>
      </c>
      <c r="H3337">
        <v>-0.3</v>
      </c>
      <c r="I3337">
        <v>-6.12</v>
      </c>
      <c r="J3337">
        <v>-1.98</v>
      </c>
      <c r="L3337">
        <v>-0.61</v>
      </c>
      <c r="M3337">
        <v>6.93</v>
      </c>
      <c r="N3337">
        <v>0</v>
      </c>
      <c r="O3337">
        <v>0.3</v>
      </c>
    </row>
    <row r="3338" spans="1:15">
      <c r="A3338" t="str">
        <f>"600598"</f>
        <v>600598</v>
      </c>
      <c r="B3338" t="s">
        <v>3379</v>
      </c>
      <c r="C3338">
        <v>-1.15</v>
      </c>
      <c r="D3338">
        <v>13.78</v>
      </c>
      <c r="E3338" t="s">
        <v>16</v>
      </c>
      <c r="F3338" t="s">
        <v>16</v>
      </c>
      <c r="H3338">
        <v>-0.28</v>
      </c>
      <c r="I3338">
        <v>-3.91</v>
      </c>
      <c r="J3338">
        <v>-1.64</v>
      </c>
      <c r="L3338">
        <v>-0.43</v>
      </c>
      <c r="M3338">
        <v>41.22</v>
      </c>
      <c r="N3338">
        <v>0</v>
      </c>
      <c r="O3338">
        <v>0.88</v>
      </c>
    </row>
    <row r="3339" spans="1:15">
      <c r="A3339" t="str">
        <f>"600600"</f>
        <v>600600</v>
      </c>
      <c r="B3339" t="s">
        <v>3380</v>
      </c>
      <c r="C3339">
        <v>-3.92</v>
      </c>
      <c r="D3339">
        <v>53.9</v>
      </c>
      <c r="E3339" t="s">
        <v>16</v>
      </c>
      <c r="F3339" t="s">
        <v>16</v>
      </c>
      <c r="H3339">
        <v>-0.08</v>
      </c>
      <c r="I3339">
        <v>-9.31</v>
      </c>
      <c r="J3339">
        <v>-3.97</v>
      </c>
      <c r="L3339">
        <v>0.02</v>
      </c>
      <c r="M3339">
        <v>159.35</v>
      </c>
      <c r="N3339">
        <v>0.01</v>
      </c>
      <c r="O3339">
        <v>1.08</v>
      </c>
    </row>
    <row r="3340" spans="1:15">
      <c r="A3340" t="str">
        <f>"600601"</f>
        <v>600601</v>
      </c>
      <c r="B3340" t="s">
        <v>3381</v>
      </c>
      <c r="C3340">
        <v>0.35</v>
      </c>
      <c r="D3340">
        <v>14.4</v>
      </c>
      <c r="E3340" t="s">
        <v>16</v>
      </c>
      <c r="F3340" t="s">
        <v>16</v>
      </c>
      <c r="H3340">
        <v>0.07</v>
      </c>
      <c r="I3340">
        <v>14.1</v>
      </c>
      <c r="J3340">
        <v>-1.44</v>
      </c>
      <c r="L3340">
        <v>0.42</v>
      </c>
      <c r="M3340">
        <v>1712.92</v>
      </c>
      <c r="N3340">
        <v>0.05</v>
      </c>
      <c r="O3340">
        <v>0.44</v>
      </c>
    </row>
    <row r="3341" spans="1:15">
      <c r="A3341" t="str">
        <f>"600602"</f>
        <v>600602</v>
      </c>
      <c r="B3341" t="s">
        <v>3382</v>
      </c>
      <c r="C3341">
        <v>1.46</v>
      </c>
      <c r="D3341">
        <v>18.03</v>
      </c>
      <c r="E3341" t="s">
        <v>16</v>
      </c>
      <c r="F3341" t="s">
        <v>16</v>
      </c>
      <c r="H3341">
        <v>-0.05</v>
      </c>
      <c r="I3341">
        <v>-1.74</v>
      </c>
      <c r="J3341">
        <v>-0.99</v>
      </c>
      <c r="L3341">
        <v>0.62</v>
      </c>
      <c r="M3341">
        <v>102.09</v>
      </c>
      <c r="N3341">
        <v>0.01</v>
      </c>
      <c r="O3341">
        <v>1.05</v>
      </c>
    </row>
    <row r="3342" spans="1:15">
      <c r="A3342" t="str">
        <f>"600603"</f>
        <v>600603</v>
      </c>
      <c r="B3342" t="s">
        <v>3383</v>
      </c>
      <c r="C3342">
        <v>-2.21</v>
      </c>
      <c r="D3342">
        <v>4.42</v>
      </c>
      <c r="E3342" t="s">
        <v>16</v>
      </c>
      <c r="F3342" t="s">
        <v>16</v>
      </c>
      <c r="H3342">
        <v>0</v>
      </c>
      <c r="I3342">
        <v>-7.34</v>
      </c>
      <c r="J3342">
        <v>-2.86</v>
      </c>
      <c r="L3342">
        <v>-0.22</v>
      </c>
      <c r="M3342">
        <v>1.49</v>
      </c>
      <c r="N3342">
        <v>0</v>
      </c>
      <c r="O3342">
        <v>0.11</v>
      </c>
    </row>
    <row r="3343" spans="1:15">
      <c r="A3343" t="str">
        <f>"600604"</f>
        <v>600604</v>
      </c>
      <c r="B3343" t="s">
        <v>3384</v>
      </c>
      <c r="C3343">
        <v>-1.44</v>
      </c>
      <c r="D3343">
        <v>4.1</v>
      </c>
      <c r="E3343" t="s">
        <v>16</v>
      </c>
      <c r="F3343" t="s">
        <v>16</v>
      </c>
      <c r="H3343">
        <v>0</v>
      </c>
      <c r="I3343">
        <v>-3.07</v>
      </c>
      <c r="J3343">
        <v>-1.91</v>
      </c>
      <c r="L3343">
        <v>-0.24</v>
      </c>
      <c r="M3343">
        <v>15.6</v>
      </c>
      <c r="N3343">
        <v>0.01</v>
      </c>
      <c r="O3343">
        <v>0.86</v>
      </c>
    </row>
    <row r="3344" spans="1:15">
      <c r="A3344" t="str">
        <f>"600605"</f>
        <v>600605</v>
      </c>
      <c r="B3344" t="s">
        <v>3385</v>
      </c>
      <c r="C3344">
        <v>-3.98</v>
      </c>
      <c r="D3344">
        <v>29.93</v>
      </c>
      <c r="E3344" t="s">
        <v>16</v>
      </c>
      <c r="F3344" t="s">
        <v>16</v>
      </c>
      <c r="H3344">
        <v>0.1</v>
      </c>
      <c r="I3344">
        <v>3.96</v>
      </c>
      <c r="J3344">
        <v>-5.01</v>
      </c>
      <c r="L3344">
        <v>0.55</v>
      </c>
      <c r="M3344">
        <v>83.36</v>
      </c>
      <c r="N3344">
        <v>0.02</v>
      </c>
      <c r="O3344">
        <v>0.35</v>
      </c>
    </row>
    <row r="3345" spans="1:15">
      <c r="A3345" t="str">
        <f>"600606"</f>
        <v>600606</v>
      </c>
      <c r="B3345" t="s">
        <v>3386</v>
      </c>
      <c r="C3345">
        <v>-0.75</v>
      </c>
      <c r="D3345">
        <v>1.32</v>
      </c>
      <c r="E3345" t="s">
        <v>16</v>
      </c>
      <c r="F3345" t="s">
        <v>16</v>
      </c>
      <c r="H3345">
        <v>0</v>
      </c>
      <c r="I3345">
        <v>-5.71</v>
      </c>
      <c r="J3345">
        <v>-2.22</v>
      </c>
      <c r="L3345">
        <v>-0.75</v>
      </c>
      <c r="M3345">
        <v>110.26</v>
      </c>
      <c r="N3345">
        <v>0.02</v>
      </c>
      <c r="O3345">
        <v>1.59</v>
      </c>
    </row>
    <row r="3346" spans="1:15">
      <c r="A3346" t="str">
        <f>"600609"</f>
        <v>600609</v>
      </c>
      <c r="B3346" t="s">
        <v>3387</v>
      </c>
      <c r="C3346">
        <v>-1.21</v>
      </c>
      <c r="D3346">
        <v>3.26</v>
      </c>
      <c r="E3346" t="s">
        <v>16</v>
      </c>
      <c r="F3346" t="s">
        <v>16</v>
      </c>
      <c r="H3346">
        <v>-0.3</v>
      </c>
      <c r="I3346">
        <v>-6.86</v>
      </c>
      <c r="J3346">
        <v>-1.51</v>
      </c>
      <c r="L3346">
        <v>-0.3</v>
      </c>
      <c r="M3346">
        <v>29.61</v>
      </c>
      <c r="N3346">
        <v>0.01</v>
      </c>
      <c r="O3346">
        <v>1.78</v>
      </c>
    </row>
    <row r="3347" spans="1:15">
      <c r="A3347" t="str">
        <f>"600610"</f>
        <v>600610</v>
      </c>
      <c r="B3347" t="s">
        <v>3388</v>
      </c>
      <c r="C3347">
        <v>-4.71</v>
      </c>
      <c r="D3347">
        <v>7.08</v>
      </c>
      <c r="E3347" t="s">
        <v>16</v>
      </c>
      <c r="F3347" t="s">
        <v>16</v>
      </c>
      <c r="H3347">
        <v>-0.13</v>
      </c>
      <c r="I3347">
        <v>-4.84</v>
      </c>
      <c r="J3347">
        <v>-4.45</v>
      </c>
      <c r="L3347">
        <v>-0.27</v>
      </c>
      <c r="M3347">
        <v>25.12</v>
      </c>
      <c r="N3347">
        <v>0.01</v>
      </c>
      <c r="O3347">
        <v>0.65</v>
      </c>
    </row>
    <row r="3348" spans="1:15">
      <c r="A3348" t="str">
        <f>"600611"</f>
        <v>600611</v>
      </c>
      <c r="B3348" t="s">
        <v>3389</v>
      </c>
      <c r="C3348">
        <v>-3.56</v>
      </c>
      <c r="D3348">
        <v>4.33</v>
      </c>
      <c r="E3348" t="s">
        <v>16</v>
      </c>
      <c r="F3348" t="s">
        <v>16</v>
      </c>
      <c r="H3348">
        <v>0.23</v>
      </c>
      <c r="I3348">
        <v>-0.69</v>
      </c>
      <c r="J3348">
        <v>-1.81</v>
      </c>
      <c r="L3348">
        <v>-2</v>
      </c>
      <c r="M3348">
        <v>412.28</v>
      </c>
      <c r="N3348">
        <v>0.09</v>
      </c>
      <c r="O3348">
        <v>1.51</v>
      </c>
    </row>
    <row r="3349" spans="1:15">
      <c r="A3349" t="str">
        <f>"600612"</f>
        <v>600612</v>
      </c>
      <c r="B3349" t="s">
        <v>3390</v>
      </c>
      <c r="C3349">
        <v>-1.26</v>
      </c>
      <c r="D3349">
        <v>34.43</v>
      </c>
      <c r="E3349" t="s">
        <v>16</v>
      </c>
      <c r="F3349" t="s">
        <v>16</v>
      </c>
      <c r="H3349">
        <v>0.26</v>
      </c>
      <c r="I3349">
        <v>-2.88</v>
      </c>
      <c r="J3349">
        <v>-1.57</v>
      </c>
      <c r="L3349">
        <v>-0.43</v>
      </c>
      <c r="M3349">
        <v>4.86</v>
      </c>
      <c r="N3349">
        <v>0</v>
      </c>
      <c r="O3349">
        <v>0.82</v>
      </c>
    </row>
    <row r="3350" spans="1:15">
      <c r="A3350" t="str">
        <f>"600613"</f>
        <v>600613</v>
      </c>
      <c r="B3350" t="s">
        <v>3391</v>
      </c>
      <c r="C3350">
        <v>-0.21</v>
      </c>
      <c r="D3350">
        <v>4.73</v>
      </c>
      <c r="E3350" t="s">
        <v>16</v>
      </c>
      <c r="F3350" t="s">
        <v>16</v>
      </c>
      <c r="H3350">
        <v>-0.41</v>
      </c>
      <c r="I3350">
        <v>-2.87</v>
      </c>
      <c r="J3350">
        <v>-1.46</v>
      </c>
      <c r="L3350">
        <v>0</v>
      </c>
      <c r="M3350">
        <v>6.54</v>
      </c>
      <c r="N3350">
        <v>0.01</v>
      </c>
      <c r="O3350">
        <v>0.67</v>
      </c>
    </row>
    <row r="3351" spans="1:15">
      <c r="A3351" t="str">
        <f>"600615"</f>
        <v>600615</v>
      </c>
      <c r="B3351" t="s">
        <v>3392</v>
      </c>
      <c r="C3351">
        <v>-4.26</v>
      </c>
      <c r="D3351">
        <v>10.57</v>
      </c>
      <c r="E3351" t="s">
        <v>16</v>
      </c>
      <c r="F3351" t="s">
        <v>16</v>
      </c>
      <c r="H3351">
        <v>0.76</v>
      </c>
      <c r="I3351">
        <v>6.88</v>
      </c>
      <c r="J3351">
        <v>-4.77</v>
      </c>
      <c r="K3351" t="s">
        <v>233</v>
      </c>
      <c r="L3351">
        <v>0.54</v>
      </c>
      <c r="M3351">
        <v>368.74</v>
      </c>
      <c r="N3351">
        <v>0.21</v>
      </c>
      <c r="O3351">
        <v>2.92</v>
      </c>
    </row>
    <row r="3352" spans="1:15">
      <c r="A3352" t="str">
        <f>"600616"</f>
        <v>600616</v>
      </c>
      <c r="B3352" t="s">
        <v>3393</v>
      </c>
      <c r="C3352">
        <v>-1.21</v>
      </c>
      <c r="D3352">
        <v>4.09</v>
      </c>
      <c r="E3352" t="s">
        <v>16</v>
      </c>
      <c r="F3352" t="s">
        <v>16</v>
      </c>
      <c r="H3352">
        <v>0.25</v>
      </c>
      <c r="I3352">
        <v>-6.41</v>
      </c>
      <c r="J3352">
        <v>-1.21</v>
      </c>
      <c r="L3352">
        <v>-0.24</v>
      </c>
      <c r="M3352">
        <v>9.33</v>
      </c>
      <c r="N3352">
        <v>0.01</v>
      </c>
      <c r="O3352">
        <v>6.85</v>
      </c>
    </row>
    <row r="3353" spans="1:15">
      <c r="A3353" t="str">
        <f>"600617"</f>
        <v>600617</v>
      </c>
      <c r="B3353" t="s">
        <v>3394</v>
      </c>
      <c r="C3353">
        <v>-2.67</v>
      </c>
      <c r="D3353">
        <v>2.92</v>
      </c>
      <c r="E3353" t="s">
        <v>16</v>
      </c>
      <c r="F3353" t="s">
        <v>16</v>
      </c>
      <c r="H3353">
        <v>-0.33</v>
      </c>
      <c r="I3353">
        <v>-17.75</v>
      </c>
      <c r="J3353">
        <v>-3.31</v>
      </c>
      <c r="L3353">
        <v>0.67</v>
      </c>
      <c r="M3353">
        <v>80.36</v>
      </c>
      <c r="N3353">
        <v>0.04</v>
      </c>
      <c r="O3353">
        <v>6.67</v>
      </c>
    </row>
    <row r="3354" spans="1:15">
      <c r="A3354" t="str">
        <f>"600618"</f>
        <v>600618</v>
      </c>
      <c r="B3354" t="s">
        <v>3395</v>
      </c>
      <c r="C3354">
        <v>-3</v>
      </c>
      <c r="D3354">
        <v>10.35</v>
      </c>
      <c r="E3354" t="s">
        <v>16</v>
      </c>
      <c r="F3354" t="s">
        <v>16</v>
      </c>
      <c r="H3354">
        <v>0</v>
      </c>
      <c r="I3354">
        <v>1.27</v>
      </c>
      <c r="J3354">
        <v>-2.54</v>
      </c>
      <c r="L3354">
        <v>-0.56</v>
      </c>
      <c r="M3354">
        <v>17.51</v>
      </c>
      <c r="N3354">
        <v>0.01</v>
      </c>
      <c r="O3354">
        <v>0.29</v>
      </c>
    </row>
    <row r="3355" spans="1:15">
      <c r="A3355" t="str">
        <f>"600619"</f>
        <v>600619</v>
      </c>
      <c r="B3355" t="s">
        <v>3396</v>
      </c>
      <c r="C3355">
        <v>-1.41</v>
      </c>
      <c r="D3355">
        <v>14.68</v>
      </c>
      <c r="E3355" t="s">
        <v>16</v>
      </c>
      <c r="F3355" t="s">
        <v>16</v>
      </c>
      <c r="H3355">
        <v>0.07</v>
      </c>
      <c r="I3355">
        <v>-2.39</v>
      </c>
      <c r="J3355">
        <v>-1.21</v>
      </c>
      <c r="L3355">
        <v>-0.6</v>
      </c>
      <c r="M3355">
        <v>76.52</v>
      </c>
      <c r="N3355">
        <v>0.01</v>
      </c>
      <c r="O3355">
        <v>0.62</v>
      </c>
    </row>
    <row r="3356" spans="1:15">
      <c r="A3356" t="str">
        <f>"600620"</f>
        <v>600620</v>
      </c>
      <c r="B3356" t="s">
        <v>3397</v>
      </c>
      <c r="C3356">
        <v>0</v>
      </c>
      <c r="D3356">
        <v>4.26</v>
      </c>
      <c r="E3356" t="s">
        <v>16</v>
      </c>
      <c r="F3356" t="s">
        <v>16</v>
      </c>
      <c r="H3356">
        <v>-0.22</v>
      </c>
      <c r="I3356">
        <v>-8.39</v>
      </c>
      <c r="J3356">
        <v>-1.16</v>
      </c>
      <c r="L3356">
        <v>1.17</v>
      </c>
      <c r="M3356">
        <v>22.58</v>
      </c>
      <c r="N3356">
        <v>0.02</v>
      </c>
      <c r="O3356">
        <v>0.69</v>
      </c>
    </row>
    <row r="3357" spans="1:15">
      <c r="A3357" t="str">
        <f>"600621"</f>
        <v>600621</v>
      </c>
      <c r="B3357" t="s">
        <v>3398</v>
      </c>
      <c r="C3357">
        <v>-3.04</v>
      </c>
      <c r="D3357">
        <v>12.74</v>
      </c>
      <c r="E3357" t="s">
        <v>16</v>
      </c>
      <c r="F3357" t="s">
        <v>16</v>
      </c>
      <c r="H3357">
        <v>-0.22</v>
      </c>
      <c r="I3357">
        <v>0.31</v>
      </c>
      <c r="J3357">
        <v>-3.78</v>
      </c>
      <c r="L3357">
        <v>0.15</v>
      </c>
      <c r="M3357">
        <v>456.65</v>
      </c>
      <c r="N3357">
        <v>0.07</v>
      </c>
      <c r="O3357">
        <v>1.25</v>
      </c>
    </row>
    <row r="3358" spans="1:15">
      <c r="A3358" t="str">
        <f>"600622"</f>
        <v>600622</v>
      </c>
      <c r="B3358" t="s">
        <v>3399</v>
      </c>
      <c r="C3358">
        <v>-0.94</v>
      </c>
      <c r="D3358">
        <v>2.11</v>
      </c>
      <c r="E3358" t="s">
        <v>16</v>
      </c>
      <c r="F3358" t="s">
        <v>16</v>
      </c>
      <c r="H3358">
        <v>0</v>
      </c>
      <c r="I3358">
        <v>-16.27</v>
      </c>
      <c r="J3358">
        <v>-2.76</v>
      </c>
      <c r="L3358">
        <v>-0.47</v>
      </c>
      <c r="M3358">
        <v>51.94</v>
      </c>
      <c r="N3358">
        <v>0.03</v>
      </c>
      <c r="O3358">
        <v>8.31</v>
      </c>
    </row>
    <row r="3359" spans="1:15">
      <c r="A3359" t="str">
        <f>"600623"</f>
        <v>600623</v>
      </c>
      <c r="B3359" t="s">
        <v>3400</v>
      </c>
      <c r="C3359">
        <v>3.57</v>
      </c>
      <c r="D3359">
        <v>8.7</v>
      </c>
      <c r="E3359" t="s">
        <v>16</v>
      </c>
      <c r="F3359" t="s">
        <v>16</v>
      </c>
      <c r="H3359">
        <v>0</v>
      </c>
      <c r="I3359">
        <v>2.72</v>
      </c>
      <c r="J3359">
        <v>-2.25</v>
      </c>
      <c r="L3359">
        <v>-0.83</v>
      </c>
      <c r="M3359">
        <v>33.24</v>
      </c>
      <c r="N3359">
        <v>0.01</v>
      </c>
      <c r="O3359">
        <v>1.43</v>
      </c>
    </row>
    <row r="3360" spans="1:15">
      <c r="A3360" t="str">
        <f>"600624"</f>
        <v>600624</v>
      </c>
      <c r="B3360" t="s">
        <v>3401</v>
      </c>
      <c r="C3360">
        <v>-2.03</v>
      </c>
      <c r="D3360">
        <v>3.86</v>
      </c>
      <c r="E3360" t="s">
        <v>16</v>
      </c>
      <c r="F3360" t="s">
        <v>16</v>
      </c>
      <c r="H3360">
        <v>0.26</v>
      </c>
      <c r="I3360">
        <v>-3.74</v>
      </c>
      <c r="J3360">
        <v>-2.28</v>
      </c>
      <c r="L3360">
        <v>-1.02</v>
      </c>
      <c r="M3360">
        <v>4.37</v>
      </c>
      <c r="N3360">
        <v>0</v>
      </c>
      <c r="O3360">
        <v>4.15</v>
      </c>
    </row>
    <row r="3361" spans="1:15">
      <c r="A3361" t="str">
        <f>"600626"</f>
        <v>600626</v>
      </c>
      <c r="B3361" t="s">
        <v>3402</v>
      </c>
      <c r="C3361">
        <v>1.18</v>
      </c>
      <c r="D3361">
        <v>3.44</v>
      </c>
      <c r="E3361" t="s">
        <v>16</v>
      </c>
      <c r="F3361" t="s">
        <v>16</v>
      </c>
      <c r="H3361">
        <v>0.29</v>
      </c>
      <c r="I3361">
        <v>-1.99</v>
      </c>
      <c r="J3361">
        <v>-0.58</v>
      </c>
      <c r="L3361">
        <v>0.59</v>
      </c>
      <c r="M3361">
        <v>48.8</v>
      </c>
      <c r="N3361">
        <v>0.02</v>
      </c>
      <c r="O3361">
        <v>0.86</v>
      </c>
    </row>
    <row r="3362" spans="1:15">
      <c r="A3362" t="str">
        <f>"600628"</f>
        <v>600628</v>
      </c>
      <c r="B3362" t="s">
        <v>3403</v>
      </c>
      <c r="C3362">
        <v>-1.33</v>
      </c>
      <c r="D3362">
        <v>5.93</v>
      </c>
      <c r="E3362" t="s">
        <v>16</v>
      </c>
      <c r="F3362" t="s">
        <v>16</v>
      </c>
      <c r="H3362">
        <v>0</v>
      </c>
      <c r="I3362">
        <v>-3.73</v>
      </c>
      <c r="J3362">
        <v>-1</v>
      </c>
      <c r="L3362">
        <v>-0.5</v>
      </c>
      <c r="M3362">
        <v>14.17</v>
      </c>
      <c r="N3362">
        <v>0.01</v>
      </c>
      <c r="O3362">
        <v>0.33</v>
      </c>
    </row>
    <row r="3363" spans="1:15">
      <c r="A3363" t="str">
        <f>"600629"</f>
        <v>600629</v>
      </c>
      <c r="B3363" t="s">
        <v>3404</v>
      </c>
      <c r="C3363">
        <v>-4.96</v>
      </c>
      <c r="D3363">
        <v>16.08</v>
      </c>
      <c r="E3363" t="s">
        <v>16</v>
      </c>
      <c r="F3363" t="s">
        <v>16</v>
      </c>
      <c r="H3363">
        <v>-0.05</v>
      </c>
      <c r="I3363">
        <v>-0.06</v>
      </c>
      <c r="J3363">
        <v>-5.36</v>
      </c>
      <c r="L3363">
        <v>-0.12</v>
      </c>
      <c r="M3363">
        <v>379.57</v>
      </c>
      <c r="N3363">
        <v>0.05</v>
      </c>
      <c r="O3363">
        <v>1.36</v>
      </c>
    </row>
    <row r="3364" spans="1:15">
      <c r="A3364" t="str">
        <f>"600630"</f>
        <v>600630</v>
      </c>
      <c r="B3364" t="s">
        <v>3405</v>
      </c>
      <c r="C3364">
        <v>-4.4</v>
      </c>
      <c r="D3364">
        <v>8.47</v>
      </c>
      <c r="E3364" t="s">
        <v>16</v>
      </c>
      <c r="F3364" t="s">
        <v>16</v>
      </c>
      <c r="H3364">
        <v>0</v>
      </c>
      <c r="I3364">
        <v>1.8</v>
      </c>
      <c r="J3364">
        <v>-4.51</v>
      </c>
      <c r="L3364">
        <v>0</v>
      </c>
      <c r="M3364">
        <v>216.01</v>
      </c>
      <c r="N3364">
        <v>0.08</v>
      </c>
      <c r="O3364">
        <v>1.93</v>
      </c>
    </row>
    <row r="3365" spans="1:15">
      <c r="A3365" t="str">
        <f>"600633"</f>
        <v>600633</v>
      </c>
      <c r="B3365" t="s">
        <v>3406</v>
      </c>
      <c r="C3365">
        <v>1.58</v>
      </c>
      <c r="D3365">
        <v>10.92</v>
      </c>
      <c r="E3365" t="s">
        <v>16</v>
      </c>
      <c r="F3365" t="s">
        <v>16</v>
      </c>
      <c r="H3365">
        <v>0.09</v>
      </c>
      <c r="I3365">
        <v>-5.29</v>
      </c>
      <c r="J3365">
        <v>-1.18</v>
      </c>
      <c r="L3365">
        <v>-0.47</v>
      </c>
      <c r="M3365">
        <v>227.26</v>
      </c>
      <c r="N3365">
        <v>0.03</v>
      </c>
      <c r="O3365">
        <v>8.46</v>
      </c>
    </row>
    <row r="3366" spans="1:15">
      <c r="A3366" t="str">
        <f>"600635"</f>
        <v>600635</v>
      </c>
      <c r="B3366" t="s">
        <v>3407</v>
      </c>
      <c r="C3366">
        <v>-1.29</v>
      </c>
      <c r="D3366">
        <v>4.6</v>
      </c>
      <c r="E3366" t="s">
        <v>16</v>
      </c>
      <c r="F3366" t="s">
        <v>16</v>
      </c>
      <c r="H3366">
        <v>0</v>
      </c>
      <c r="I3366">
        <v>-8.18</v>
      </c>
      <c r="J3366">
        <v>-2.13</v>
      </c>
      <c r="L3366">
        <v>-0.21</v>
      </c>
      <c r="M3366">
        <v>79.05</v>
      </c>
      <c r="N3366">
        <v>0.01</v>
      </c>
      <c r="O3366">
        <v>1.36</v>
      </c>
    </row>
    <row r="3367" spans="1:15">
      <c r="A3367" t="str">
        <f>"600637"</f>
        <v>600637</v>
      </c>
      <c r="B3367" t="s">
        <v>3408</v>
      </c>
      <c r="C3367">
        <v>0.79</v>
      </c>
      <c r="D3367">
        <v>8.88</v>
      </c>
      <c r="E3367" t="s">
        <v>16</v>
      </c>
      <c r="F3367" t="s">
        <v>16</v>
      </c>
      <c r="H3367">
        <v>0.11</v>
      </c>
      <c r="I3367">
        <v>-2.42</v>
      </c>
      <c r="J3367">
        <v>-1</v>
      </c>
      <c r="L3367">
        <v>-0.45</v>
      </c>
      <c r="M3367">
        <v>147.02</v>
      </c>
      <c r="N3367">
        <v>0.01</v>
      </c>
      <c r="O3367">
        <v>1.27</v>
      </c>
    </row>
    <row r="3368" spans="1:15">
      <c r="A3368" t="str">
        <f>"600638"</f>
        <v>600638</v>
      </c>
      <c r="B3368" t="s">
        <v>3409</v>
      </c>
      <c r="C3368">
        <v>-7.16</v>
      </c>
      <c r="D3368">
        <v>4.93</v>
      </c>
      <c r="E3368" t="s">
        <v>16</v>
      </c>
      <c r="F3368" t="s">
        <v>16</v>
      </c>
      <c r="H3368">
        <v>-0.19</v>
      </c>
      <c r="I3368">
        <v>-8.19</v>
      </c>
      <c r="J3368">
        <v>-3.52</v>
      </c>
      <c r="L3368">
        <v>-4.71</v>
      </c>
      <c r="M3368">
        <v>462.08</v>
      </c>
      <c r="N3368">
        <v>0.22</v>
      </c>
      <c r="O3368">
        <v>157.45</v>
      </c>
    </row>
    <row r="3369" spans="1:15">
      <c r="A3369" t="str">
        <f>"600639"</f>
        <v>600639</v>
      </c>
      <c r="B3369" t="s">
        <v>3410</v>
      </c>
      <c r="C3369">
        <v>-1.66</v>
      </c>
      <c r="D3369">
        <v>9.46</v>
      </c>
      <c r="E3369" t="s">
        <v>16</v>
      </c>
      <c r="F3369" t="s">
        <v>16</v>
      </c>
      <c r="H3369">
        <v>-0.1</v>
      </c>
      <c r="I3369">
        <v>-2.27</v>
      </c>
      <c r="J3369">
        <v>-2.07</v>
      </c>
      <c r="L3369">
        <v>-1.04</v>
      </c>
      <c r="M3369">
        <v>71.88</v>
      </c>
      <c r="N3369">
        <v>0.03</v>
      </c>
      <c r="O3369">
        <v>16.78</v>
      </c>
    </row>
    <row r="3370" spans="1:15">
      <c r="A3370" t="str">
        <f>"600640"</f>
        <v>600640</v>
      </c>
      <c r="B3370" t="s">
        <v>3411</v>
      </c>
      <c r="C3370">
        <v>0.48</v>
      </c>
      <c r="D3370">
        <v>10.55</v>
      </c>
      <c r="E3370" t="s">
        <v>16</v>
      </c>
      <c r="F3370" t="s">
        <v>16</v>
      </c>
      <c r="H3370">
        <v>0.09</v>
      </c>
      <c r="I3370">
        <v>-5.38</v>
      </c>
      <c r="J3370">
        <v>-0.94</v>
      </c>
      <c r="L3370">
        <v>-1.14</v>
      </c>
      <c r="M3370">
        <v>28.44</v>
      </c>
      <c r="N3370">
        <v>0.01</v>
      </c>
      <c r="O3370">
        <v>1.21</v>
      </c>
    </row>
    <row r="3371" spans="1:15">
      <c r="A3371" t="str">
        <f>"600641"</f>
        <v>600641</v>
      </c>
      <c r="B3371" t="s">
        <v>3412</v>
      </c>
      <c r="C3371">
        <v>1.36</v>
      </c>
      <c r="D3371">
        <v>33.45</v>
      </c>
      <c r="E3371" t="s">
        <v>16</v>
      </c>
      <c r="F3371" t="s">
        <v>16</v>
      </c>
      <c r="H3371">
        <v>0.03</v>
      </c>
      <c r="I3371">
        <v>25.19</v>
      </c>
      <c r="J3371">
        <v>-5.19</v>
      </c>
      <c r="L3371">
        <v>-0.3</v>
      </c>
      <c r="M3371">
        <v>1415.36</v>
      </c>
      <c r="N3371">
        <v>0.07</v>
      </c>
      <c r="O3371">
        <v>0.83</v>
      </c>
    </row>
    <row r="3372" spans="1:15">
      <c r="A3372" t="str">
        <f>"600642"</f>
        <v>600642</v>
      </c>
      <c r="B3372" t="s">
        <v>3413</v>
      </c>
      <c r="C3372">
        <v>-4.4</v>
      </c>
      <c r="D3372">
        <v>9.12</v>
      </c>
      <c r="E3372" t="s">
        <v>16</v>
      </c>
      <c r="F3372" t="s">
        <v>16</v>
      </c>
      <c r="H3372">
        <v>-0.1</v>
      </c>
      <c r="I3372">
        <v>-9.88</v>
      </c>
      <c r="J3372">
        <v>-5.69</v>
      </c>
      <c r="L3372">
        <v>-0.42</v>
      </c>
      <c r="M3372">
        <v>44.08</v>
      </c>
      <c r="N3372">
        <v>0</v>
      </c>
      <c r="O3372">
        <v>1.39</v>
      </c>
    </row>
    <row r="3373" spans="1:15">
      <c r="A3373" t="str">
        <f>"600643"</f>
        <v>600643</v>
      </c>
      <c r="B3373" t="s">
        <v>3414</v>
      </c>
      <c r="C3373">
        <v>-4.58</v>
      </c>
      <c r="D3373">
        <v>3.96</v>
      </c>
      <c r="E3373" t="s">
        <v>16</v>
      </c>
      <c r="F3373" t="s">
        <v>16</v>
      </c>
      <c r="H3373">
        <v>-0.24</v>
      </c>
      <c r="I3373">
        <v>-4.81</v>
      </c>
      <c r="J3373">
        <v>-4.12</v>
      </c>
      <c r="L3373">
        <v>-1.69</v>
      </c>
      <c r="M3373">
        <v>274.05</v>
      </c>
      <c r="N3373">
        <v>0.08</v>
      </c>
      <c r="O3373">
        <v>18.71</v>
      </c>
    </row>
    <row r="3374" spans="1:15">
      <c r="A3374" t="str">
        <f>"600644"</f>
        <v>600644</v>
      </c>
      <c r="B3374" t="s">
        <v>3415</v>
      </c>
      <c r="C3374">
        <v>-6.65</v>
      </c>
      <c r="D3374">
        <v>9.12</v>
      </c>
      <c r="E3374" t="s">
        <v>16</v>
      </c>
      <c r="F3374" t="s">
        <v>16</v>
      </c>
      <c r="H3374">
        <v>0.33</v>
      </c>
      <c r="I3374">
        <v>-21.98</v>
      </c>
      <c r="J3374">
        <v>-6.84</v>
      </c>
      <c r="L3374">
        <v>0.1</v>
      </c>
      <c r="M3374">
        <v>19.95</v>
      </c>
      <c r="N3374">
        <v>0.01</v>
      </c>
      <c r="O3374">
        <v>0.53</v>
      </c>
    </row>
    <row r="3375" spans="1:15">
      <c r="A3375" t="str">
        <f>"600645"</f>
        <v>600645</v>
      </c>
      <c r="B3375" t="s">
        <v>3416</v>
      </c>
      <c r="C3375">
        <v>0.82</v>
      </c>
      <c r="D3375">
        <v>18.35</v>
      </c>
      <c r="E3375" t="s">
        <v>16</v>
      </c>
      <c r="F3375" t="s">
        <v>16</v>
      </c>
      <c r="H3375">
        <v>0</v>
      </c>
      <c r="I3375">
        <v>-5.66</v>
      </c>
      <c r="J3375">
        <v>-2.19</v>
      </c>
      <c r="L3375">
        <v>-0.27</v>
      </c>
      <c r="M3375">
        <v>38.48</v>
      </c>
      <c r="N3375">
        <v>0.01</v>
      </c>
      <c r="O3375">
        <v>0.49</v>
      </c>
    </row>
    <row r="3376" spans="1:15">
      <c r="A3376" t="str">
        <f>"600648"</f>
        <v>600648</v>
      </c>
      <c r="B3376" t="s">
        <v>3417</v>
      </c>
      <c r="C3376">
        <v>-0.7</v>
      </c>
      <c r="D3376">
        <v>8.5</v>
      </c>
      <c r="E3376" t="s">
        <v>16</v>
      </c>
      <c r="F3376" t="s">
        <v>16</v>
      </c>
      <c r="H3376">
        <v>-0.46</v>
      </c>
      <c r="I3376">
        <v>-7.41</v>
      </c>
      <c r="J3376">
        <v>-1.73</v>
      </c>
      <c r="L3376">
        <v>0</v>
      </c>
      <c r="M3376">
        <v>26.79</v>
      </c>
      <c r="N3376">
        <v>0.01</v>
      </c>
      <c r="O3376">
        <v>2.59</v>
      </c>
    </row>
    <row r="3377" spans="1:15">
      <c r="A3377" t="str">
        <f>"600649"</f>
        <v>600649</v>
      </c>
      <c r="B3377" t="s">
        <v>3418</v>
      </c>
      <c r="C3377">
        <v>0</v>
      </c>
      <c r="D3377">
        <v>3.58</v>
      </c>
      <c r="E3377" t="s">
        <v>16</v>
      </c>
      <c r="F3377" t="s">
        <v>16</v>
      </c>
      <c r="H3377">
        <v>0</v>
      </c>
      <c r="I3377">
        <v>-4.28</v>
      </c>
      <c r="J3377">
        <v>-2.19</v>
      </c>
      <c r="L3377">
        <v>1.4</v>
      </c>
      <c r="M3377">
        <v>148</v>
      </c>
      <c r="N3377">
        <v>0.03</v>
      </c>
      <c r="O3377">
        <v>19.6</v>
      </c>
    </row>
    <row r="3378" spans="1:15">
      <c r="A3378" t="str">
        <f>"600650"</f>
        <v>600650</v>
      </c>
      <c r="B3378" t="s">
        <v>3419</v>
      </c>
      <c r="C3378">
        <v>-0.3</v>
      </c>
      <c r="D3378">
        <v>10.06</v>
      </c>
      <c r="E3378" t="s">
        <v>16</v>
      </c>
      <c r="F3378" t="s">
        <v>16</v>
      </c>
      <c r="H3378">
        <v>0</v>
      </c>
      <c r="I3378">
        <v>-6.33</v>
      </c>
      <c r="J3378">
        <v>-1.57</v>
      </c>
      <c r="L3378">
        <v>-0.89</v>
      </c>
      <c r="M3378">
        <v>23</v>
      </c>
      <c r="N3378">
        <v>0.01</v>
      </c>
      <c r="O3378">
        <v>2.11</v>
      </c>
    </row>
    <row r="3379" spans="1:15">
      <c r="A3379" t="str">
        <f>"600651"</f>
        <v>600651</v>
      </c>
      <c r="B3379" t="s">
        <v>3420</v>
      </c>
      <c r="C3379">
        <v>-2.96</v>
      </c>
      <c r="D3379">
        <v>5.9</v>
      </c>
      <c r="E3379" t="s">
        <v>16</v>
      </c>
      <c r="F3379" t="s">
        <v>16</v>
      </c>
      <c r="H3379">
        <v>0.17</v>
      </c>
      <c r="I3379">
        <v>-7.52</v>
      </c>
      <c r="J3379">
        <v>-2.96</v>
      </c>
      <c r="L3379">
        <v>-0.16</v>
      </c>
      <c r="M3379">
        <v>13.11</v>
      </c>
      <c r="N3379">
        <v>0</v>
      </c>
      <c r="O3379">
        <v>1.03</v>
      </c>
    </row>
    <row r="3380" spans="1:15">
      <c r="A3380" t="str">
        <f>"600653"</f>
        <v>600653</v>
      </c>
      <c r="B3380" t="s">
        <v>3421</v>
      </c>
      <c r="C3380">
        <v>-3.09</v>
      </c>
      <c r="D3380">
        <v>1.57</v>
      </c>
      <c r="E3380" t="s">
        <v>16</v>
      </c>
      <c r="F3380" t="s">
        <v>16</v>
      </c>
      <c r="H3380">
        <v>-0.62</v>
      </c>
      <c r="I3380">
        <v>-6.55</v>
      </c>
      <c r="J3380">
        <v>-3.09</v>
      </c>
      <c r="L3380">
        <v>0</v>
      </c>
      <c r="M3380">
        <v>4.52</v>
      </c>
      <c r="N3380">
        <v>0</v>
      </c>
      <c r="O3380">
        <v>1.36</v>
      </c>
    </row>
    <row r="3381" spans="1:15">
      <c r="A3381" t="str">
        <f>"600654"</f>
        <v>600654</v>
      </c>
      <c r="B3381" t="s">
        <v>3422</v>
      </c>
      <c r="C3381">
        <v>-1.38</v>
      </c>
      <c r="D3381">
        <v>2.86</v>
      </c>
      <c r="E3381" t="s">
        <v>16</v>
      </c>
      <c r="F3381" t="s">
        <v>16</v>
      </c>
      <c r="H3381">
        <v>-0.34</v>
      </c>
      <c r="I3381">
        <v>-10.06</v>
      </c>
      <c r="J3381">
        <v>-2.05</v>
      </c>
      <c r="L3381">
        <v>-0.34</v>
      </c>
      <c r="M3381">
        <v>37.51</v>
      </c>
      <c r="N3381">
        <v>0.01</v>
      </c>
      <c r="O3381">
        <v>0.54</v>
      </c>
    </row>
    <row r="3382" spans="1:15">
      <c r="A3382" t="str">
        <f>"600655"</f>
        <v>600655</v>
      </c>
      <c r="B3382" t="s">
        <v>3423</v>
      </c>
      <c r="C3382">
        <v>-0.45</v>
      </c>
      <c r="D3382">
        <v>4.42</v>
      </c>
      <c r="E3382" t="s">
        <v>16</v>
      </c>
      <c r="F3382" t="s">
        <v>16</v>
      </c>
      <c r="H3382">
        <v>-0.66</v>
      </c>
      <c r="I3382">
        <v>-2.64</v>
      </c>
      <c r="J3382">
        <v>-2.43</v>
      </c>
      <c r="L3382">
        <v>0</v>
      </c>
      <c r="M3382">
        <v>9.15</v>
      </c>
      <c r="N3382">
        <v>0</v>
      </c>
      <c r="O3382">
        <v>0.45</v>
      </c>
    </row>
    <row r="3383" spans="1:15">
      <c r="A3383" t="str">
        <f>"600657"</f>
        <v>600657</v>
      </c>
      <c r="B3383" t="s">
        <v>3424</v>
      </c>
      <c r="C3383">
        <v>-1.92</v>
      </c>
      <c r="D3383">
        <v>2.56</v>
      </c>
      <c r="E3383" t="s">
        <v>16</v>
      </c>
      <c r="F3383" t="s">
        <v>16</v>
      </c>
      <c r="H3383">
        <v>0.39</v>
      </c>
      <c r="I3383">
        <v>-7.25</v>
      </c>
      <c r="J3383">
        <v>-1.92</v>
      </c>
      <c r="L3383">
        <v>0</v>
      </c>
      <c r="M3383">
        <v>41.81</v>
      </c>
      <c r="N3383">
        <v>0.02</v>
      </c>
      <c r="O3383">
        <v>4.12</v>
      </c>
    </row>
    <row r="3384" spans="1:15">
      <c r="A3384" t="str">
        <f>"600658"</f>
        <v>600658</v>
      </c>
      <c r="B3384" t="s">
        <v>3425</v>
      </c>
      <c r="C3384">
        <v>-2.14</v>
      </c>
      <c r="D3384">
        <v>4.12</v>
      </c>
      <c r="E3384" t="s">
        <v>16</v>
      </c>
      <c r="F3384" t="s">
        <v>16</v>
      </c>
      <c r="H3384">
        <v>0</v>
      </c>
      <c r="I3384">
        <v>-8.04</v>
      </c>
      <c r="J3384">
        <v>-2.6</v>
      </c>
      <c r="L3384">
        <v>-0.71</v>
      </c>
      <c r="M3384">
        <v>24.87</v>
      </c>
      <c r="N3384">
        <v>0.01</v>
      </c>
      <c r="O3384">
        <v>0.52</v>
      </c>
    </row>
    <row r="3385" spans="1:15">
      <c r="A3385" t="str">
        <f>"600660"</f>
        <v>600660</v>
      </c>
      <c r="B3385" t="s">
        <v>3426</v>
      </c>
      <c r="C3385">
        <v>-1.46</v>
      </c>
      <c r="D3385">
        <v>49.95</v>
      </c>
      <c r="E3385" t="s">
        <v>16</v>
      </c>
      <c r="F3385" t="s">
        <v>16</v>
      </c>
      <c r="H3385">
        <v>-0.33</v>
      </c>
      <c r="I3385">
        <v>-6.64</v>
      </c>
      <c r="J3385">
        <v>-1.73</v>
      </c>
      <c r="L3385">
        <v>-0.41</v>
      </c>
      <c r="M3385">
        <v>98.44</v>
      </c>
      <c r="N3385">
        <v>0</v>
      </c>
      <c r="O3385">
        <v>0.29</v>
      </c>
    </row>
    <row r="3386" spans="1:15">
      <c r="A3386" t="str">
        <f>"600661"</f>
        <v>600661</v>
      </c>
      <c r="B3386" t="s">
        <v>3427</v>
      </c>
      <c r="C3386">
        <v>-0.53</v>
      </c>
      <c r="D3386">
        <v>7.51</v>
      </c>
      <c r="E3386" t="s">
        <v>16</v>
      </c>
      <c r="F3386" t="s">
        <v>16</v>
      </c>
      <c r="H3386">
        <v>-0.26</v>
      </c>
      <c r="I3386">
        <v>-7.17</v>
      </c>
      <c r="J3386">
        <v>-1.18</v>
      </c>
      <c r="L3386">
        <v>-0.53</v>
      </c>
      <c r="M3386">
        <v>2.4</v>
      </c>
      <c r="N3386">
        <v>0</v>
      </c>
      <c r="O3386">
        <v>0.39</v>
      </c>
    </row>
    <row r="3387" spans="1:15">
      <c r="A3387" t="str">
        <f>"600662"</f>
        <v>600662</v>
      </c>
      <c r="B3387" t="s">
        <v>3428</v>
      </c>
      <c r="C3387">
        <v>-0.47</v>
      </c>
      <c r="D3387">
        <v>4.22</v>
      </c>
      <c r="E3387" t="s">
        <v>16</v>
      </c>
      <c r="F3387" t="s">
        <v>16</v>
      </c>
      <c r="H3387">
        <v>-0.23</v>
      </c>
      <c r="I3387">
        <v>-2.99</v>
      </c>
      <c r="J3387">
        <v>-5.38</v>
      </c>
      <c r="L3387">
        <v>2.59</v>
      </c>
      <c r="M3387">
        <v>119.76</v>
      </c>
      <c r="N3387">
        <v>0.04</v>
      </c>
      <c r="O3387">
        <v>11.92</v>
      </c>
    </row>
    <row r="3388" spans="1:15">
      <c r="A3388" t="str">
        <f>"600663"</f>
        <v>600663</v>
      </c>
      <c r="B3388" t="s">
        <v>3429</v>
      </c>
      <c r="C3388">
        <v>-3.09</v>
      </c>
      <c r="D3388">
        <v>6.58</v>
      </c>
      <c r="E3388" t="s">
        <v>16</v>
      </c>
      <c r="F3388" t="s">
        <v>16</v>
      </c>
      <c r="H3388">
        <v>0.46</v>
      </c>
      <c r="I3388">
        <v>-6</v>
      </c>
      <c r="J3388">
        <v>-2.66</v>
      </c>
      <c r="L3388">
        <v>-0.44</v>
      </c>
      <c r="M3388">
        <v>32.85</v>
      </c>
      <c r="N3388">
        <v>0.01</v>
      </c>
      <c r="O3388">
        <v>2.89</v>
      </c>
    </row>
    <row r="3389" spans="1:15">
      <c r="A3389" t="str">
        <f>"600664"</f>
        <v>600664</v>
      </c>
      <c r="B3389" t="s">
        <v>3430</v>
      </c>
      <c r="C3389">
        <v>0.33</v>
      </c>
      <c r="D3389">
        <v>3.08</v>
      </c>
      <c r="E3389" t="s">
        <v>16</v>
      </c>
      <c r="F3389" t="s">
        <v>16</v>
      </c>
      <c r="H3389">
        <v>0</v>
      </c>
      <c r="I3389">
        <v>-2.84</v>
      </c>
      <c r="J3389">
        <v>-0.96</v>
      </c>
      <c r="L3389">
        <v>-0.33</v>
      </c>
      <c r="M3389">
        <v>50.86</v>
      </c>
      <c r="N3389">
        <v>0.01</v>
      </c>
      <c r="O3389">
        <v>2.11</v>
      </c>
    </row>
    <row r="3390" spans="1:15">
      <c r="A3390" t="str">
        <f>"600665"</f>
        <v>600665</v>
      </c>
      <c r="B3390" t="s">
        <v>3431</v>
      </c>
      <c r="C3390">
        <v>-1.38</v>
      </c>
      <c r="D3390">
        <v>3.57</v>
      </c>
      <c r="E3390" t="s">
        <v>16</v>
      </c>
      <c r="F3390" t="s">
        <v>16</v>
      </c>
      <c r="H3390">
        <v>0</v>
      </c>
      <c r="I3390">
        <v>2.59</v>
      </c>
      <c r="J3390">
        <v>-1.38</v>
      </c>
      <c r="L3390">
        <v>-0.55</v>
      </c>
      <c r="M3390">
        <v>143.93</v>
      </c>
      <c r="N3390">
        <v>0.11</v>
      </c>
      <c r="O3390">
        <v>0.76</v>
      </c>
    </row>
    <row r="3391" spans="1:15">
      <c r="A3391" t="str">
        <f>"600666"</f>
        <v>600666</v>
      </c>
      <c r="B3391" t="s">
        <v>3432</v>
      </c>
      <c r="C3391">
        <v>-2.57</v>
      </c>
      <c r="D3391">
        <v>4.55</v>
      </c>
      <c r="E3391" t="s">
        <v>16</v>
      </c>
      <c r="F3391" t="s">
        <v>16</v>
      </c>
      <c r="H3391">
        <v>0</v>
      </c>
      <c r="I3391">
        <v>-2.15</v>
      </c>
      <c r="J3391">
        <v>-4.01</v>
      </c>
      <c r="L3391">
        <v>0.64</v>
      </c>
      <c r="M3391">
        <v>383.85</v>
      </c>
      <c r="N3391">
        <v>0.04</v>
      </c>
      <c r="O3391">
        <v>1.98</v>
      </c>
    </row>
    <row r="3392" spans="1:15">
      <c r="A3392" t="str">
        <f>"600667"</f>
        <v>600667</v>
      </c>
      <c r="B3392" t="s">
        <v>3433</v>
      </c>
      <c r="C3392">
        <v>9.99</v>
      </c>
      <c r="D3392">
        <v>20.92</v>
      </c>
      <c r="E3392">
        <v>4248.85</v>
      </c>
      <c r="F3392">
        <v>1</v>
      </c>
      <c r="H3392">
        <v>0</v>
      </c>
      <c r="I3392">
        <v>27.87</v>
      </c>
      <c r="J3392">
        <v>0</v>
      </c>
      <c r="K3392" t="s">
        <v>140</v>
      </c>
      <c r="L3392">
        <v>0.05</v>
      </c>
      <c r="M3392">
        <v>4511.63</v>
      </c>
      <c r="N3392">
        <v>0.17</v>
      </c>
      <c r="O3392">
        <v>0.92</v>
      </c>
    </row>
    <row r="3393" spans="1:15">
      <c r="A3393" t="str">
        <f>"600668"</f>
        <v>600668</v>
      </c>
      <c r="B3393" t="s">
        <v>3434</v>
      </c>
      <c r="C3393">
        <v>-1.65</v>
      </c>
      <c r="D3393">
        <v>7.17</v>
      </c>
      <c r="E3393" t="s">
        <v>16</v>
      </c>
      <c r="F3393" t="s">
        <v>16</v>
      </c>
      <c r="H3393">
        <v>0</v>
      </c>
      <c r="I3393">
        <v>-6.4</v>
      </c>
      <c r="J3393">
        <v>-1.38</v>
      </c>
      <c r="L3393">
        <v>-0.69</v>
      </c>
      <c r="M3393">
        <v>8.69</v>
      </c>
      <c r="N3393">
        <v>0</v>
      </c>
      <c r="O3393">
        <v>1.97</v>
      </c>
    </row>
    <row r="3394" spans="1:15">
      <c r="A3394" t="str">
        <f>"600671"</f>
        <v>600671</v>
      </c>
      <c r="B3394" t="s">
        <v>3435</v>
      </c>
      <c r="C3394">
        <v>9.98</v>
      </c>
      <c r="D3394">
        <v>17.96</v>
      </c>
      <c r="E3394">
        <v>571.67</v>
      </c>
      <c r="F3394">
        <v>1</v>
      </c>
      <c r="H3394">
        <v>0</v>
      </c>
      <c r="I3394">
        <v>7.87</v>
      </c>
      <c r="J3394">
        <v>0</v>
      </c>
      <c r="K3394" t="s">
        <v>140</v>
      </c>
      <c r="L3394">
        <v>0</v>
      </c>
      <c r="M3394">
        <v>67.93</v>
      </c>
      <c r="N3394">
        <v>0.06</v>
      </c>
      <c r="O3394">
        <v>13</v>
      </c>
    </row>
    <row r="3395" spans="1:15">
      <c r="A3395" t="str">
        <f>"600673"</f>
        <v>600673</v>
      </c>
      <c r="B3395" t="s">
        <v>3436</v>
      </c>
      <c r="C3395">
        <v>1.03</v>
      </c>
      <c r="D3395">
        <v>36.26</v>
      </c>
      <c r="E3395" t="s">
        <v>16</v>
      </c>
      <c r="F3395" t="s">
        <v>16</v>
      </c>
      <c r="H3395">
        <v>-0.1</v>
      </c>
      <c r="I3395">
        <v>8.79</v>
      </c>
      <c r="J3395">
        <v>-2.53</v>
      </c>
      <c r="K3395" t="s">
        <v>54</v>
      </c>
      <c r="L3395">
        <v>0.31</v>
      </c>
      <c r="M3395">
        <v>5097.6</v>
      </c>
      <c r="N3395">
        <v>0.1</v>
      </c>
      <c r="O3395">
        <v>5.34</v>
      </c>
    </row>
    <row r="3396" spans="1:15">
      <c r="A3396" t="str">
        <f>"600674"</f>
        <v>600674</v>
      </c>
      <c r="B3396" t="s">
        <v>3437</v>
      </c>
      <c r="C3396">
        <v>-2.19</v>
      </c>
      <c r="D3396">
        <v>14.31</v>
      </c>
      <c r="E3396" t="s">
        <v>16</v>
      </c>
      <c r="F3396" t="s">
        <v>16</v>
      </c>
      <c r="H3396">
        <v>-0.13</v>
      </c>
      <c r="I3396">
        <v>-8.09</v>
      </c>
      <c r="J3396">
        <v>-2.79</v>
      </c>
      <c r="L3396">
        <v>-0.21</v>
      </c>
      <c r="M3396">
        <v>191.99</v>
      </c>
      <c r="N3396">
        <v>0.01</v>
      </c>
      <c r="O3396">
        <v>3.09</v>
      </c>
    </row>
    <row r="3397" spans="1:15">
      <c r="A3397" t="str">
        <f>"600675"</f>
        <v>600675</v>
      </c>
      <c r="B3397" t="s">
        <v>3438</v>
      </c>
      <c r="C3397">
        <v>-1.77</v>
      </c>
      <c r="D3397">
        <v>2.22</v>
      </c>
      <c r="E3397" t="s">
        <v>16</v>
      </c>
      <c r="F3397" t="s">
        <v>16</v>
      </c>
      <c r="H3397">
        <v>0.45</v>
      </c>
      <c r="I3397">
        <v>-7.5</v>
      </c>
      <c r="J3397">
        <v>-1.33</v>
      </c>
      <c r="L3397">
        <v>-0.88</v>
      </c>
      <c r="M3397">
        <v>34.92</v>
      </c>
      <c r="N3397">
        <v>0.01</v>
      </c>
      <c r="O3397">
        <v>2.23</v>
      </c>
    </row>
    <row r="3398" spans="1:15">
      <c r="A3398" t="str">
        <f>"600676"</f>
        <v>600676</v>
      </c>
      <c r="B3398" t="s">
        <v>3439</v>
      </c>
      <c r="C3398">
        <v>-2.13</v>
      </c>
      <c r="D3398">
        <v>6.88</v>
      </c>
      <c r="E3398" t="s">
        <v>16</v>
      </c>
      <c r="F3398" t="s">
        <v>16</v>
      </c>
      <c r="H3398">
        <v>-0.28</v>
      </c>
      <c r="I3398">
        <v>8.35</v>
      </c>
      <c r="J3398">
        <v>-3.37</v>
      </c>
      <c r="K3398" t="s">
        <v>54</v>
      </c>
      <c r="L3398">
        <v>0</v>
      </c>
      <c r="M3398">
        <v>757.2</v>
      </c>
      <c r="N3398">
        <v>0.2</v>
      </c>
      <c r="O3398">
        <v>3.39</v>
      </c>
    </row>
    <row r="3399" spans="1:15">
      <c r="A3399" t="str">
        <f>"600678"</f>
        <v>600678</v>
      </c>
      <c r="B3399" t="s">
        <v>3440</v>
      </c>
      <c r="C3399">
        <v>3.76</v>
      </c>
      <c r="D3399">
        <v>6.63</v>
      </c>
      <c r="E3399" t="s">
        <v>16</v>
      </c>
      <c r="F3399" t="s">
        <v>16</v>
      </c>
      <c r="H3399">
        <v>0</v>
      </c>
      <c r="I3399">
        <v>2.79</v>
      </c>
      <c r="J3399">
        <v>-1.19</v>
      </c>
      <c r="K3399" t="s">
        <v>220</v>
      </c>
      <c r="L3399">
        <v>-1.72</v>
      </c>
      <c r="M3399">
        <v>546.61</v>
      </c>
      <c r="N3399">
        <v>0.31</v>
      </c>
      <c r="O3399">
        <v>0.22</v>
      </c>
    </row>
    <row r="3400" spans="1:15">
      <c r="A3400" t="str">
        <f>"600679"</f>
        <v>600679</v>
      </c>
      <c r="B3400" t="s">
        <v>3441</v>
      </c>
      <c r="C3400">
        <v>-2.06</v>
      </c>
      <c r="D3400">
        <v>9.02</v>
      </c>
      <c r="E3400" t="s">
        <v>16</v>
      </c>
      <c r="F3400" t="s">
        <v>16</v>
      </c>
      <c r="H3400">
        <v>-0.1</v>
      </c>
      <c r="I3400">
        <v>-16.71</v>
      </c>
      <c r="J3400">
        <v>-2.8</v>
      </c>
      <c r="L3400">
        <v>0.11</v>
      </c>
      <c r="M3400">
        <v>5.72</v>
      </c>
      <c r="N3400">
        <v>0</v>
      </c>
      <c r="O3400">
        <v>1.11</v>
      </c>
    </row>
    <row r="3401" spans="1:15">
      <c r="A3401" t="str">
        <f>"600681"</f>
        <v>600681</v>
      </c>
      <c r="B3401" t="s">
        <v>3442</v>
      </c>
      <c r="C3401">
        <v>-2.35</v>
      </c>
      <c r="D3401">
        <v>3.33</v>
      </c>
      <c r="E3401" t="s">
        <v>16</v>
      </c>
      <c r="F3401" t="s">
        <v>16</v>
      </c>
      <c r="H3401">
        <v>-0.59</v>
      </c>
      <c r="I3401">
        <v>-10.48</v>
      </c>
      <c r="J3401">
        <v>-2.06</v>
      </c>
      <c r="L3401">
        <v>-0.29</v>
      </c>
      <c r="M3401">
        <v>7.79</v>
      </c>
      <c r="N3401">
        <v>0</v>
      </c>
      <c r="O3401">
        <v>0.72</v>
      </c>
    </row>
    <row r="3402" spans="1:15">
      <c r="A3402" t="str">
        <f>"600682"</f>
        <v>600682</v>
      </c>
      <c r="B3402" t="s">
        <v>3443</v>
      </c>
      <c r="C3402">
        <v>0.51</v>
      </c>
      <c r="D3402">
        <v>5.9</v>
      </c>
      <c r="E3402" t="s">
        <v>16</v>
      </c>
      <c r="F3402" t="s">
        <v>16</v>
      </c>
      <c r="H3402">
        <v>0.34</v>
      </c>
      <c r="I3402">
        <v>0.85</v>
      </c>
      <c r="J3402">
        <v>-1.34</v>
      </c>
      <c r="L3402">
        <v>0.17</v>
      </c>
      <c r="M3402">
        <v>44.16</v>
      </c>
      <c r="N3402">
        <v>0.01</v>
      </c>
      <c r="O3402">
        <v>0.53</v>
      </c>
    </row>
    <row r="3403" spans="1:15">
      <c r="A3403" t="str">
        <f>"600683"</f>
        <v>600683</v>
      </c>
      <c r="B3403" t="s">
        <v>3444</v>
      </c>
      <c r="C3403">
        <v>7.41</v>
      </c>
      <c r="D3403">
        <v>13.63</v>
      </c>
      <c r="E3403" t="s">
        <v>16</v>
      </c>
      <c r="F3403" t="s">
        <v>16</v>
      </c>
      <c r="H3403">
        <v>-0.79</v>
      </c>
      <c r="I3403">
        <v>-9.5</v>
      </c>
      <c r="J3403">
        <v>-2.36</v>
      </c>
      <c r="L3403">
        <v>0.71</v>
      </c>
      <c r="M3403">
        <v>50.86</v>
      </c>
      <c r="N3403">
        <v>0.01</v>
      </c>
      <c r="O3403">
        <v>2.34</v>
      </c>
    </row>
    <row r="3404" spans="1:15">
      <c r="A3404" t="str">
        <f>"600684"</f>
        <v>600684</v>
      </c>
      <c r="B3404" t="s">
        <v>3445</v>
      </c>
      <c r="C3404">
        <v>-0.31</v>
      </c>
      <c r="D3404">
        <v>3.19</v>
      </c>
      <c r="E3404" t="s">
        <v>16</v>
      </c>
      <c r="F3404" t="s">
        <v>16</v>
      </c>
      <c r="H3404">
        <v>0</v>
      </c>
      <c r="I3404">
        <v>-8.86</v>
      </c>
      <c r="J3404">
        <v>-2.15</v>
      </c>
      <c r="L3404">
        <v>-0.31</v>
      </c>
      <c r="M3404">
        <v>29.48</v>
      </c>
      <c r="N3404">
        <v>0.02</v>
      </c>
      <c r="O3404">
        <v>1.16</v>
      </c>
    </row>
    <row r="3405" spans="1:15">
      <c r="A3405" t="str">
        <f>"600685"</f>
        <v>600685</v>
      </c>
      <c r="B3405" t="s">
        <v>3446</v>
      </c>
      <c r="C3405">
        <v>-1.77</v>
      </c>
      <c r="D3405">
        <v>26.67</v>
      </c>
      <c r="E3405" t="s">
        <v>16</v>
      </c>
      <c r="F3405" t="s">
        <v>16</v>
      </c>
      <c r="H3405">
        <v>0.04</v>
      </c>
      <c r="I3405">
        <v>-3.51</v>
      </c>
      <c r="J3405">
        <v>-2.52</v>
      </c>
      <c r="L3405">
        <v>-0.55</v>
      </c>
      <c r="M3405">
        <v>78.57</v>
      </c>
      <c r="N3405">
        <v>0.01</v>
      </c>
      <c r="O3405">
        <v>0.63</v>
      </c>
    </row>
    <row r="3406" spans="1:15">
      <c r="A3406" t="str">
        <f>"600686"</f>
        <v>600686</v>
      </c>
      <c r="B3406" t="s">
        <v>3447</v>
      </c>
      <c r="C3406">
        <v>-2.84</v>
      </c>
      <c r="D3406">
        <v>12.31</v>
      </c>
      <c r="E3406" t="s">
        <v>16</v>
      </c>
      <c r="F3406" t="s">
        <v>16</v>
      </c>
      <c r="H3406">
        <v>0</v>
      </c>
      <c r="I3406">
        <v>-2.69</v>
      </c>
      <c r="J3406">
        <v>-2.38</v>
      </c>
      <c r="L3406">
        <v>-0.55</v>
      </c>
      <c r="M3406">
        <v>19.03</v>
      </c>
      <c r="N3406">
        <v>0</v>
      </c>
      <c r="O3406">
        <v>0.54</v>
      </c>
    </row>
    <row r="3407" spans="1:15">
      <c r="A3407" t="str">
        <f>"600688"</f>
        <v>600688</v>
      </c>
      <c r="B3407" t="s">
        <v>3448</v>
      </c>
      <c r="C3407">
        <v>0.65</v>
      </c>
      <c r="D3407">
        <v>3.08</v>
      </c>
      <c r="E3407" t="s">
        <v>16</v>
      </c>
      <c r="F3407" t="s">
        <v>16</v>
      </c>
      <c r="H3407">
        <v>0</v>
      </c>
      <c r="I3407">
        <v>-8.88</v>
      </c>
      <c r="J3407">
        <v>-3.75</v>
      </c>
      <c r="L3407">
        <v>-0.98</v>
      </c>
      <c r="M3407">
        <v>255.7</v>
      </c>
      <c r="N3407">
        <v>0.05</v>
      </c>
      <c r="O3407">
        <v>0.75</v>
      </c>
    </row>
    <row r="3408" spans="1:15">
      <c r="A3408" t="str">
        <f>"600689"</f>
        <v>600689</v>
      </c>
      <c r="B3408" t="s">
        <v>3449</v>
      </c>
      <c r="C3408">
        <v>-1.47</v>
      </c>
      <c r="D3408">
        <v>10.71</v>
      </c>
      <c r="E3408" t="s">
        <v>16</v>
      </c>
      <c r="F3408" t="s">
        <v>16</v>
      </c>
      <c r="H3408">
        <v>0</v>
      </c>
      <c r="I3408">
        <v>-4.29</v>
      </c>
      <c r="J3408">
        <v>-1.29</v>
      </c>
      <c r="L3408">
        <v>-1.2</v>
      </c>
      <c r="M3408">
        <v>21.59</v>
      </c>
      <c r="N3408">
        <v>0.02</v>
      </c>
      <c r="O3408">
        <v>18.27</v>
      </c>
    </row>
    <row r="3409" spans="1:15">
      <c r="A3409" t="str">
        <f>"600690"</f>
        <v>600690</v>
      </c>
      <c r="B3409" t="s">
        <v>3450</v>
      </c>
      <c r="C3409">
        <v>-5.08</v>
      </c>
      <c r="D3409">
        <v>19.45</v>
      </c>
      <c r="E3409" t="s">
        <v>16</v>
      </c>
      <c r="F3409" t="s">
        <v>16</v>
      </c>
      <c r="H3409">
        <v>-0.76</v>
      </c>
      <c r="I3409">
        <v>-4.47</v>
      </c>
      <c r="J3409">
        <v>-4.94</v>
      </c>
      <c r="L3409">
        <v>-0.39</v>
      </c>
      <c r="M3409">
        <v>166.55</v>
      </c>
      <c r="N3409">
        <v>0</v>
      </c>
      <c r="O3409">
        <v>0.86</v>
      </c>
    </row>
    <row r="3410" spans="1:15">
      <c r="A3410" t="str">
        <f>"600691"</f>
        <v>600691</v>
      </c>
      <c r="B3410" t="s">
        <v>3451</v>
      </c>
      <c r="C3410">
        <v>-1.62</v>
      </c>
      <c r="D3410">
        <v>2.43</v>
      </c>
      <c r="E3410" t="s">
        <v>16</v>
      </c>
      <c r="F3410" t="s">
        <v>16</v>
      </c>
      <c r="H3410">
        <v>0</v>
      </c>
      <c r="I3410">
        <v>-8.3</v>
      </c>
      <c r="J3410">
        <v>-2.02</v>
      </c>
      <c r="L3410">
        <v>-0.81</v>
      </c>
      <c r="M3410">
        <v>125.34</v>
      </c>
      <c r="N3410">
        <v>0.04</v>
      </c>
      <c r="O3410">
        <v>12.85</v>
      </c>
    </row>
    <row r="3411" spans="1:15">
      <c r="A3411" t="str">
        <f>"600692"</f>
        <v>600692</v>
      </c>
      <c r="B3411" t="s">
        <v>3452</v>
      </c>
      <c r="C3411">
        <v>-1.48</v>
      </c>
      <c r="D3411">
        <v>5.99</v>
      </c>
      <c r="E3411" t="s">
        <v>16</v>
      </c>
      <c r="F3411" t="s">
        <v>16</v>
      </c>
      <c r="H3411">
        <v>0.17</v>
      </c>
      <c r="I3411">
        <v>-7.99</v>
      </c>
      <c r="J3411">
        <v>-1.64</v>
      </c>
      <c r="L3411">
        <v>-0.49</v>
      </c>
      <c r="M3411">
        <v>19</v>
      </c>
      <c r="N3411">
        <v>0.01</v>
      </c>
      <c r="O3411">
        <v>0.74</v>
      </c>
    </row>
    <row r="3412" spans="1:15">
      <c r="A3412" t="str">
        <f>"600693"</f>
        <v>600693</v>
      </c>
      <c r="B3412" t="s">
        <v>3453</v>
      </c>
      <c r="C3412">
        <v>-2.22</v>
      </c>
      <c r="D3412">
        <v>8.38</v>
      </c>
      <c r="E3412" t="s">
        <v>16</v>
      </c>
      <c r="F3412" t="s">
        <v>16</v>
      </c>
      <c r="H3412">
        <v>-0.11</v>
      </c>
      <c r="I3412">
        <v>-14.75</v>
      </c>
      <c r="J3412">
        <v>-2.9</v>
      </c>
      <c r="L3412">
        <v>0</v>
      </c>
      <c r="M3412">
        <v>194.54</v>
      </c>
      <c r="N3412">
        <v>0.06</v>
      </c>
      <c r="O3412">
        <v>1.33</v>
      </c>
    </row>
    <row r="3413" spans="1:15">
      <c r="A3413" t="str">
        <f>"600694"</f>
        <v>600694</v>
      </c>
      <c r="B3413" t="s">
        <v>3454</v>
      </c>
      <c r="C3413">
        <v>-1.12</v>
      </c>
      <c r="D3413">
        <v>14.12</v>
      </c>
      <c r="E3413" t="s">
        <v>16</v>
      </c>
      <c r="F3413" t="s">
        <v>16</v>
      </c>
      <c r="H3413">
        <v>-0.2</v>
      </c>
      <c r="I3413">
        <v>-1.94</v>
      </c>
      <c r="J3413">
        <v>-1.67</v>
      </c>
      <c r="L3413">
        <v>-0.7</v>
      </c>
      <c r="M3413">
        <v>24.5</v>
      </c>
      <c r="N3413">
        <v>0.01</v>
      </c>
      <c r="O3413">
        <v>2.79</v>
      </c>
    </row>
    <row r="3414" spans="1:15">
      <c r="A3414" t="str">
        <f>"600697"</f>
        <v>600697</v>
      </c>
      <c r="B3414" t="s">
        <v>3455</v>
      </c>
      <c r="C3414">
        <v>-1.44</v>
      </c>
      <c r="D3414">
        <v>10.25</v>
      </c>
      <c r="E3414" t="s">
        <v>16</v>
      </c>
      <c r="F3414" t="s">
        <v>16</v>
      </c>
      <c r="H3414">
        <v>0.29</v>
      </c>
      <c r="I3414">
        <v>-6.22</v>
      </c>
      <c r="J3414">
        <v>-1.54</v>
      </c>
      <c r="L3414">
        <v>-0.48</v>
      </c>
      <c r="M3414">
        <v>32.4</v>
      </c>
      <c r="N3414">
        <v>0.03</v>
      </c>
      <c r="O3414">
        <v>8.24</v>
      </c>
    </row>
    <row r="3415" spans="1:15">
      <c r="A3415" t="str">
        <f>"600698"</f>
        <v>600698</v>
      </c>
      <c r="B3415" t="s">
        <v>3456</v>
      </c>
      <c r="C3415">
        <v>0.16</v>
      </c>
      <c r="D3415">
        <v>6.45</v>
      </c>
      <c r="E3415" t="s">
        <v>16</v>
      </c>
      <c r="F3415" t="s">
        <v>16</v>
      </c>
      <c r="H3415">
        <v>0.31</v>
      </c>
      <c r="I3415">
        <v>1.9</v>
      </c>
      <c r="J3415">
        <v>-0.31</v>
      </c>
      <c r="L3415">
        <v>-0.93</v>
      </c>
      <c r="M3415">
        <v>47.53</v>
      </c>
      <c r="N3415">
        <v>0.02</v>
      </c>
      <c r="O3415">
        <v>1.21</v>
      </c>
    </row>
    <row r="3416" spans="1:15">
      <c r="A3416" t="str">
        <f>"600699"</f>
        <v>600699</v>
      </c>
      <c r="B3416" t="s">
        <v>3457</v>
      </c>
      <c r="C3416">
        <v>-0.68</v>
      </c>
      <c r="D3416">
        <v>24.67</v>
      </c>
      <c r="E3416" t="s">
        <v>16</v>
      </c>
      <c r="F3416" t="s">
        <v>16</v>
      </c>
      <c r="H3416">
        <v>-0.07</v>
      </c>
      <c r="I3416">
        <v>-7.01</v>
      </c>
      <c r="J3416">
        <v>-1.79</v>
      </c>
      <c r="L3416">
        <v>-1.13</v>
      </c>
      <c r="M3416">
        <v>938.78</v>
      </c>
      <c r="N3416">
        <v>0.05</v>
      </c>
      <c r="O3416">
        <v>0.69</v>
      </c>
    </row>
    <row r="3417" spans="1:15">
      <c r="A3417" t="str">
        <f>"600702"</f>
        <v>600702</v>
      </c>
      <c r="B3417" t="s">
        <v>3458</v>
      </c>
      <c r="C3417">
        <v>0.26</v>
      </c>
      <c r="D3417">
        <v>38.18</v>
      </c>
      <c r="E3417" t="s">
        <v>16</v>
      </c>
      <c r="F3417" t="s">
        <v>16</v>
      </c>
      <c r="H3417">
        <v>0.13</v>
      </c>
      <c r="I3417">
        <v>-5.21</v>
      </c>
      <c r="J3417">
        <v>-1.6</v>
      </c>
      <c r="L3417">
        <v>-0.21</v>
      </c>
      <c r="M3417">
        <v>64.22</v>
      </c>
      <c r="N3417">
        <v>0.01</v>
      </c>
      <c r="O3417">
        <v>1.3</v>
      </c>
    </row>
    <row r="3418" spans="1:15">
      <c r="A3418" t="str">
        <f>"600703"</f>
        <v>600703</v>
      </c>
      <c r="B3418" t="s">
        <v>3459</v>
      </c>
      <c r="C3418">
        <v>2.21</v>
      </c>
      <c r="D3418">
        <v>17.54</v>
      </c>
      <c r="E3418" t="s">
        <v>16</v>
      </c>
      <c r="F3418" t="s">
        <v>16</v>
      </c>
      <c r="H3418">
        <v>-0.1</v>
      </c>
      <c r="I3418">
        <v>2.81</v>
      </c>
      <c r="J3418">
        <v>-2.56</v>
      </c>
      <c r="K3418" t="s">
        <v>57</v>
      </c>
      <c r="L3418">
        <v>3.21</v>
      </c>
      <c r="M3418">
        <v>8270.57</v>
      </c>
      <c r="N3418">
        <v>0.16</v>
      </c>
      <c r="O3418">
        <v>0.81</v>
      </c>
    </row>
    <row r="3419" spans="1:15">
      <c r="A3419" t="str">
        <f>"600704"</f>
        <v>600704</v>
      </c>
      <c r="B3419" t="s">
        <v>3460</v>
      </c>
      <c r="C3419">
        <v>-0.63</v>
      </c>
      <c r="D3419">
        <v>4.72</v>
      </c>
      <c r="E3419" t="s">
        <v>16</v>
      </c>
      <c r="F3419" t="s">
        <v>16</v>
      </c>
      <c r="H3419">
        <v>0.21</v>
      </c>
      <c r="I3419">
        <v>-1.46</v>
      </c>
      <c r="J3419">
        <v>-0.84</v>
      </c>
      <c r="L3419">
        <v>-0.42</v>
      </c>
      <c r="M3419">
        <v>43.85</v>
      </c>
      <c r="N3419">
        <v>0</v>
      </c>
      <c r="O3419">
        <v>0.35</v>
      </c>
    </row>
    <row r="3420" spans="1:15">
      <c r="A3420" t="str">
        <f>"600706"</f>
        <v>600706</v>
      </c>
      <c r="B3420" t="s">
        <v>3461</v>
      </c>
      <c r="C3420">
        <v>-1.23</v>
      </c>
      <c r="D3420">
        <v>7.22</v>
      </c>
      <c r="E3420" t="s">
        <v>16</v>
      </c>
      <c r="F3420" t="s">
        <v>16</v>
      </c>
      <c r="H3420">
        <v>0.14</v>
      </c>
      <c r="I3420">
        <v>-9.18</v>
      </c>
      <c r="J3420">
        <v>-1.9</v>
      </c>
      <c r="L3420">
        <v>-0.82</v>
      </c>
      <c r="M3420">
        <v>9.57</v>
      </c>
      <c r="N3420">
        <v>0.01</v>
      </c>
      <c r="O3420">
        <v>0.97</v>
      </c>
    </row>
    <row r="3421" spans="1:15">
      <c r="A3421" t="str">
        <f>"600707"</f>
        <v>600707</v>
      </c>
      <c r="B3421" t="s">
        <v>3462</v>
      </c>
      <c r="C3421">
        <v>-7.5</v>
      </c>
      <c r="D3421">
        <v>11.71</v>
      </c>
      <c r="E3421" t="s">
        <v>16</v>
      </c>
      <c r="F3421" t="s">
        <v>16</v>
      </c>
      <c r="H3421">
        <v>-0.16</v>
      </c>
      <c r="I3421">
        <v>6.94</v>
      </c>
      <c r="J3421">
        <v>-6.02</v>
      </c>
      <c r="K3421" t="s">
        <v>54</v>
      </c>
      <c r="L3421">
        <v>-2.53</v>
      </c>
      <c r="M3421">
        <v>7984.12</v>
      </c>
      <c r="N3421">
        <v>0.5</v>
      </c>
      <c r="O3421">
        <v>1.36</v>
      </c>
    </row>
    <row r="3422" spans="1:15">
      <c r="A3422" t="str">
        <f>"600708"</f>
        <v>600708</v>
      </c>
      <c r="B3422" t="s">
        <v>3463</v>
      </c>
      <c r="C3422">
        <v>-3.06</v>
      </c>
      <c r="D3422">
        <v>2.85</v>
      </c>
      <c r="E3422" t="s">
        <v>16</v>
      </c>
      <c r="F3422" t="s">
        <v>16</v>
      </c>
      <c r="H3422">
        <v>0</v>
      </c>
      <c r="I3422">
        <v>-8.65</v>
      </c>
      <c r="J3422">
        <v>-10.66</v>
      </c>
      <c r="L3422">
        <v>0</v>
      </c>
      <c r="M3422">
        <v>30.31</v>
      </c>
      <c r="N3422">
        <v>0.01</v>
      </c>
      <c r="O3422">
        <v>19.83</v>
      </c>
    </row>
    <row r="3423" spans="1:15">
      <c r="A3423" t="str">
        <f>"600710"</f>
        <v>600710</v>
      </c>
      <c r="B3423" t="s">
        <v>3464</v>
      </c>
      <c r="C3423">
        <v>-0.75</v>
      </c>
      <c r="D3423">
        <v>10.56</v>
      </c>
      <c r="E3423" t="s">
        <v>16</v>
      </c>
      <c r="F3423" t="s">
        <v>16</v>
      </c>
      <c r="H3423">
        <v>-0.08</v>
      </c>
      <c r="I3423">
        <v>-3.47</v>
      </c>
      <c r="J3423">
        <v>-2.13</v>
      </c>
      <c r="L3423">
        <v>0</v>
      </c>
      <c r="M3423">
        <v>45.75</v>
      </c>
      <c r="N3423">
        <v>0.01</v>
      </c>
      <c r="O3423">
        <v>1.89</v>
      </c>
    </row>
    <row r="3424" spans="1:15">
      <c r="A3424" t="str">
        <f>"600711"</f>
        <v>600711</v>
      </c>
      <c r="B3424" t="s">
        <v>3465</v>
      </c>
      <c r="C3424">
        <v>-1.91</v>
      </c>
      <c r="D3424">
        <v>12.83</v>
      </c>
      <c r="E3424" t="s">
        <v>16</v>
      </c>
      <c r="F3424" t="s">
        <v>16</v>
      </c>
      <c r="H3424">
        <v>-0.38</v>
      </c>
      <c r="I3424">
        <v>5.34</v>
      </c>
      <c r="J3424">
        <v>-4.61</v>
      </c>
      <c r="L3424">
        <v>-0.84</v>
      </c>
      <c r="M3424">
        <v>450.71</v>
      </c>
      <c r="N3424">
        <v>0.01</v>
      </c>
      <c r="O3424">
        <v>1.29</v>
      </c>
    </row>
    <row r="3425" spans="1:15">
      <c r="A3425" t="str">
        <f>"600712"</f>
        <v>600712</v>
      </c>
      <c r="B3425" t="s">
        <v>3466</v>
      </c>
      <c r="C3425">
        <v>-0.99</v>
      </c>
      <c r="D3425">
        <v>5</v>
      </c>
      <c r="E3425" t="s">
        <v>16</v>
      </c>
      <c r="F3425" t="s">
        <v>16</v>
      </c>
      <c r="H3425">
        <v>-0.19</v>
      </c>
      <c r="I3425">
        <v>-11.66</v>
      </c>
      <c r="J3425">
        <v>-1.38</v>
      </c>
      <c r="L3425">
        <v>-0.99</v>
      </c>
      <c r="M3425">
        <v>7.45</v>
      </c>
      <c r="N3425">
        <v>0</v>
      </c>
      <c r="O3425" t="s">
        <v>16</v>
      </c>
    </row>
    <row r="3426" spans="1:15">
      <c r="A3426" t="str">
        <f>"600713"</f>
        <v>600713</v>
      </c>
      <c r="B3426" t="s">
        <v>3467</v>
      </c>
      <c r="C3426">
        <v>0.2</v>
      </c>
      <c r="D3426">
        <v>4.98</v>
      </c>
      <c r="E3426" t="s">
        <v>16</v>
      </c>
      <c r="F3426" t="s">
        <v>16</v>
      </c>
      <c r="H3426">
        <v>0</v>
      </c>
      <c r="I3426">
        <v>0.2</v>
      </c>
      <c r="J3426">
        <v>-0.8</v>
      </c>
      <c r="L3426">
        <v>0</v>
      </c>
      <c r="M3426">
        <v>1.59</v>
      </c>
      <c r="N3426">
        <v>0</v>
      </c>
      <c r="O3426">
        <v>0.33</v>
      </c>
    </row>
    <row r="3427" spans="1:15">
      <c r="A3427" t="str">
        <f>"600714"</f>
        <v>600714</v>
      </c>
      <c r="B3427" t="s">
        <v>3468</v>
      </c>
      <c r="C3427">
        <v>-7.45</v>
      </c>
      <c r="D3427">
        <v>25.09</v>
      </c>
      <c r="E3427" t="s">
        <v>16</v>
      </c>
      <c r="F3427" t="s">
        <v>16</v>
      </c>
      <c r="H3427">
        <v>0.04</v>
      </c>
      <c r="I3427">
        <v>-16.12</v>
      </c>
      <c r="J3427">
        <v>-5.82</v>
      </c>
      <c r="L3427">
        <v>-1.73</v>
      </c>
      <c r="M3427">
        <v>673.99</v>
      </c>
      <c r="N3427">
        <v>0.14</v>
      </c>
      <c r="O3427">
        <v>4.32</v>
      </c>
    </row>
    <row r="3428" spans="1:15">
      <c r="A3428" t="str">
        <f>"600715"</f>
        <v>600715</v>
      </c>
      <c r="B3428" t="s">
        <v>3469</v>
      </c>
      <c r="C3428">
        <v>-3.03</v>
      </c>
      <c r="D3428">
        <v>1.6</v>
      </c>
      <c r="E3428" t="s">
        <v>16</v>
      </c>
      <c r="F3428" t="s">
        <v>16</v>
      </c>
      <c r="H3428">
        <v>-0.61</v>
      </c>
      <c r="I3428">
        <v>-13.98</v>
      </c>
      <c r="J3428">
        <v>-4.19</v>
      </c>
      <c r="L3428">
        <v>-0.61</v>
      </c>
      <c r="M3428">
        <v>9.05</v>
      </c>
      <c r="N3428">
        <v>0</v>
      </c>
      <c r="O3428">
        <v>23.99</v>
      </c>
    </row>
    <row r="3429" spans="1:15">
      <c r="A3429" t="str">
        <f>"600716"</f>
        <v>600716</v>
      </c>
      <c r="B3429" t="s">
        <v>3470</v>
      </c>
      <c r="C3429">
        <v>1.36</v>
      </c>
      <c r="D3429">
        <v>3.73</v>
      </c>
      <c r="E3429" t="s">
        <v>16</v>
      </c>
      <c r="F3429" t="s">
        <v>16</v>
      </c>
      <c r="H3429">
        <v>0.27</v>
      </c>
      <c r="I3429">
        <v>3.61</v>
      </c>
      <c r="J3429">
        <v>-2.61</v>
      </c>
      <c r="L3429">
        <v>0</v>
      </c>
      <c r="M3429">
        <v>5.7</v>
      </c>
      <c r="N3429">
        <v>0</v>
      </c>
      <c r="O3429">
        <v>1.38</v>
      </c>
    </row>
    <row r="3430" spans="1:15">
      <c r="A3430" t="str">
        <f>"600717"</f>
        <v>600717</v>
      </c>
      <c r="B3430" t="s">
        <v>3471</v>
      </c>
      <c r="C3430">
        <v>0</v>
      </c>
      <c r="D3430">
        <v>4.21</v>
      </c>
      <c r="E3430" t="s">
        <v>16</v>
      </c>
      <c r="F3430" t="s">
        <v>16</v>
      </c>
      <c r="H3430">
        <v>0</v>
      </c>
      <c r="I3430">
        <v>-2.77</v>
      </c>
      <c r="J3430" t="s">
        <v>16</v>
      </c>
      <c r="L3430" t="s">
        <v>16</v>
      </c>
      <c r="M3430">
        <v>0</v>
      </c>
      <c r="N3430" t="s">
        <v>16</v>
      </c>
      <c r="O3430" t="s">
        <v>16</v>
      </c>
    </row>
    <row r="3431" spans="1:15">
      <c r="A3431" t="str">
        <f>"600718"</f>
        <v>600718</v>
      </c>
      <c r="B3431" t="s">
        <v>3472</v>
      </c>
      <c r="C3431">
        <v>-0.64</v>
      </c>
      <c r="D3431">
        <v>7.76</v>
      </c>
      <c r="E3431" t="s">
        <v>16</v>
      </c>
      <c r="F3431" t="s">
        <v>16</v>
      </c>
      <c r="H3431">
        <v>-0.38</v>
      </c>
      <c r="I3431">
        <v>-3.24</v>
      </c>
      <c r="J3431">
        <v>-1.4</v>
      </c>
      <c r="L3431">
        <v>-0.38</v>
      </c>
      <c r="M3431">
        <v>45.44</v>
      </c>
      <c r="N3431">
        <v>0.01</v>
      </c>
      <c r="O3431">
        <v>2.92</v>
      </c>
    </row>
    <row r="3432" spans="1:15">
      <c r="A3432" t="str">
        <f>"600719"</f>
        <v>600719</v>
      </c>
      <c r="B3432" t="s">
        <v>3473</v>
      </c>
      <c r="C3432">
        <v>2.06</v>
      </c>
      <c r="D3432">
        <v>8.92</v>
      </c>
      <c r="E3432" t="s">
        <v>16</v>
      </c>
      <c r="F3432" t="s">
        <v>16</v>
      </c>
      <c r="H3432">
        <v>0.11</v>
      </c>
      <c r="I3432">
        <v>-0.56</v>
      </c>
      <c r="J3432">
        <v>-2.51</v>
      </c>
      <c r="L3432">
        <v>0</v>
      </c>
      <c r="M3432">
        <v>63.8</v>
      </c>
      <c r="N3432">
        <v>0.03</v>
      </c>
      <c r="O3432">
        <v>0.99</v>
      </c>
    </row>
    <row r="3433" spans="1:15">
      <c r="A3433" t="str">
        <f>"600720"</f>
        <v>600720</v>
      </c>
      <c r="B3433" t="s">
        <v>3474</v>
      </c>
      <c r="C3433">
        <v>-2.76</v>
      </c>
      <c r="D3433">
        <v>5.28</v>
      </c>
      <c r="E3433" t="s">
        <v>16</v>
      </c>
      <c r="F3433" t="s">
        <v>16</v>
      </c>
      <c r="H3433">
        <v>0.19</v>
      </c>
      <c r="I3433">
        <v>-10.05</v>
      </c>
      <c r="J3433">
        <v>-2.4</v>
      </c>
      <c r="L3433">
        <v>-0.55</v>
      </c>
      <c r="M3433">
        <v>35.69</v>
      </c>
      <c r="N3433">
        <v>0.01</v>
      </c>
      <c r="O3433">
        <v>1.68</v>
      </c>
    </row>
    <row r="3434" spans="1:15">
      <c r="A3434" t="str">
        <f>"600721"</f>
        <v>600721</v>
      </c>
      <c r="B3434" t="s">
        <v>3475</v>
      </c>
      <c r="C3434">
        <v>-0.56</v>
      </c>
      <c r="D3434">
        <v>7.11</v>
      </c>
      <c r="E3434" t="s">
        <v>16</v>
      </c>
      <c r="F3434" t="s">
        <v>16</v>
      </c>
      <c r="H3434">
        <v>0</v>
      </c>
      <c r="I3434">
        <v>0.14</v>
      </c>
      <c r="J3434">
        <v>-1.66</v>
      </c>
      <c r="L3434">
        <v>-0.98</v>
      </c>
      <c r="M3434">
        <v>57.06</v>
      </c>
      <c r="N3434">
        <v>0.02</v>
      </c>
      <c r="O3434">
        <v>1.62</v>
      </c>
    </row>
    <row r="3435" spans="1:15">
      <c r="A3435" t="str">
        <f>"600722"</f>
        <v>600722</v>
      </c>
      <c r="B3435" t="s">
        <v>3476</v>
      </c>
      <c r="C3435">
        <v>-2.37</v>
      </c>
      <c r="D3435">
        <v>8.66</v>
      </c>
      <c r="E3435" t="s">
        <v>16</v>
      </c>
      <c r="F3435" t="s">
        <v>16</v>
      </c>
      <c r="H3435">
        <v>-0.22</v>
      </c>
      <c r="I3435">
        <v>-14.68</v>
      </c>
      <c r="J3435">
        <v>-2.7</v>
      </c>
      <c r="L3435">
        <v>0.34</v>
      </c>
      <c r="M3435">
        <v>500.71</v>
      </c>
      <c r="N3435">
        <v>0.19</v>
      </c>
      <c r="O3435">
        <v>1.87</v>
      </c>
    </row>
    <row r="3436" spans="1:15">
      <c r="A3436" t="str">
        <f>"600724"</f>
        <v>600724</v>
      </c>
      <c r="B3436" t="s">
        <v>3477</v>
      </c>
      <c r="C3436">
        <v>-3.46</v>
      </c>
      <c r="D3436">
        <v>6.14</v>
      </c>
      <c r="E3436" t="s">
        <v>16</v>
      </c>
      <c r="F3436" t="s">
        <v>16</v>
      </c>
      <c r="H3436">
        <v>0.16</v>
      </c>
      <c r="I3436">
        <v>-4.66</v>
      </c>
      <c r="J3436">
        <v>-3.15</v>
      </c>
      <c r="L3436">
        <v>-0.63</v>
      </c>
      <c r="M3436">
        <v>8.91</v>
      </c>
      <c r="N3436">
        <v>0</v>
      </c>
      <c r="O3436">
        <v>0.53</v>
      </c>
    </row>
    <row r="3437" spans="1:15">
      <c r="A3437" t="str">
        <f>"600725"</f>
        <v>600725</v>
      </c>
      <c r="B3437" t="s">
        <v>3478</v>
      </c>
      <c r="C3437">
        <v>-3.42</v>
      </c>
      <c r="D3437">
        <v>3.39</v>
      </c>
      <c r="E3437" t="s">
        <v>16</v>
      </c>
      <c r="F3437" t="s">
        <v>16</v>
      </c>
      <c r="H3437">
        <v>0</v>
      </c>
      <c r="I3437">
        <v>-16.09</v>
      </c>
      <c r="J3437">
        <v>-3.14</v>
      </c>
      <c r="L3437">
        <v>-0.28</v>
      </c>
      <c r="M3437">
        <v>33.08</v>
      </c>
      <c r="N3437">
        <v>0.01</v>
      </c>
      <c r="O3437">
        <v>0.94</v>
      </c>
    </row>
    <row r="3438" spans="1:15">
      <c r="A3438" t="str">
        <f>"600726"</f>
        <v>600726</v>
      </c>
      <c r="B3438" t="s">
        <v>3479</v>
      </c>
      <c r="C3438">
        <v>-5.06</v>
      </c>
      <c r="D3438">
        <v>7.88</v>
      </c>
      <c r="E3438" t="s">
        <v>16</v>
      </c>
      <c r="F3438" t="s">
        <v>16</v>
      </c>
      <c r="H3438">
        <v>-0.12</v>
      </c>
      <c r="I3438">
        <v>-24.16</v>
      </c>
      <c r="J3438">
        <v>-4.48</v>
      </c>
      <c r="L3438">
        <v>-0.96</v>
      </c>
      <c r="M3438">
        <v>1389.1</v>
      </c>
      <c r="N3438">
        <v>0.16</v>
      </c>
      <c r="O3438">
        <v>1.5</v>
      </c>
    </row>
    <row r="3439" spans="1:15">
      <c r="A3439" t="str">
        <f>"600727"</f>
        <v>600727</v>
      </c>
      <c r="B3439" t="s">
        <v>3480</v>
      </c>
      <c r="C3439">
        <v>-1.62</v>
      </c>
      <c r="D3439">
        <v>7.3</v>
      </c>
      <c r="E3439" t="s">
        <v>16</v>
      </c>
      <c r="F3439" t="s">
        <v>16</v>
      </c>
      <c r="H3439">
        <v>0</v>
      </c>
      <c r="I3439">
        <v>-11.94</v>
      </c>
      <c r="J3439">
        <v>-7.48</v>
      </c>
      <c r="L3439">
        <v>-0.27</v>
      </c>
      <c r="M3439">
        <v>67.19</v>
      </c>
      <c r="N3439">
        <v>0.03</v>
      </c>
      <c r="O3439">
        <v>2.22</v>
      </c>
    </row>
    <row r="3440" spans="1:15">
      <c r="A3440" t="str">
        <f>"600728"</f>
        <v>600728</v>
      </c>
      <c r="B3440" t="s">
        <v>3481</v>
      </c>
      <c r="C3440">
        <v>1.53</v>
      </c>
      <c r="D3440">
        <v>4.65</v>
      </c>
      <c r="E3440" t="s">
        <v>16</v>
      </c>
      <c r="F3440" t="s">
        <v>16</v>
      </c>
      <c r="H3440">
        <v>0</v>
      </c>
      <c r="I3440">
        <v>-0.64</v>
      </c>
      <c r="J3440">
        <v>-0.21</v>
      </c>
      <c r="L3440">
        <v>-0.44</v>
      </c>
      <c r="M3440">
        <v>16.37</v>
      </c>
      <c r="N3440">
        <v>0</v>
      </c>
      <c r="O3440">
        <v>0.43</v>
      </c>
    </row>
    <row r="3441" spans="1:15">
      <c r="A3441" t="str">
        <f>"600729"</f>
        <v>600729</v>
      </c>
      <c r="B3441" t="s">
        <v>3482</v>
      </c>
      <c r="C3441">
        <v>-1.65</v>
      </c>
      <c r="D3441">
        <v>19.64</v>
      </c>
      <c r="E3441" t="s">
        <v>16</v>
      </c>
      <c r="F3441" t="s">
        <v>16</v>
      </c>
      <c r="H3441">
        <v>-0.09</v>
      </c>
      <c r="I3441">
        <v>1.66</v>
      </c>
      <c r="J3441">
        <v>-1.6</v>
      </c>
      <c r="L3441">
        <v>-0.15</v>
      </c>
      <c r="M3441">
        <v>31.9</v>
      </c>
      <c r="N3441">
        <v>0.01</v>
      </c>
      <c r="O3441">
        <v>4.44</v>
      </c>
    </row>
    <row r="3442" spans="1:15">
      <c r="A3442" t="str">
        <f>"600730"</f>
        <v>600730</v>
      </c>
      <c r="B3442" t="s">
        <v>3483</v>
      </c>
      <c r="C3442">
        <v>-3.8</v>
      </c>
      <c r="D3442">
        <v>11.63</v>
      </c>
      <c r="E3442" t="s">
        <v>16</v>
      </c>
      <c r="F3442" t="s">
        <v>16</v>
      </c>
      <c r="H3442">
        <v>-0.25</v>
      </c>
      <c r="I3442">
        <v>-18.95</v>
      </c>
      <c r="J3442">
        <v>-4.04</v>
      </c>
      <c r="L3442">
        <v>0.08</v>
      </c>
      <c r="M3442">
        <v>198.44</v>
      </c>
      <c r="N3442">
        <v>0.03</v>
      </c>
      <c r="O3442">
        <v>0.32</v>
      </c>
    </row>
    <row r="3443" spans="1:15">
      <c r="A3443" t="str">
        <f>"600731"</f>
        <v>600731</v>
      </c>
      <c r="B3443" t="s">
        <v>3484</v>
      </c>
      <c r="C3443">
        <v>-1.11</v>
      </c>
      <c r="D3443">
        <v>5.35</v>
      </c>
      <c r="E3443" t="s">
        <v>16</v>
      </c>
      <c r="F3443" t="s">
        <v>16</v>
      </c>
      <c r="H3443">
        <v>0</v>
      </c>
      <c r="I3443">
        <v>-2.9</v>
      </c>
      <c r="J3443">
        <v>-1.29</v>
      </c>
      <c r="L3443">
        <v>-0.18</v>
      </c>
      <c r="M3443">
        <v>1.13</v>
      </c>
      <c r="N3443">
        <v>0</v>
      </c>
      <c r="O3443">
        <v>0.14</v>
      </c>
    </row>
    <row r="3444" spans="1:15">
      <c r="A3444" t="str">
        <f>"600732"</f>
        <v>600732</v>
      </c>
      <c r="B3444" t="s">
        <v>3485</v>
      </c>
      <c r="C3444">
        <v>-0.55</v>
      </c>
      <c r="D3444">
        <v>12.58</v>
      </c>
      <c r="E3444" t="s">
        <v>16</v>
      </c>
      <c r="F3444" t="s">
        <v>16</v>
      </c>
      <c r="H3444">
        <v>0</v>
      </c>
      <c r="I3444">
        <v>9.3</v>
      </c>
      <c r="J3444">
        <v>-0.79</v>
      </c>
      <c r="L3444">
        <v>-0.55</v>
      </c>
      <c r="M3444">
        <v>237.38</v>
      </c>
      <c r="N3444">
        <v>0.01</v>
      </c>
      <c r="O3444">
        <v>0.71</v>
      </c>
    </row>
    <row r="3445" spans="1:15">
      <c r="A3445" t="str">
        <f>"600733"</f>
        <v>600733</v>
      </c>
      <c r="B3445" t="s">
        <v>3486</v>
      </c>
      <c r="C3445">
        <v>-1.38</v>
      </c>
      <c r="D3445">
        <v>5.7</v>
      </c>
      <c r="E3445" t="s">
        <v>16</v>
      </c>
      <c r="F3445" t="s">
        <v>16</v>
      </c>
      <c r="H3445">
        <v>-0.51</v>
      </c>
      <c r="I3445">
        <v>-3.39</v>
      </c>
      <c r="J3445">
        <v>-1.55</v>
      </c>
      <c r="L3445">
        <v>-0.17</v>
      </c>
      <c r="M3445">
        <v>157.06</v>
      </c>
      <c r="N3445">
        <v>0.01</v>
      </c>
      <c r="O3445">
        <v>1.2</v>
      </c>
    </row>
    <row r="3446" spans="1:15">
      <c r="A3446" t="str">
        <f>"600734"</f>
        <v>600734</v>
      </c>
      <c r="B3446" t="s">
        <v>3487</v>
      </c>
      <c r="C3446">
        <v>-4.98</v>
      </c>
      <c r="D3446">
        <v>1.91</v>
      </c>
      <c r="E3446" t="s">
        <v>16</v>
      </c>
      <c r="F3446" t="s">
        <v>16</v>
      </c>
      <c r="H3446">
        <v>0</v>
      </c>
      <c r="I3446">
        <v>-8.61</v>
      </c>
      <c r="J3446">
        <v>-2.55</v>
      </c>
      <c r="L3446">
        <v>-2.99</v>
      </c>
      <c r="M3446">
        <v>556.76</v>
      </c>
      <c r="N3446">
        <v>0.18</v>
      </c>
      <c r="O3446">
        <v>2.2</v>
      </c>
    </row>
    <row r="3447" spans="1:15">
      <c r="A3447" t="str">
        <f>"600735"</f>
        <v>600735</v>
      </c>
      <c r="B3447" t="s">
        <v>3488</v>
      </c>
      <c r="C3447">
        <v>0.16</v>
      </c>
      <c r="D3447">
        <v>6.37</v>
      </c>
      <c r="E3447" t="s">
        <v>16</v>
      </c>
      <c r="F3447" t="s">
        <v>16</v>
      </c>
      <c r="H3447">
        <v>0.16</v>
      </c>
      <c r="I3447">
        <v>0.95</v>
      </c>
      <c r="J3447">
        <v>-1.39</v>
      </c>
      <c r="L3447">
        <v>-0.79</v>
      </c>
      <c r="M3447">
        <v>41.02</v>
      </c>
      <c r="N3447">
        <v>0.03</v>
      </c>
      <c r="O3447">
        <v>0.75</v>
      </c>
    </row>
    <row r="3448" spans="1:15">
      <c r="A3448" t="str">
        <f>"600736"</f>
        <v>600736</v>
      </c>
      <c r="B3448" t="s">
        <v>3489</v>
      </c>
      <c r="C3448">
        <v>-0.79</v>
      </c>
      <c r="D3448">
        <v>7.51</v>
      </c>
      <c r="E3448" t="s">
        <v>16</v>
      </c>
      <c r="F3448" t="s">
        <v>16</v>
      </c>
      <c r="H3448">
        <v>0.13</v>
      </c>
      <c r="I3448">
        <v>5.92</v>
      </c>
      <c r="J3448">
        <v>-1.57</v>
      </c>
      <c r="L3448">
        <v>-0.79</v>
      </c>
      <c r="M3448">
        <v>387.14</v>
      </c>
      <c r="N3448">
        <v>0.08</v>
      </c>
      <c r="O3448">
        <v>2.58</v>
      </c>
    </row>
    <row r="3449" spans="1:15">
      <c r="A3449" t="str">
        <f>"600737"</f>
        <v>600737</v>
      </c>
      <c r="B3449" t="s">
        <v>3490</v>
      </c>
      <c r="C3449">
        <v>-3.54</v>
      </c>
      <c r="D3449">
        <v>12.8</v>
      </c>
      <c r="E3449" t="s">
        <v>16</v>
      </c>
      <c r="F3449" t="s">
        <v>16</v>
      </c>
      <c r="H3449">
        <v>0</v>
      </c>
      <c r="I3449">
        <v>-12.93</v>
      </c>
      <c r="J3449">
        <v>-3.47</v>
      </c>
      <c r="L3449">
        <v>-0.3</v>
      </c>
      <c r="M3449">
        <v>82.71</v>
      </c>
      <c r="N3449">
        <v>0.01</v>
      </c>
      <c r="O3449">
        <v>0.7</v>
      </c>
    </row>
    <row r="3450" spans="1:15">
      <c r="A3450" t="str">
        <f>"600738"</f>
        <v>600738</v>
      </c>
      <c r="B3450" t="s">
        <v>3491</v>
      </c>
      <c r="C3450">
        <v>-1.02</v>
      </c>
      <c r="D3450">
        <v>3.87</v>
      </c>
      <c r="E3450" t="s">
        <v>16</v>
      </c>
      <c r="F3450" t="s">
        <v>16</v>
      </c>
      <c r="H3450">
        <v>0.26</v>
      </c>
      <c r="I3450">
        <v>-4.68</v>
      </c>
      <c r="J3450">
        <v>-1.28</v>
      </c>
      <c r="L3450">
        <v>-0.77</v>
      </c>
      <c r="M3450">
        <v>19.52</v>
      </c>
      <c r="N3450">
        <v>0.01</v>
      </c>
      <c r="O3450">
        <v>3.57</v>
      </c>
    </row>
    <row r="3451" spans="1:15">
      <c r="A3451" t="str">
        <f>"600739"</f>
        <v>600739</v>
      </c>
      <c r="B3451" t="s">
        <v>3492</v>
      </c>
      <c r="C3451">
        <v>-1.46</v>
      </c>
      <c r="D3451">
        <v>10.09</v>
      </c>
      <c r="E3451" t="s">
        <v>16</v>
      </c>
      <c r="F3451" t="s">
        <v>16</v>
      </c>
      <c r="H3451">
        <v>0.2</v>
      </c>
      <c r="I3451">
        <v>-2.13</v>
      </c>
      <c r="J3451">
        <v>-1.56</v>
      </c>
      <c r="L3451">
        <v>0.1</v>
      </c>
      <c r="M3451">
        <v>2.87</v>
      </c>
      <c r="N3451">
        <v>0</v>
      </c>
      <c r="O3451">
        <v>0.27</v>
      </c>
    </row>
    <row r="3452" spans="1:15">
      <c r="A3452" t="str">
        <f>"600740"</f>
        <v>600740</v>
      </c>
      <c r="B3452" t="s">
        <v>3493</v>
      </c>
      <c r="C3452">
        <v>-2.82</v>
      </c>
      <c r="D3452">
        <v>3.44</v>
      </c>
      <c r="E3452" t="s">
        <v>16</v>
      </c>
      <c r="F3452" t="s">
        <v>16</v>
      </c>
      <c r="H3452">
        <v>0</v>
      </c>
      <c r="I3452">
        <v>-16.71</v>
      </c>
      <c r="J3452">
        <v>-3.37</v>
      </c>
      <c r="L3452">
        <v>0.56</v>
      </c>
      <c r="M3452">
        <v>25.92</v>
      </c>
      <c r="N3452">
        <v>0.01</v>
      </c>
      <c r="O3452">
        <v>0.45</v>
      </c>
    </row>
    <row r="3453" spans="1:15">
      <c r="A3453" t="str">
        <f>"600741"</f>
        <v>600741</v>
      </c>
      <c r="B3453" t="s">
        <v>3494</v>
      </c>
      <c r="C3453">
        <v>0.18</v>
      </c>
      <c r="D3453">
        <v>16.27</v>
      </c>
      <c r="E3453" t="s">
        <v>16</v>
      </c>
      <c r="F3453" t="s">
        <v>16</v>
      </c>
      <c r="H3453">
        <v>-0.36</v>
      </c>
      <c r="I3453">
        <v>-3.33</v>
      </c>
      <c r="J3453">
        <v>-0.55</v>
      </c>
      <c r="L3453">
        <v>-0.43</v>
      </c>
      <c r="M3453">
        <v>91.52</v>
      </c>
      <c r="N3453">
        <v>0</v>
      </c>
      <c r="O3453">
        <v>0.69</v>
      </c>
    </row>
    <row r="3454" spans="1:15">
      <c r="A3454" t="str">
        <f>"600742"</f>
        <v>600742</v>
      </c>
      <c r="B3454" t="s">
        <v>3495</v>
      </c>
      <c r="C3454">
        <v>-3.11</v>
      </c>
      <c r="D3454">
        <v>7.48</v>
      </c>
      <c r="E3454" t="s">
        <v>16</v>
      </c>
      <c r="F3454" t="s">
        <v>16</v>
      </c>
      <c r="H3454">
        <v>-0.26</v>
      </c>
      <c r="I3454">
        <v>-5.79</v>
      </c>
      <c r="J3454">
        <v>-3.36</v>
      </c>
      <c r="L3454">
        <v>-0.39</v>
      </c>
      <c r="M3454">
        <v>3.54</v>
      </c>
      <c r="N3454">
        <v>0</v>
      </c>
      <c r="O3454">
        <v>0.71</v>
      </c>
    </row>
    <row r="3455" spans="1:15">
      <c r="A3455" t="str">
        <f>"600743"</f>
        <v>600743</v>
      </c>
      <c r="B3455" t="s">
        <v>3496</v>
      </c>
      <c r="C3455">
        <v>0.95</v>
      </c>
      <c r="D3455">
        <v>2.12</v>
      </c>
      <c r="E3455" t="s">
        <v>16</v>
      </c>
      <c r="F3455" t="s">
        <v>16</v>
      </c>
      <c r="H3455">
        <v>0</v>
      </c>
      <c r="I3455">
        <v>-17.51</v>
      </c>
      <c r="J3455">
        <v>-4.93</v>
      </c>
      <c r="L3455">
        <v>0</v>
      </c>
      <c r="M3455">
        <v>46.47</v>
      </c>
      <c r="N3455">
        <v>0.02</v>
      </c>
      <c r="O3455">
        <v>0.75</v>
      </c>
    </row>
    <row r="3456" spans="1:15">
      <c r="A3456" t="str">
        <f>"600744"</f>
        <v>600744</v>
      </c>
      <c r="B3456" t="s">
        <v>3497</v>
      </c>
      <c r="C3456">
        <v>-4.84</v>
      </c>
      <c r="D3456">
        <v>7.08</v>
      </c>
      <c r="E3456" t="s">
        <v>16</v>
      </c>
      <c r="F3456" t="s">
        <v>16</v>
      </c>
      <c r="H3456">
        <v>-0.13</v>
      </c>
      <c r="I3456">
        <v>-19.45</v>
      </c>
      <c r="J3456">
        <v>-4.97</v>
      </c>
      <c r="L3456">
        <v>-1.21</v>
      </c>
      <c r="M3456">
        <v>258.43</v>
      </c>
      <c r="N3456">
        <v>0.04</v>
      </c>
      <c r="O3456">
        <v>1.41</v>
      </c>
    </row>
    <row r="3457" spans="1:15">
      <c r="A3457" t="str">
        <f>"600745"</f>
        <v>600745</v>
      </c>
      <c r="B3457" t="s">
        <v>3498</v>
      </c>
      <c r="C3457">
        <v>-4.84</v>
      </c>
      <c r="D3457">
        <v>16.9</v>
      </c>
      <c r="E3457" t="s">
        <v>16</v>
      </c>
      <c r="F3457" t="s">
        <v>16</v>
      </c>
      <c r="H3457">
        <v>0.06</v>
      </c>
      <c r="I3457">
        <v>-17.84</v>
      </c>
      <c r="J3457">
        <v>-6.06</v>
      </c>
      <c r="K3457" t="s">
        <v>57</v>
      </c>
      <c r="L3457">
        <v>-2.03</v>
      </c>
      <c r="M3457">
        <v>1317.53</v>
      </c>
      <c r="N3457">
        <v>0.08</v>
      </c>
      <c r="O3457">
        <v>0.71</v>
      </c>
    </row>
    <row r="3458" spans="1:15">
      <c r="A3458" t="str">
        <f>"600746"</f>
        <v>600746</v>
      </c>
      <c r="B3458" t="s">
        <v>3499</v>
      </c>
      <c r="C3458">
        <v>-2.36</v>
      </c>
      <c r="D3458">
        <v>5.78</v>
      </c>
      <c r="E3458" t="s">
        <v>16</v>
      </c>
      <c r="F3458" t="s">
        <v>16</v>
      </c>
      <c r="H3458">
        <v>0.17</v>
      </c>
      <c r="I3458">
        <v>-6.92</v>
      </c>
      <c r="J3458">
        <v>-2.53</v>
      </c>
      <c r="L3458">
        <v>0</v>
      </c>
      <c r="M3458">
        <v>23.56</v>
      </c>
      <c r="N3458">
        <v>0.01</v>
      </c>
      <c r="O3458">
        <v>1.9</v>
      </c>
    </row>
    <row r="3459" spans="1:15">
      <c r="A3459" t="str">
        <f>"600748"</f>
        <v>600748</v>
      </c>
      <c r="B3459" t="s">
        <v>3500</v>
      </c>
      <c r="C3459">
        <v>1.76</v>
      </c>
      <c r="D3459">
        <v>4.04</v>
      </c>
      <c r="E3459" t="s">
        <v>16</v>
      </c>
      <c r="F3459" t="s">
        <v>16</v>
      </c>
      <c r="H3459">
        <v>0</v>
      </c>
      <c r="I3459">
        <v>-5.83</v>
      </c>
      <c r="J3459">
        <v>-1.94</v>
      </c>
      <c r="L3459">
        <v>0.5</v>
      </c>
      <c r="M3459">
        <v>17.2</v>
      </c>
      <c r="N3459">
        <v>0.01</v>
      </c>
      <c r="O3459">
        <v>0.7</v>
      </c>
    </row>
    <row r="3460" spans="1:15">
      <c r="A3460" t="str">
        <f>"600749"</f>
        <v>600749</v>
      </c>
      <c r="B3460" t="s">
        <v>3501</v>
      </c>
      <c r="C3460">
        <v>-3.08</v>
      </c>
      <c r="D3460">
        <v>14.49</v>
      </c>
      <c r="E3460" t="s">
        <v>16</v>
      </c>
      <c r="F3460" t="s">
        <v>16</v>
      </c>
      <c r="H3460">
        <v>0</v>
      </c>
      <c r="I3460">
        <v>-2.23</v>
      </c>
      <c r="J3460">
        <v>-3.53</v>
      </c>
      <c r="L3460">
        <v>-0.07</v>
      </c>
      <c r="M3460">
        <v>43.48</v>
      </c>
      <c r="N3460">
        <v>0.02</v>
      </c>
      <c r="O3460">
        <v>0.49</v>
      </c>
    </row>
    <row r="3461" spans="1:15">
      <c r="A3461" t="str">
        <f>"600750"</f>
        <v>600750</v>
      </c>
      <c r="B3461" t="s">
        <v>3502</v>
      </c>
      <c r="C3461">
        <v>0.21</v>
      </c>
      <c r="D3461">
        <v>24.31</v>
      </c>
      <c r="E3461" t="s">
        <v>16</v>
      </c>
      <c r="F3461" t="s">
        <v>16</v>
      </c>
      <c r="H3461">
        <v>0.16</v>
      </c>
      <c r="I3461">
        <v>-4.7</v>
      </c>
      <c r="J3461">
        <v>-0.65</v>
      </c>
      <c r="L3461">
        <v>0.41</v>
      </c>
      <c r="M3461">
        <v>41.66</v>
      </c>
      <c r="N3461">
        <v>0</v>
      </c>
      <c r="O3461">
        <v>0.83</v>
      </c>
    </row>
    <row r="3462" spans="1:15">
      <c r="A3462" t="str">
        <f>"600751"</f>
        <v>600751</v>
      </c>
      <c r="B3462" t="s">
        <v>3503</v>
      </c>
      <c r="C3462">
        <v>-1.9</v>
      </c>
      <c r="D3462">
        <v>3.1</v>
      </c>
      <c r="E3462" t="s">
        <v>16</v>
      </c>
      <c r="F3462" t="s">
        <v>16</v>
      </c>
      <c r="H3462">
        <v>-0.31</v>
      </c>
      <c r="I3462">
        <v>-4.02</v>
      </c>
      <c r="J3462">
        <v>-1.27</v>
      </c>
      <c r="L3462">
        <v>-1.27</v>
      </c>
      <c r="M3462">
        <v>21.9</v>
      </c>
      <c r="N3462">
        <v>0.01</v>
      </c>
      <c r="O3462">
        <v>0.78</v>
      </c>
    </row>
    <row r="3463" spans="1:15">
      <c r="A3463" t="str">
        <f>"600753"</f>
        <v>600753</v>
      </c>
      <c r="B3463" t="s">
        <v>3504</v>
      </c>
      <c r="C3463">
        <v>4.39</v>
      </c>
      <c r="D3463">
        <v>12.61</v>
      </c>
      <c r="E3463" t="s">
        <v>16</v>
      </c>
      <c r="F3463" t="s">
        <v>16</v>
      </c>
      <c r="H3463">
        <v>-0.15</v>
      </c>
      <c r="I3463">
        <v>1.94</v>
      </c>
      <c r="J3463">
        <v>-0.55</v>
      </c>
      <c r="K3463" t="s">
        <v>233</v>
      </c>
      <c r="L3463">
        <v>4.97</v>
      </c>
      <c r="M3463">
        <v>300.01</v>
      </c>
      <c r="N3463">
        <v>0.18</v>
      </c>
      <c r="O3463">
        <v>91</v>
      </c>
    </row>
    <row r="3464" spans="1:15">
      <c r="A3464" t="str">
        <f>"600754"</f>
        <v>600754</v>
      </c>
      <c r="B3464" t="s">
        <v>3505</v>
      </c>
      <c r="C3464">
        <v>-1.52</v>
      </c>
      <c r="D3464">
        <v>19.5</v>
      </c>
      <c r="E3464" t="s">
        <v>16</v>
      </c>
      <c r="F3464" t="s">
        <v>16</v>
      </c>
      <c r="H3464">
        <v>0.15</v>
      </c>
      <c r="I3464">
        <v>-1.76</v>
      </c>
      <c r="J3464">
        <v>-2.3</v>
      </c>
      <c r="L3464">
        <v>-0.1</v>
      </c>
      <c r="M3464">
        <v>45.49</v>
      </c>
      <c r="N3464">
        <v>0.01</v>
      </c>
      <c r="O3464">
        <v>2.3</v>
      </c>
    </row>
    <row r="3465" spans="1:15">
      <c r="A3465" t="str">
        <f>"600755"</f>
        <v>600755</v>
      </c>
      <c r="B3465" t="s">
        <v>3506</v>
      </c>
      <c r="C3465">
        <v>0.36</v>
      </c>
      <c r="D3465">
        <v>5.54</v>
      </c>
      <c r="E3465" t="s">
        <v>16</v>
      </c>
      <c r="F3465" t="s">
        <v>16</v>
      </c>
      <c r="H3465">
        <v>-0.17</v>
      </c>
      <c r="I3465">
        <v>-1.77</v>
      </c>
      <c r="J3465">
        <v>-0.72</v>
      </c>
      <c r="L3465">
        <v>0.54</v>
      </c>
      <c r="M3465">
        <v>53.28</v>
      </c>
      <c r="N3465">
        <v>0.01</v>
      </c>
      <c r="O3465">
        <v>2.17</v>
      </c>
    </row>
    <row r="3466" spans="1:15">
      <c r="A3466" t="str">
        <f>"600756"</f>
        <v>600756</v>
      </c>
      <c r="B3466" t="s">
        <v>3507</v>
      </c>
      <c r="C3466">
        <v>-3.75</v>
      </c>
      <c r="D3466">
        <v>13.33</v>
      </c>
      <c r="E3466" t="s">
        <v>16</v>
      </c>
      <c r="F3466" t="s">
        <v>16</v>
      </c>
      <c r="H3466">
        <v>0.15</v>
      </c>
      <c r="I3466">
        <v>-2.7</v>
      </c>
      <c r="J3466">
        <v>-3.27</v>
      </c>
      <c r="L3466">
        <v>-2.31</v>
      </c>
      <c r="M3466">
        <v>158.84</v>
      </c>
      <c r="N3466">
        <v>0.04</v>
      </c>
      <c r="O3466">
        <v>13.34</v>
      </c>
    </row>
    <row r="3467" spans="1:15">
      <c r="A3467" t="str">
        <f>"600757"</f>
        <v>600757</v>
      </c>
      <c r="B3467" t="s">
        <v>3508</v>
      </c>
      <c r="C3467">
        <v>1.06</v>
      </c>
      <c r="D3467">
        <v>7.63</v>
      </c>
      <c r="E3467" t="s">
        <v>16</v>
      </c>
      <c r="F3467" t="s">
        <v>16</v>
      </c>
      <c r="H3467">
        <v>0</v>
      </c>
      <c r="I3467">
        <v>1.87</v>
      </c>
      <c r="J3467">
        <v>-0.13</v>
      </c>
      <c r="L3467">
        <v>-1.06</v>
      </c>
      <c r="M3467">
        <v>25.4</v>
      </c>
      <c r="N3467">
        <v>0.01</v>
      </c>
      <c r="O3467">
        <v>0.21</v>
      </c>
    </row>
    <row r="3468" spans="1:15">
      <c r="A3468" t="str">
        <f>"600758"</f>
        <v>600758</v>
      </c>
      <c r="B3468" t="s">
        <v>3509</v>
      </c>
      <c r="C3468">
        <v>-6.33</v>
      </c>
      <c r="D3468">
        <v>3.55</v>
      </c>
      <c r="E3468" t="s">
        <v>16</v>
      </c>
      <c r="F3468" t="s">
        <v>16</v>
      </c>
      <c r="H3468">
        <v>0.28</v>
      </c>
      <c r="I3468">
        <v>-30.66</v>
      </c>
      <c r="J3468">
        <v>-6.58</v>
      </c>
      <c r="L3468">
        <v>0</v>
      </c>
      <c r="M3468">
        <v>273.71</v>
      </c>
      <c r="N3468">
        <v>0.1</v>
      </c>
      <c r="O3468">
        <v>3.77</v>
      </c>
    </row>
    <row r="3469" spans="1:15">
      <c r="A3469" t="str">
        <f>"600759"</f>
        <v>600759</v>
      </c>
      <c r="B3469" t="s">
        <v>3510</v>
      </c>
      <c r="C3469">
        <v>-4.96</v>
      </c>
      <c r="D3469">
        <v>2.3</v>
      </c>
      <c r="E3469" t="s">
        <v>16</v>
      </c>
      <c r="F3469" t="s">
        <v>16</v>
      </c>
      <c r="H3469">
        <v>0</v>
      </c>
      <c r="I3469">
        <v>-19.01</v>
      </c>
      <c r="J3469">
        <v>-4.17</v>
      </c>
      <c r="L3469">
        <v>-2.07</v>
      </c>
      <c r="M3469">
        <v>1039.06</v>
      </c>
      <c r="N3469">
        <v>0.12</v>
      </c>
      <c r="O3469">
        <v>1.95</v>
      </c>
    </row>
    <row r="3470" spans="1:15">
      <c r="A3470" t="str">
        <f>"600760"</f>
        <v>600760</v>
      </c>
      <c r="B3470" t="s">
        <v>3511</v>
      </c>
      <c r="C3470">
        <v>-2.06</v>
      </c>
      <c r="D3470">
        <v>41.27</v>
      </c>
      <c r="E3470" t="s">
        <v>16</v>
      </c>
      <c r="F3470" t="s">
        <v>16</v>
      </c>
      <c r="H3470">
        <v>-0.06</v>
      </c>
      <c r="I3470">
        <v>0.05</v>
      </c>
      <c r="J3470">
        <v>-2.39</v>
      </c>
      <c r="L3470">
        <v>-0.55</v>
      </c>
      <c r="M3470">
        <v>254.39</v>
      </c>
      <c r="N3470">
        <v>0.01</v>
      </c>
      <c r="O3470">
        <v>0.84</v>
      </c>
    </row>
    <row r="3471" spans="1:15">
      <c r="A3471" t="str">
        <f>"600761"</f>
        <v>600761</v>
      </c>
      <c r="B3471" t="s">
        <v>3512</v>
      </c>
      <c r="C3471">
        <v>2.63</v>
      </c>
      <c r="D3471">
        <v>17.17</v>
      </c>
      <c r="E3471" t="s">
        <v>16</v>
      </c>
      <c r="F3471" t="s">
        <v>16</v>
      </c>
      <c r="H3471">
        <v>-0.05</v>
      </c>
      <c r="I3471">
        <v>1.18</v>
      </c>
      <c r="J3471">
        <v>-1.04</v>
      </c>
      <c r="L3471">
        <v>-0.84</v>
      </c>
      <c r="M3471">
        <v>26.05</v>
      </c>
      <c r="N3471">
        <v>0</v>
      </c>
      <c r="O3471">
        <v>0.55</v>
      </c>
    </row>
    <row r="3472" spans="1:15">
      <c r="A3472" t="str">
        <f>"600763"</f>
        <v>600763</v>
      </c>
      <c r="B3472" t="s">
        <v>3513</v>
      </c>
      <c r="C3472">
        <v>-0.4</v>
      </c>
      <c r="D3472">
        <v>34.66</v>
      </c>
      <c r="E3472" t="s">
        <v>16</v>
      </c>
      <c r="F3472" t="s">
        <v>16</v>
      </c>
      <c r="H3472">
        <v>0</v>
      </c>
      <c r="I3472">
        <v>-0.23</v>
      </c>
      <c r="J3472">
        <v>-2.42</v>
      </c>
      <c r="L3472">
        <v>-0.34</v>
      </c>
      <c r="M3472">
        <v>113.4</v>
      </c>
      <c r="N3472">
        <v>0.01</v>
      </c>
      <c r="O3472">
        <v>5.36</v>
      </c>
    </row>
    <row r="3473" spans="1:15">
      <c r="A3473" t="str">
        <f>"600764"</f>
        <v>600764</v>
      </c>
      <c r="B3473" t="s">
        <v>3514</v>
      </c>
      <c r="C3473">
        <v>-2.9</v>
      </c>
      <c r="D3473">
        <v>18.72</v>
      </c>
      <c r="E3473" t="s">
        <v>16</v>
      </c>
      <c r="F3473" t="s">
        <v>16</v>
      </c>
      <c r="H3473">
        <v>-0.31</v>
      </c>
      <c r="I3473">
        <v>-9.61</v>
      </c>
      <c r="J3473">
        <v>-2.75</v>
      </c>
      <c r="L3473">
        <v>-0.41</v>
      </c>
      <c r="M3473">
        <v>15.94</v>
      </c>
      <c r="N3473">
        <v>0</v>
      </c>
      <c r="O3473">
        <v>0.48</v>
      </c>
    </row>
    <row r="3474" spans="1:15">
      <c r="A3474" t="str">
        <f>"600765"</f>
        <v>600765</v>
      </c>
      <c r="B3474" t="s">
        <v>3515</v>
      </c>
      <c r="C3474">
        <v>-0.57</v>
      </c>
      <c r="D3474">
        <v>13.9</v>
      </c>
      <c r="E3474" t="s">
        <v>16</v>
      </c>
      <c r="F3474" t="s">
        <v>16</v>
      </c>
      <c r="H3474">
        <v>-0.06</v>
      </c>
      <c r="I3474">
        <v>0.58</v>
      </c>
      <c r="J3474">
        <v>-1.84</v>
      </c>
      <c r="L3474">
        <v>-0.5</v>
      </c>
      <c r="M3474">
        <v>32.69</v>
      </c>
      <c r="N3474">
        <v>0</v>
      </c>
      <c r="O3474">
        <v>0.59</v>
      </c>
    </row>
    <row r="3475" spans="1:15">
      <c r="A3475" t="str">
        <f>"600768"</f>
        <v>600768</v>
      </c>
      <c r="B3475" t="s">
        <v>3516</v>
      </c>
      <c r="C3475">
        <v>-0.71</v>
      </c>
      <c r="D3475">
        <v>15.42</v>
      </c>
      <c r="E3475" t="s">
        <v>16</v>
      </c>
      <c r="F3475" t="s">
        <v>16</v>
      </c>
      <c r="H3475">
        <v>0.19</v>
      </c>
      <c r="I3475">
        <v>-2.96</v>
      </c>
      <c r="J3475">
        <v>-2.22</v>
      </c>
      <c r="L3475">
        <v>-0.77</v>
      </c>
      <c r="M3475">
        <v>39.14</v>
      </c>
      <c r="N3475">
        <v>0.03</v>
      </c>
      <c r="O3475">
        <v>1.1</v>
      </c>
    </row>
    <row r="3476" spans="1:15">
      <c r="A3476" t="str">
        <f>"600769"</f>
        <v>600769</v>
      </c>
      <c r="B3476" t="s">
        <v>3517</v>
      </c>
      <c r="C3476">
        <v>9.99</v>
      </c>
      <c r="D3476">
        <v>19.16</v>
      </c>
      <c r="E3476">
        <v>14758.56</v>
      </c>
      <c r="F3476">
        <v>1</v>
      </c>
      <c r="H3476">
        <v>0</v>
      </c>
      <c r="I3476">
        <v>23.06</v>
      </c>
      <c r="J3476">
        <v>0</v>
      </c>
      <c r="K3476" t="s">
        <v>140</v>
      </c>
      <c r="L3476">
        <v>9.99</v>
      </c>
      <c r="M3476">
        <v>3611.85</v>
      </c>
      <c r="N3476">
        <v>0.63</v>
      </c>
      <c r="O3476">
        <v>19.89</v>
      </c>
    </row>
    <row r="3477" spans="1:15">
      <c r="A3477" t="str">
        <f>"600770"</f>
        <v>600770</v>
      </c>
      <c r="B3477" t="s">
        <v>3518</v>
      </c>
      <c r="C3477">
        <v>0.5</v>
      </c>
      <c r="D3477">
        <v>6.05</v>
      </c>
      <c r="E3477" t="s">
        <v>16</v>
      </c>
      <c r="F3477" t="s">
        <v>16</v>
      </c>
      <c r="H3477">
        <v>-0.15</v>
      </c>
      <c r="I3477">
        <v>-0.82</v>
      </c>
      <c r="J3477">
        <v>-1.47</v>
      </c>
      <c r="L3477">
        <v>-0.33</v>
      </c>
      <c r="M3477">
        <v>190.26</v>
      </c>
      <c r="N3477">
        <v>0.04</v>
      </c>
      <c r="O3477">
        <v>1.35</v>
      </c>
    </row>
    <row r="3478" spans="1:15">
      <c r="A3478" t="str">
        <f>"600771"</f>
        <v>600771</v>
      </c>
      <c r="B3478" t="s">
        <v>3519</v>
      </c>
      <c r="C3478">
        <v>-1.1</v>
      </c>
      <c r="D3478">
        <v>13.49</v>
      </c>
      <c r="E3478" t="s">
        <v>16</v>
      </c>
      <c r="F3478" t="s">
        <v>16</v>
      </c>
      <c r="H3478">
        <v>0</v>
      </c>
      <c r="I3478">
        <v>-8.85</v>
      </c>
      <c r="J3478">
        <v>-1.89</v>
      </c>
      <c r="L3478">
        <v>0.81</v>
      </c>
      <c r="M3478">
        <v>61.6</v>
      </c>
      <c r="N3478">
        <v>0.01</v>
      </c>
      <c r="O3478">
        <v>1.45</v>
      </c>
    </row>
    <row r="3479" spans="1:15">
      <c r="A3479" t="str">
        <f>"600773"</f>
        <v>600773</v>
      </c>
      <c r="B3479" t="s">
        <v>3520</v>
      </c>
      <c r="C3479">
        <v>-3.77</v>
      </c>
      <c r="D3479">
        <v>14.79</v>
      </c>
      <c r="E3479" t="s">
        <v>16</v>
      </c>
      <c r="F3479" t="s">
        <v>16</v>
      </c>
      <c r="H3479">
        <v>-0.19</v>
      </c>
      <c r="I3479">
        <v>-2.12</v>
      </c>
      <c r="J3479">
        <v>-5.74</v>
      </c>
      <c r="L3479">
        <v>-0.52</v>
      </c>
      <c r="M3479">
        <v>203.66</v>
      </c>
      <c r="N3479">
        <v>0.02</v>
      </c>
      <c r="O3479">
        <v>0.57</v>
      </c>
    </row>
    <row r="3480" spans="1:15">
      <c r="A3480" t="str">
        <f>"600774"</f>
        <v>600774</v>
      </c>
      <c r="B3480" t="s">
        <v>3521</v>
      </c>
      <c r="C3480">
        <v>0.15</v>
      </c>
      <c r="D3480">
        <v>6.72</v>
      </c>
      <c r="E3480" t="s">
        <v>16</v>
      </c>
      <c r="F3480" t="s">
        <v>16</v>
      </c>
      <c r="H3480">
        <v>-0.29</v>
      </c>
      <c r="I3480">
        <v>-5.35</v>
      </c>
      <c r="J3480">
        <v>-1.18</v>
      </c>
      <c r="L3480">
        <v>-1.04</v>
      </c>
      <c r="M3480">
        <v>11.95</v>
      </c>
      <c r="N3480">
        <v>0.01</v>
      </c>
      <c r="O3480">
        <v>0.7</v>
      </c>
    </row>
    <row r="3481" spans="1:15">
      <c r="A3481" t="str">
        <f>"600775"</f>
        <v>600775</v>
      </c>
      <c r="B3481" t="s">
        <v>3522</v>
      </c>
      <c r="C3481">
        <v>-3.81</v>
      </c>
      <c r="D3481">
        <v>10.59</v>
      </c>
      <c r="E3481" t="s">
        <v>16</v>
      </c>
      <c r="F3481" t="s">
        <v>16</v>
      </c>
      <c r="H3481">
        <v>0</v>
      </c>
      <c r="I3481">
        <v>-0.56</v>
      </c>
      <c r="J3481">
        <v>-3.29</v>
      </c>
      <c r="L3481">
        <v>-2.36</v>
      </c>
      <c r="M3481">
        <v>345.4</v>
      </c>
      <c r="N3481">
        <v>0.07</v>
      </c>
      <c r="O3481">
        <v>7.29</v>
      </c>
    </row>
    <row r="3482" spans="1:15">
      <c r="A3482" t="str">
        <f>"600776"</f>
        <v>600776</v>
      </c>
      <c r="B3482" t="s">
        <v>3523</v>
      </c>
      <c r="C3482">
        <v>-2.1</v>
      </c>
      <c r="D3482">
        <v>15.37</v>
      </c>
      <c r="E3482" t="s">
        <v>16</v>
      </c>
      <c r="F3482" t="s">
        <v>16</v>
      </c>
      <c r="H3482">
        <v>-0.05</v>
      </c>
      <c r="I3482">
        <v>6.07</v>
      </c>
      <c r="J3482">
        <v>-2.41</v>
      </c>
      <c r="L3482">
        <v>-1.21</v>
      </c>
      <c r="M3482">
        <v>174.64</v>
      </c>
      <c r="N3482">
        <v>0.03</v>
      </c>
      <c r="O3482">
        <v>0.55</v>
      </c>
    </row>
    <row r="3483" spans="1:15">
      <c r="A3483" t="str">
        <f>"600777"</f>
        <v>600777</v>
      </c>
      <c r="B3483" t="s">
        <v>3524</v>
      </c>
      <c r="C3483">
        <v>3.59</v>
      </c>
      <c r="D3483">
        <v>4.91</v>
      </c>
      <c r="E3483" t="s">
        <v>16</v>
      </c>
      <c r="F3483" t="s">
        <v>16</v>
      </c>
      <c r="H3483">
        <v>-0.4</v>
      </c>
      <c r="I3483">
        <v>-13.86</v>
      </c>
      <c r="J3483">
        <v>-0.41</v>
      </c>
      <c r="L3483">
        <v>0</v>
      </c>
      <c r="M3483">
        <v>115.32</v>
      </c>
      <c r="N3483">
        <v>0.02</v>
      </c>
      <c r="O3483">
        <v>1.17</v>
      </c>
    </row>
    <row r="3484" spans="1:15">
      <c r="A3484" t="str">
        <f>"600778"</f>
        <v>600778</v>
      </c>
      <c r="B3484" t="s">
        <v>3525</v>
      </c>
      <c r="C3484">
        <v>-0.37</v>
      </c>
      <c r="D3484">
        <v>5.44</v>
      </c>
      <c r="E3484" t="s">
        <v>16</v>
      </c>
      <c r="F3484" t="s">
        <v>16</v>
      </c>
      <c r="H3484">
        <v>0.55</v>
      </c>
      <c r="I3484">
        <v>-5.72</v>
      </c>
      <c r="J3484">
        <v>-1.09</v>
      </c>
      <c r="L3484">
        <v>-1.1</v>
      </c>
      <c r="M3484">
        <v>59.4</v>
      </c>
      <c r="N3484">
        <v>0.06</v>
      </c>
      <c r="O3484">
        <v>4.91</v>
      </c>
    </row>
    <row r="3485" spans="1:15">
      <c r="A3485" t="str">
        <f>"600779"</f>
        <v>600779</v>
      </c>
      <c r="B3485" t="s">
        <v>3526</v>
      </c>
      <c r="C3485">
        <v>0.56</v>
      </c>
      <c r="D3485">
        <v>28.97</v>
      </c>
      <c r="E3485" t="s">
        <v>16</v>
      </c>
      <c r="F3485" t="s">
        <v>16</v>
      </c>
      <c r="H3485">
        <v>-0.74</v>
      </c>
      <c r="I3485">
        <v>-6.31</v>
      </c>
      <c r="J3485">
        <v>-1.5</v>
      </c>
      <c r="L3485">
        <v>0.31</v>
      </c>
      <c r="M3485">
        <v>41.62</v>
      </c>
      <c r="N3485">
        <v>0.01</v>
      </c>
      <c r="O3485">
        <v>1.23</v>
      </c>
    </row>
    <row r="3486" spans="1:15">
      <c r="A3486" t="str">
        <f>"600780"</f>
        <v>600780</v>
      </c>
      <c r="B3486" t="s">
        <v>3527</v>
      </c>
      <c r="C3486">
        <v>-5.8</v>
      </c>
      <c r="D3486">
        <v>6.17</v>
      </c>
      <c r="E3486" t="s">
        <v>16</v>
      </c>
      <c r="F3486" t="s">
        <v>16</v>
      </c>
      <c r="H3486">
        <v>-0.47</v>
      </c>
      <c r="I3486">
        <v>-18.28</v>
      </c>
      <c r="J3486">
        <v>-6.52</v>
      </c>
      <c r="L3486">
        <v>-0.76</v>
      </c>
      <c r="M3486">
        <v>49.92</v>
      </c>
      <c r="N3486">
        <v>0.02</v>
      </c>
      <c r="O3486">
        <v>2.15</v>
      </c>
    </row>
    <row r="3487" spans="1:15">
      <c r="A3487" t="str">
        <f>"600782"</f>
        <v>600782</v>
      </c>
      <c r="B3487" t="s">
        <v>3528</v>
      </c>
      <c r="C3487">
        <v>-0.77</v>
      </c>
      <c r="D3487">
        <v>2.57</v>
      </c>
      <c r="E3487" t="s">
        <v>16</v>
      </c>
      <c r="F3487" t="s">
        <v>16</v>
      </c>
      <c r="H3487">
        <v>-0.38</v>
      </c>
      <c r="I3487">
        <v>-2.65</v>
      </c>
      <c r="J3487">
        <v>-1.91</v>
      </c>
      <c r="L3487">
        <v>0</v>
      </c>
      <c r="M3487">
        <v>18.21</v>
      </c>
      <c r="N3487">
        <v>0</v>
      </c>
      <c r="O3487">
        <v>3.97</v>
      </c>
    </row>
    <row r="3488" spans="1:15">
      <c r="A3488" t="str">
        <f>"600783"</f>
        <v>600783</v>
      </c>
      <c r="B3488" t="s">
        <v>3529</v>
      </c>
      <c r="C3488">
        <v>6.02</v>
      </c>
      <c r="D3488">
        <v>21.13</v>
      </c>
      <c r="E3488" t="s">
        <v>16</v>
      </c>
      <c r="F3488" t="s">
        <v>16</v>
      </c>
      <c r="H3488">
        <v>0.38</v>
      </c>
      <c r="I3488">
        <v>-12.47</v>
      </c>
      <c r="J3488">
        <v>-3.6</v>
      </c>
      <c r="L3488">
        <v>-0.35</v>
      </c>
      <c r="M3488">
        <v>381.91</v>
      </c>
      <c r="N3488">
        <v>0.08</v>
      </c>
      <c r="O3488">
        <v>1.21</v>
      </c>
    </row>
    <row r="3489" spans="1:15">
      <c r="A3489" t="str">
        <f>"600784"</f>
        <v>600784</v>
      </c>
      <c r="B3489" t="s">
        <v>3530</v>
      </c>
      <c r="C3489">
        <v>-2.87</v>
      </c>
      <c r="D3489">
        <v>6.76</v>
      </c>
      <c r="E3489" t="s">
        <v>16</v>
      </c>
      <c r="F3489" t="s">
        <v>16</v>
      </c>
      <c r="H3489">
        <v>0.15</v>
      </c>
      <c r="I3489">
        <v>-8.89</v>
      </c>
      <c r="J3489">
        <v>-3.29</v>
      </c>
      <c r="L3489">
        <v>0.29</v>
      </c>
      <c r="M3489">
        <v>7.82</v>
      </c>
      <c r="N3489">
        <v>0</v>
      </c>
      <c r="O3489">
        <v>0.53</v>
      </c>
    </row>
    <row r="3490" spans="1:15">
      <c r="A3490" t="str">
        <f>"600785"</f>
        <v>600785</v>
      </c>
      <c r="B3490" t="s">
        <v>3531</v>
      </c>
      <c r="C3490">
        <v>2.36</v>
      </c>
      <c r="D3490">
        <v>15.18</v>
      </c>
      <c r="E3490" t="s">
        <v>16</v>
      </c>
      <c r="F3490" t="s">
        <v>16</v>
      </c>
      <c r="H3490">
        <v>0</v>
      </c>
      <c r="I3490">
        <v>-0.65</v>
      </c>
      <c r="J3490">
        <v>-2.44</v>
      </c>
      <c r="L3490">
        <v>0</v>
      </c>
      <c r="M3490">
        <v>49.09</v>
      </c>
      <c r="N3490">
        <v>0.03</v>
      </c>
      <c r="O3490">
        <v>5.81</v>
      </c>
    </row>
    <row r="3491" spans="1:15">
      <c r="A3491" t="str">
        <f>"600787"</f>
        <v>600787</v>
      </c>
      <c r="B3491" t="s">
        <v>3532</v>
      </c>
      <c r="C3491">
        <v>-1.97</v>
      </c>
      <c r="D3491">
        <v>4.48</v>
      </c>
      <c r="E3491" t="s">
        <v>16</v>
      </c>
      <c r="F3491" t="s">
        <v>16</v>
      </c>
      <c r="H3491">
        <v>0</v>
      </c>
      <c r="I3491">
        <v>-3.45</v>
      </c>
      <c r="J3491">
        <v>-1.75</v>
      </c>
      <c r="L3491">
        <v>-0.44</v>
      </c>
      <c r="M3491">
        <v>43.45</v>
      </c>
      <c r="N3491">
        <v>0.01</v>
      </c>
      <c r="O3491">
        <v>0.72</v>
      </c>
    </row>
    <row r="3492" spans="1:15">
      <c r="A3492" t="str">
        <f>"600789"</f>
        <v>600789</v>
      </c>
      <c r="B3492" t="s">
        <v>3533</v>
      </c>
      <c r="C3492">
        <v>1</v>
      </c>
      <c r="D3492">
        <v>7.1</v>
      </c>
      <c r="E3492" t="s">
        <v>16</v>
      </c>
      <c r="F3492" t="s">
        <v>16</v>
      </c>
      <c r="H3492">
        <v>0</v>
      </c>
      <c r="I3492">
        <v>-3.14</v>
      </c>
      <c r="J3492">
        <v>-0.42</v>
      </c>
      <c r="L3492">
        <v>0.28</v>
      </c>
      <c r="M3492">
        <v>23.19</v>
      </c>
      <c r="N3492">
        <v>0</v>
      </c>
      <c r="O3492">
        <v>1.66</v>
      </c>
    </row>
    <row r="3493" spans="1:15">
      <c r="A3493" t="str">
        <f>"600790"</f>
        <v>600790</v>
      </c>
      <c r="B3493" t="s">
        <v>3534</v>
      </c>
      <c r="C3493">
        <v>-2.99</v>
      </c>
      <c r="D3493">
        <v>3.57</v>
      </c>
      <c r="E3493" t="s">
        <v>16</v>
      </c>
      <c r="F3493" t="s">
        <v>16</v>
      </c>
      <c r="H3493">
        <v>-0.27</v>
      </c>
      <c r="I3493">
        <v>-9.39</v>
      </c>
      <c r="J3493">
        <v>-2.99</v>
      </c>
      <c r="L3493">
        <v>-0.54</v>
      </c>
      <c r="M3493">
        <v>16.18</v>
      </c>
      <c r="N3493">
        <v>0.01</v>
      </c>
      <c r="O3493">
        <v>1.8</v>
      </c>
    </row>
    <row r="3494" spans="1:15">
      <c r="A3494" t="str">
        <f>"600791"</f>
        <v>600791</v>
      </c>
      <c r="B3494" t="s">
        <v>3535</v>
      </c>
      <c r="C3494">
        <v>-5.31</v>
      </c>
      <c r="D3494">
        <v>9.8</v>
      </c>
      <c r="E3494" t="s">
        <v>16</v>
      </c>
      <c r="F3494" t="s">
        <v>16</v>
      </c>
      <c r="H3494">
        <v>0.93</v>
      </c>
      <c r="I3494">
        <v>-36.57</v>
      </c>
      <c r="J3494">
        <v>-13.96</v>
      </c>
      <c r="L3494">
        <v>1.26</v>
      </c>
      <c r="M3494">
        <v>1278.87</v>
      </c>
      <c r="N3494">
        <v>0.49</v>
      </c>
      <c r="O3494">
        <v>0.13</v>
      </c>
    </row>
    <row r="3495" spans="1:15">
      <c r="A3495" t="str">
        <f>"600792"</f>
        <v>600792</v>
      </c>
      <c r="B3495" t="s">
        <v>3536</v>
      </c>
      <c r="C3495">
        <v>-7.89</v>
      </c>
      <c r="D3495">
        <v>3.62</v>
      </c>
      <c r="E3495" t="s">
        <v>16</v>
      </c>
      <c r="F3495" t="s">
        <v>16</v>
      </c>
      <c r="H3495">
        <v>0</v>
      </c>
      <c r="I3495">
        <v>-20.96</v>
      </c>
      <c r="J3495">
        <v>-7.42</v>
      </c>
      <c r="L3495">
        <v>-0.76</v>
      </c>
      <c r="M3495">
        <v>130.61</v>
      </c>
      <c r="N3495">
        <v>0.09</v>
      </c>
      <c r="O3495">
        <v>4.47</v>
      </c>
    </row>
    <row r="3496" spans="1:15">
      <c r="A3496" t="str">
        <f>"600793"</f>
        <v>600793</v>
      </c>
      <c r="B3496" t="s">
        <v>3537</v>
      </c>
      <c r="C3496">
        <v>-1.16</v>
      </c>
      <c r="D3496">
        <v>12.8</v>
      </c>
      <c r="E3496" t="s">
        <v>16</v>
      </c>
      <c r="F3496" t="s">
        <v>16</v>
      </c>
      <c r="H3496">
        <v>0.71</v>
      </c>
      <c r="I3496">
        <v>-5.26</v>
      </c>
      <c r="J3496">
        <v>-2.66</v>
      </c>
      <c r="L3496">
        <v>1.54</v>
      </c>
      <c r="M3496">
        <v>22.36</v>
      </c>
      <c r="N3496">
        <v>0.02</v>
      </c>
      <c r="O3496">
        <v>2</v>
      </c>
    </row>
    <row r="3497" spans="1:15">
      <c r="A3497" t="str">
        <f>"600794"</f>
        <v>600794</v>
      </c>
      <c r="B3497" t="s">
        <v>3538</v>
      </c>
      <c r="C3497">
        <v>-0.66</v>
      </c>
      <c r="D3497">
        <v>3.02</v>
      </c>
      <c r="E3497" t="s">
        <v>16</v>
      </c>
      <c r="F3497" t="s">
        <v>16</v>
      </c>
      <c r="H3497">
        <v>0.33</v>
      </c>
      <c r="I3497">
        <v>-4.73</v>
      </c>
      <c r="J3497">
        <v>-1.31</v>
      </c>
      <c r="L3497">
        <v>-0.66</v>
      </c>
      <c r="M3497">
        <v>3.78</v>
      </c>
      <c r="N3497">
        <v>0</v>
      </c>
      <c r="O3497">
        <v>1.51</v>
      </c>
    </row>
    <row r="3498" spans="1:15">
      <c r="A3498" t="str">
        <f>"600795"</f>
        <v>600795</v>
      </c>
      <c r="B3498" t="s">
        <v>3539</v>
      </c>
      <c r="C3498">
        <v>-4.05</v>
      </c>
      <c r="D3498">
        <v>4.74</v>
      </c>
      <c r="E3498" t="s">
        <v>16</v>
      </c>
      <c r="F3498" t="s">
        <v>16</v>
      </c>
      <c r="H3498">
        <v>-0.2</v>
      </c>
      <c r="I3498">
        <v>-8.14</v>
      </c>
      <c r="J3498">
        <v>-4.05</v>
      </c>
      <c r="L3498">
        <v>-0.2</v>
      </c>
      <c r="M3498">
        <v>210.26</v>
      </c>
      <c r="N3498">
        <v>0.01</v>
      </c>
      <c r="O3498">
        <v>1.32</v>
      </c>
    </row>
    <row r="3499" spans="1:15">
      <c r="A3499" t="str">
        <f>"600796"</f>
        <v>600796</v>
      </c>
      <c r="B3499" t="s">
        <v>3540</v>
      </c>
      <c r="C3499">
        <v>-1.02</v>
      </c>
      <c r="D3499">
        <v>4.86</v>
      </c>
      <c r="E3499" t="s">
        <v>16</v>
      </c>
      <c r="F3499" t="s">
        <v>16</v>
      </c>
      <c r="H3499">
        <v>0.41</v>
      </c>
      <c r="I3499">
        <v>-7.43</v>
      </c>
      <c r="J3499">
        <v>-1.02</v>
      </c>
      <c r="L3499">
        <v>-0.61</v>
      </c>
      <c r="M3499">
        <v>6.05</v>
      </c>
      <c r="N3499">
        <v>0.01</v>
      </c>
      <c r="O3499">
        <v>123.98</v>
      </c>
    </row>
    <row r="3500" spans="1:15">
      <c r="A3500" t="str">
        <f>"600797"</f>
        <v>600797</v>
      </c>
      <c r="B3500" t="s">
        <v>3541</v>
      </c>
      <c r="C3500">
        <v>-1.53</v>
      </c>
      <c r="D3500">
        <v>7.1</v>
      </c>
      <c r="E3500" t="s">
        <v>16</v>
      </c>
      <c r="F3500" t="s">
        <v>16</v>
      </c>
      <c r="H3500">
        <v>0</v>
      </c>
      <c r="I3500">
        <v>-6.46</v>
      </c>
      <c r="J3500">
        <v>-1.53</v>
      </c>
      <c r="L3500">
        <v>-0.14</v>
      </c>
      <c r="M3500">
        <v>21.6</v>
      </c>
      <c r="N3500">
        <v>0</v>
      </c>
      <c r="O3500">
        <v>0.78</v>
      </c>
    </row>
    <row r="3501" spans="1:15">
      <c r="A3501" t="str">
        <f>"600798"</f>
        <v>600798</v>
      </c>
      <c r="B3501" t="s">
        <v>3542</v>
      </c>
      <c r="C3501">
        <v>0.28</v>
      </c>
      <c r="D3501">
        <v>3.54</v>
      </c>
      <c r="E3501" t="s">
        <v>16</v>
      </c>
      <c r="F3501" t="s">
        <v>16</v>
      </c>
      <c r="H3501">
        <v>0</v>
      </c>
      <c r="I3501">
        <v>0.28</v>
      </c>
      <c r="J3501">
        <v>-1.39</v>
      </c>
      <c r="L3501">
        <v>0.85</v>
      </c>
      <c r="M3501">
        <v>166.96</v>
      </c>
      <c r="N3501">
        <v>0.07</v>
      </c>
      <c r="O3501">
        <v>1.38</v>
      </c>
    </row>
    <row r="3502" spans="1:15">
      <c r="A3502" t="str">
        <f>"600800"</f>
        <v>600800</v>
      </c>
      <c r="B3502" t="s">
        <v>3543</v>
      </c>
      <c r="C3502">
        <v>-0.57</v>
      </c>
      <c r="D3502">
        <v>3.5</v>
      </c>
      <c r="E3502" t="s">
        <v>16</v>
      </c>
      <c r="F3502" t="s">
        <v>16</v>
      </c>
      <c r="H3502">
        <v>0</v>
      </c>
      <c r="I3502">
        <v>-6.91</v>
      </c>
      <c r="J3502">
        <v>-2.78</v>
      </c>
      <c r="L3502">
        <v>0.85</v>
      </c>
      <c r="M3502">
        <v>64.08</v>
      </c>
      <c r="N3502">
        <v>0.03</v>
      </c>
      <c r="O3502">
        <v>3.73</v>
      </c>
    </row>
    <row r="3503" spans="1:15">
      <c r="A3503" t="str">
        <f>"600801"</f>
        <v>600801</v>
      </c>
      <c r="B3503" t="s">
        <v>3544</v>
      </c>
      <c r="C3503">
        <v>-2.05</v>
      </c>
      <c r="D3503">
        <v>18.61</v>
      </c>
      <c r="E3503" t="s">
        <v>16</v>
      </c>
      <c r="F3503" t="s">
        <v>16</v>
      </c>
      <c r="H3503">
        <v>-0.36</v>
      </c>
      <c r="I3503">
        <v>-0.69</v>
      </c>
      <c r="J3503">
        <v>-3.48</v>
      </c>
      <c r="L3503">
        <v>-0.74</v>
      </c>
      <c r="M3503">
        <v>61.11</v>
      </c>
      <c r="N3503">
        <v>0.01</v>
      </c>
      <c r="O3503">
        <v>1.06</v>
      </c>
    </row>
    <row r="3504" spans="1:15">
      <c r="A3504" t="str">
        <f>"600802"</f>
        <v>600802</v>
      </c>
      <c r="B3504" t="s">
        <v>3545</v>
      </c>
      <c r="C3504">
        <v>-1.97</v>
      </c>
      <c r="D3504">
        <v>4.48</v>
      </c>
      <c r="E3504" t="s">
        <v>16</v>
      </c>
      <c r="F3504" t="s">
        <v>16</v>
      </c>
      <c r="H3504">
        <v>-0.43</v>
      </c>
      <c r="I3504">
        <v>-8.94</v>
      </c>
      <c r="J3504">
        <v>-1.75</v>
      </c>
      <c r="L3504">
        <v>-0.44</v>
      </c>
      <c r="M3504">
        <v>15.15</v>
      </c>
      <c r="N3504">
        <v>0.01</v>
      </c>
      <c r="O3504">
        <v>0.54</v>
      </c>
    </row>
    <row r="3505" spans="1:15">
      <c r="A3505" t="str">
        <f>"600803"</f>
        <v>600803</v>
      </c>
      <c r="B3505" t="s">
        <v>3546</v>
      </c>
      <c r="C3505">
        <v>-1.87</v>
      </c>
      <c r="D3505">
        <v>16.28</v>
      </c>
      <c r="E3505" t="s">
        <v>16</v>
      </c>
      <c r="F3505" t="s">
        <v>16</v>
      </c>
      <c r="H3505">
        <v>-0.48</v>
      </c>
      <c r="I3505">
        <v>-15.3</v>
      </c>
      <c r="J3505">
        <v>-2.34</v>
      </c>
      <c r="L3505">
        <v>0.12</v>
      </c>
      <c r="M3505">
        <v>32.89</v>
      </c>
      <c r="N3505">
        <v>0</v>
      </c>
      <c r="O3505">
        <v>0.91</v>
      </c>
    </row>
    <row r="3506" spans="1:15">
      <c r="A3506" t="str">
        <f>"600805"</f>
        <v>600805</v>
      </c>
      <c r="B3506" t="s">
        <v>3547</v>
      </c>
      <c r="C3506">
        <v>1.83</v>
      </c>
      <c r="D3506">
        <v>4.46</v>
      </c>
      <c r="E3506" t="s">
        <v>16</v>
      </c>
      <c r="F3506" t="s">
        <v>16</v>
      </c>
      <c r="H3506">
        <v>0</v>
      </c>
      <c r="I3506">
        <v>-2.41</v>
      </c>
      <c r="J3506">
        <v>-2.62</v>
      </c>
      <c r="L3506">
        <v>0</v>
      </c>
      <c r="M3506">
        <v>2.98</v>
      </c>
      <c r="N3506">
        <v>0</v>
      </c>
      <c r="O3506">
        <v>0.06</v>
      </c>
    </row>
    <row r="3507" spans="1:15">
      <c r="A3507" t="str">
        <f>"600807"</f>
        <v>600807</v>
      </c>
      <c r="B3507" t="s">
        <v>3548</v>
      </c>
      <c r="C3507">
        <v>0.4</v>
      </c>
      <c r="D3507">
        <v>2.5</v>
      </c>
      <c r="E3507" t="s">
        <v>16</v>
      </c>
      <c r="F3507" t="s">
        <v>16</v>
      </c>
      <c r="H3507">
        <v>-0.39</v>
      </c>
      <c r="I3507">
        <v>-11.97</v>
      </c>
      <c r="J3507">
        <v>-1.19</v>
      </c>
      <c r="L3507">
        <v>-0.4</v>
      </c>
      <c r="M3507">
        <v>18.9</v>
      </c>
      <c r="N3507">
        <v>0.01</v>
      </c>
      <c r="O3507">
        <v>0.5</v>
      </c>
    </row>
    <row r="3508" spans="1:15">
      <c r="A3508" t="str">
        <f>"600808"</f>
        <v>600808</v>
      </c>
      <c r="B3508" t="s">
        <v>3549</v>
      </c>
      <c r="C3508">
        <v>0.37</v>
      </c>
      <c r="D3508">
        <v>2.74</v>
      </c>
      <c r="E3508" t="s">
        <v>16</v>
      </c>
      <c r="F3508" t="s">
        <v>16</v>
      </c>
      <c r="H3508">
        <v>0</v>
      </c>
      <c r="I3508">
        <v>-3.86</v>
      </c>
      <c r="J3508">
        <v>-0.72</v>
      </c>
      <c r="L3508">
        <v>-0.73</v>
      </c>
      <c r="M3508">
        <v>19.21</v>
      </c>
      <c r="N3508">
        <v>0</v>
      </c>
      <c r="O3508">
        <v>1.02</v>
      </c>
    </row>
    <row r="3509" spans="1:15">
      <c r="A3509" t="str">
        <f>"600809"</f>
        <v>600809</v>
      </c>
      <c r="B3509" t="s">
        <v>3550</v>
      </c>
      <c r="C3509">
        <v>-3.76</v>
      </c>
      <c r="D3509">
        <v>113.28</v>
      </c>
      <c r="E3509" t="s">
        <v>16</v>
      </c>
      <c r="F3509" t="s">
        <v>16</v>
      </c>
      <c r="H3509">
        <v>-0.32</v>
      </c>
      <c r="I3509">
        <v>-7.22</v>
      </c>
      <c r="J3509">
        <v>-4.19</v>
      </c>
      <c r="L3509">
        <v>0.45</v>
      </c>
      <c r="M3509">
        <v>555.68</v>
      </c>
      <c r="N3509">
        <v>0.01</v>
      </c>
      <c r="O3509">
        <v>3.85</v>
      </c>
    </row>
    <row r="3510" spans="1:15">
      <c r="A3510" t="str">
        <f>"600810"</f>
        <v>600810</v>
      </c>
      <c r="B3510" t="s">
        <v>3551</v>
      </c>
      <c r="C3510">
        <v>-0.72</v>
      </c>
      <c r="D3510">
        <v>6.86</v>
      </c>
      <c r="E3510" t="s">
        <v>16</v>
      </c>
      <c r="F3510" t="s">
        <v>16</v>
      </c>
      <c r="H3510">
        <v>0</v>
      </c>
      <c r="I3510">
        <v>19.51</v>
      </c>
      <c r="J3510">
        <v>-5.38</v>
      </c>
      <c r="L3510">
        <v>-0.72</v>
      </c>
      <c r="M3510">
        <v>120.05</v>
      </c>
      <c r="N3510">
        <v>0.04</v>
      </c>
      <c r="O3510">
        <v>1.49</v>
      </c>
    </row>
    <row r="3511" spans="1:15">
      <c r="A3511" t="str">
        <f>"600812"</f>
        <v>600812</v>
      </c>
      <c r="B3511" t="s">
        <v>3552</v>
      </c>
      <c r="C3511">
        <v>0.23</v>
      </c>
      <c r="D3511">
        <v>4.38</v>
      </c>
      <c r="E3511" t="s">
        <v>16</v>
      </c>
      <c r="F3511" t="s">
        <v>16</v>
      </c>
      <c r="H3511">
        <v>0.23</v>
      </c>
      <c r="I3511">
        <v>0.92</v>
      </c>
      <c r="J3511">
        <v>-0.68</v>
      </c>
      <c r="L3511">
        <v>0</v>
      </c>
      <c r="M3511">
        <v>8.39</v>
      </c>
      <c r="N3511">
        <v>0</v>
      </c>
      <c r="O3511">
        <v>0.18</v>
      </c>
    </row>
    <row r="3512" spans="1:15">
      <c r="A3512" t="str">
        <f>"600814"</f>
        <v>600814</v>
      </c>
      <c r="B3512" t="s">
        <v>3553</v>
      </c>
      <c r="C3512">
        <v>-0.45</v>
      </c>
      <c r="D3512">
        <v>6.67</v>
      </c>
      <c r="E3512" t="s">
        <v>16</v>
      </c>
      <c r="F3512" t="s">
        <v>16</v>
      </c>
      <c r="H3512">
        <v>-0.29</v>
      </c>
      <c r="I3512">
        <v>-3.61</v>
      </c>
      <c r="J3512">
        <v>-0.74</v>
      </c>
      <c r="L3512">
        <v>-0.15</v>
      </c>
      <c r="M3512">
        <v>7.43</v>
      </c>
      <c r="N3512">
        <v>0</v>
      </c>
      <c r="O3512">
        <v>4.27</v>
      </c>
    </row>
    <row r="3513" spans="1:15">
      <c r="A3513" t="str">
        <f>"600815"</f>
        <v>600815</v>
      </c>
      <c r="B3513" t="s">
        <v>3554</v>
      </c>
      <c r="C3513">
        <v>-2.77</v>
      </c>
      <c r="D3513">
        <v>2.81</v>
      </c>
      <c r="E3513" t="s">
        <v>16</v>
      </c>
      <c r="F3513" t="s">
        <v>16</v>
      </c>
      <c r="H3513">
        <v>0.36</v>
      </c>
      <c r="I3513">
        <v>-15.11</v>
      </c>
      <c r="J3513">
        <v>-2.43</v>
      </c>
      <c r="L3513">
        <v>-0.35</v>
      </c>
      <c r="M3513">
        <v>135.19</v>
      </c>
      <c r="N3513">
        <v>0.05</v>
      </c>
      <c r="O3513">
        <v>1.62</v>
      </c>
    </row>
    <row r="3514" spans="1:15">
      <c r="A3514" t="str">
        <f>"600816"</f>
        <v>600816</v>
      </c>
      <c r="B3514" t="s">
        <v>3555</v>
      </c>
      <c r="C3514">
        <v>-2.97</v>
      </c>
      <c r="D3514">
        <v>2.61</v>
      </c>
      <c r="E3514" t="s">
        <v>16</v>
      </c>
      <c r="F3514" t="s">
        <v>16</v>
      </c>
      <c r="H3514">
        <v>-0.75</v>
      </c>
      <c r="I3514">
        <v>-10</v>
      </c>
      <c r="J3514">
        <v>-3.33</v>
      </c>
      <c r="L3514">
        <v>-0.74</v>
      </c>
      <c r="M3514">
        <v>80.77</v>
      </c>
      <c r="N3514">
        <v>0.01</v>
      </c>
      <c r="O3514">
        <v>2.84</v>
      </c>
    </row>
    <row r="3515" spans="1:15">
      <c r="A3515" t="str">
        <f>"600817"</f>
        <v>600817</v>
      </c>
      <c r="B3515" t="s">
        <v>3556</v>
      </c>
      <c r="C3515">
        <v>-1.43</v>
      </c>
      <c r="D3515">
        <v>8.99</v>
      </c>
      <c r="E3515" t="s">
        <v>16</v>
      </c>
      <c r="F3515" t="s">
        <v>16</v>
      </c>
      <c r="H3515">
        <v>0</v>
      </c>
      <c r="I3515">
        <v>-5.07</v>
      </c>
      <c r="J3515">
        <v>-1.64</v>
      </c>
      <c r="L3515">
        <v>0</v>
      </c>
      <c r="M3515">
        <v>2.46</v>
      </c>
      <c r="N3515">
        <v>0</v>
      </c>
      <c r="O3515">
        <v>1.17</v>
      </c>
    </row>
    <row r="3516" spans="1:15">
      <c r="A3516" t="str">
        <f>"600818"</f>
        <v>600818</v>
      </c>
      <c r="B3516" t="s">
        <v>3557</v>
      </c>
      <c r="C3516">
        <v>-4.52</v>
      </c>
      <c r="D3516">
        <v>5.28</v>
      </c>
      <c r="E3516" t="s">
        <v>16</v>
      </c>
      <c r="F3516" t="s">
        <v>16</v>
      </c>
      <c r="H3516">
        <v>-0.37</v>
      </c>
      <c r="I3516">
        <v>-7.04</v>
      </c>
      <c r="J3516">
        <v>-4.52</v>
      </c>
      <c r="L3516">
        <v>-0.9</v>
      </c>
      <c r="M3516">
        <v>5.15</v>
      </c>
      <c r="N3516">
        <v>0</v>
      </c>
      <c r="O3516">
        <v>0.18</v>
      </c>
    </row>
    <row r="3517" spans="1:15">
      <c r="A3517" t="str">
        <f>"600819"</f>
        <v>600819</v>
      </c>
      <c r="B3517" t="s">
        <v>3558</v>
      </c>
      <c r="C3517">
        <v>-9.91</v>
      </c>
      <c r="D3517">
        <v>6.18</v>
      </c>
      <c r="E3517" t="s">
        <v>16</v>
      </c>
      <c r="F3517" t="s">
        <v>16</v>
      </c>
      <c r="H3517">
        <v>-0.31</v>
      </c>
      <c r="I3517">
        <v>-3.44</v>
      </c>
      <c r="J3517">
        <v>-6.08</v>
      </c>
      <c r="L3517">
        <v>-4.52</v>
      </c>
      <c r="M3517">
        <v>211.89</v>
      </c>
      <c r="N3517">
        <v>0.12</v>
      </c>
      <c r="O3517">
        <v>4.03</v>
      </c>
    </row>
    <row r="3518" spans="1:15">
      <c r="A3518" t="str">
        <f>"600820"</f>
        <v>600820</v>
      </c>
      <c r="B3518" t="s">
        <v>3559</v>
      </c>
      <c r="C3518">
        <v>-0.18</v>
      </c>
      <c r="D3518">
        <v>5.44</v>
      </c>
      <c r="E3518" t="s">
        <v>16</v>
      </c>
      <c r="F3518" t="s">
        <v>16</v>
      </c>
      <c r="H3518">
        <v>-0.17</v>
      </c>
      <c r="I3518">
        <v>-2.51</v>
      </c>
      <c r="J3518">
        <v>-0.55</v>
      </c>
      <c r="L3518">
        <v>0.18</v>
      </c>
      <c r="M3518">
        <v>28.99</v>
      </c>
      <c r="N3518">
        <v>0</v>
      </c>
      <c r="O3518">
        <v>0.89</v>
      </c>
    </row>
    <row r="3519" spans="1:15">
      <c r="A3519" t="str">
        <f>"600821"</f>
        <v>600821</v>
      </c>
      <c r="B3519" t="s">
        <v>3560</v>
      </c>
      <c r="C3519">
        <v>-1.8</v>
      </c>
      <c r="D3519">
        <v>6.55</v>
      </c>
      <c r="E3519" t="s">
        <v>16</v>
      </c>
      <c r="F3519" t="s">
        <v>16</v>
      </c>
      <c r="H3519">
        <v>-0.14</v>
      </c>
      <c r="I3519">
        <v>-24.01</v>
      </c>
      <c r="J3519">
        <v>-2.24</v>
      </c>
      <c r="L3519">
        <v>-0.75</v>
      </c>
      <c r="M3519">
        <v>158.68</v>
      </c>
      <c r="N3519">
        <v>0.02</v>
      </c>
      <c r="O3519">
        <v>0.99</v>
      </c>
    </row>
    <row r="3520" spans="1:15">
      <c r="A3520" t="str">
        <f>"600822"</f>
        <v>600822</v>
      </c>
      <c r="B3520" t="s">
        <v>3561</v>
      </c>
      <c r="C3520">
        <v>0.84</v>
      </c>
      <c r="D3520">
        <v>8.39</v>
      </c>
      <c r="E3520" t="s">
        <v>16</v>
      </c>
      <c r="F3520" t="s">
        <v>16</v>
      </c>
      <c r="H3520">
        <v>-0.23</v>
      </c>
      <c r="I3520">
        <v>-2.89</v>
      </c>
      <c r="J3520">
        <v>-4.88</v>
      </c>
      <c r="L3520">
        <v>-0.84</v>
      </c>
      <c r="M3520">
        <v>9.24</v>
      </c>
      <c r="N3520">
        <v>0.01</v>
      </c>
      <c r="O3520">
        <v>0.81</v>
      </c>
    </row>
    <row r="3521" spans="1:15">
      <c r="A3521" t="str">
        <f>"600824"</f>
        <v>600824</v>
      </c>
      <c r="B3521" t="s">
        <v>3562</v>
      </c>
      <c r="C3521">
        <v>-1.14</v>
      </c>
      <c r="D3521">
        <v>3.48</v>
      </c>
      <c r="E3521" t="s">
        <v>16</v>
      </c>
      <c r="F3521" t="s">
        <v>16</v>
      </c>
      <c r="H3521">
        <v>0</v>
      </c>
      <c r="I3521">
        <v>-5.69</v>
      </c>
      <c r="J3521">
        <v>-1.42</v>
      </c>
      <c r="L3521">
        <v>-0.28</v>
      </c>
      <c r="M3521">
        <v>7.55</v>
      </c>
      <c r="N3521">
        <v>0</v>
      </c>
      <c r="O3521">
        <v>2.07</v>
      </c>
    </row>
    <row r="3522" spans="1:15">
      <c r="A3522" t="str">
        <f>"600825"</f>
        <v>600825</v>
      </c>
      <c r="B3522" t="s">
        <v>3563</v>
      </c>
      <c r="C3522">
        <v>2.42</v>
      </c>
      <c r="D3522">
        <v>4.66</v>
      </c>
      <c r="E3522" t="s">
        <v>16</v>
      </c>
      <c r="F3522" t="s">
        <v>16</v>
      </c>
      <c r="H3522">
        <v>0</v>
      </c>
      <c r="I3522">
        <v>-4.7</v>
      </c>
      <c r="J3522">
        <v>-1.89</v>
      </c>
      <c r="L3522">
        <v>1.1</v>
      </c>
      <c r="M3522">
        <v>139.29</v>
      </c>
      <c r="N3522">
        <v>0.06</v>
      </c>
      <c r="O3522">
        <v>7.78</v>
      </c>
    </row>
    <row r="3523" spans="1:15">
      <c r="A3523" t="str">
        <f>"600826"</f>
        <v>600826</v>
      </c>
      <c r="B3523" t="s">
        <v>3564</v>
      </c>
      <c r="C3523">
        <v>-6.79</v>
      </c>
      <c r="D3523">
        <v>9.34</v>
      </c>
      <c r="E3523" t="s">
        <v>16</v>
      </c>
      <c r="F3523" t="s">
        <v>16</v>
      </c>
      <c r="H3523">
        <v>-0.2</v>
      </c>
      <c r="I3523">
        <v>9.88</v>
      </c>
      <c r="J3523">
        <v>-7.98</v>
      </c>
      <c r="L3523">
        <v>1.3</v>
      </c>
      <c r="M3523">
        <v>118.15</v>
      </c>
      <c r="N3523">
        <v>0.04</v>
      </c>
      <c r="O3523">
        <v>1.15</v>
      </c>
    </row>
    <row r="3524" spans="1:15">
      <c r="A3524" t="str">
        <f>"600827"</f>
        <v>600827</v>
      </c>
      <c r="B3524" t="s">
        <v>3565</v>
      </c>
      <c r="C3524">
        <v>-1.75</v>
      </c>
      <c r="D3524">
        <v>7.84</v>
      </c>
      <c r="E3524" t="s">
        <v>16</v>
      </c>
      <c r="F3524" t="s">
        <v>16</v>
      </c>
      <c r="H3524">
        <v>-0.12</v>
      </c>
      <c r="I3524">
        <v>-2.85</v>
      </c>
      <c r="J3524">
        <v>-2</v>
      </c>
      <c r="L3524">
        <v>0</v>
      </c>
      <c r="M3524">
        <v>10.85</v>
      </c>
      <c r="N3524">
        <v>0</v>
      </c>
      <c r="O3524">
        <v>1.27</v>
      </c>
    </row>
    <row r="3525" spans="1:15">
      <c r="A3525" t="str">
        <f>"600828"</f>
        <v>600828</v>
      </c>
      <c r="B3525" t="s">
        <v>3566</v>
      </c>
      <c r="C3525">
        <v>-4.3</v>
      </c>
      <c r="D3525">
        <v>3.78</v>
      </c>
      <c r="E3525" t="s">
        <v>16</v>
      </c>
      <c r="F3525" t="s">
        <v>16</v>
      </c>
      <c r="H3525">
        <v>-0.25</v>
      </c>
      <c r="I3525">
        <v>-23.64</v>
      </c>
      <c r="J3525">
        <v>-4.55</v>
      </c>
      <c r="L3525">
        <v>0</v>
      </c>
      <c r="M3525">
        <v>100.65</v>
      </c>
      <c r="N3525">
        <v>0.1</v>
      </c>
      <c r="O3525">
        <v>0.77</v>
      </c>
    </row>
    <row r="3526" spans="1:15">
      <c r="A3526" t="str">
        <f>"600829"</f>
        <v>600829</v>
      </c>
      <c r="B3526" t="s">
        <v>3567</v>
      </c>
      <c r="C3526">
        <v>-0.97</v>
      </c>
      <c r="D3526">
        <v>8.21</v>
      </c>
      <c r="E3526" t="s">
        <v>16</v>
      </c>
      <c r="F3526" t="s">
        <v>16</v>
      </c>
      <c r="H3526">
        <v>0.12</v>
      </c>
      <c r="I3526">
        <v>-3.75</v>
      </c>
      <c r="J3526">
        <v>-1.44</v>
      </c>
      <c r="L3526">
        <v>-1.09</v>
      </c>
      <c r="M3526">
        <v>9.27</v>
      </c>
      <c r="N3526">
        <v>0.01</v>
      </c>
      <c r="O3526">
        <v>2.02</v>
      </c>
    </row>
    <row r="3527" spans="1:15">
      <c r="A3527" t="str">
        <f>"600830"</f>
        <v>600830</v>
      </c>
      <c r="B3527" t="s">
        <v>3568</v>
      </c>
      <c r="C3527">
        <v>-3.1</v>
      </c>
      <c r="D3527">
        <v>8.44</v>
      </c>
      <c r="E3527" t="s">
        <v>16</v>
      </c>
      <c r="F3527" t="s">
        <v>16</v>
      </c>
      <c r="H3527">
        <v>-0.11</v>
      </c>
      <c r="I3527">
        <v>8.21</v>
      </c>
      <c r="J3527">
        <v>-2.99</v>
      </c>
      <c r="L3527">
        <v>-0.11</v>
      </c>
      <c r="M3527">
        <v>11.05</v>
      </c>
      <c r="N3527">
        <v>0</v>
      </c>
      <c r="O3527">
        <v>0.8</v>
      </c>
    </row>
    <row r="3528" spans="1:15">
      <c r="A3528" t="str">
        <f>"600831"</f>
        <v>600831</v>
      </c>
      <c r="B3528" t="s">
        <v>3569</v>
      </c>
      <c r="C3528">
        <v>-2.22</v>
      </c>
      <c r="D3528">
        <v>3.08</v>
      </c>
      <c r="E3528" t="s">
        <v>16</v>
      </c>
      <c r="F3528" t="s">
        <v>16</v>
      </c>
      <c r="H3528">
        <v>0</v>
      </c>
      <c r="I3528">
        <v>-13.73</v>
      </c>
      <c r="J3528">
        <v>-2.53</v>
      </c>
      <c r="L3528">
        <v>-1.27</v>
      </c>
      <c r="M3528">
        <v>13.72</v>
      </c>
      <c r="N3528">
        <v>0.01</v>
      </c>
      <c r="O3528">
        <v>0.77</v>
      </c>
    </row>
    <row r="3529" spans="1:15">
      <c r="A3529" t="str">
        <f>"600833"</f>
        <v>600833</v>
      </c>
      <c r="B3529" t="s">
        <v>3570</v>
      </c>
      <c r="C3529">
        <v>-0.41</v>
      </c>
      <c r="D3529">
        <v>9.69</v>
      </c>
      <c r="E3529" t="s">
        <v>16</v>
      </c>
      <c r="F3529" t="s">
        <v>16</v>
      </c>
      <c r="H3529">
        <v>-0.09</v>
      </c>
      <c r="I3529">
        <v>-4.15</v>
      </c>
      <c r="J3529">
        <v>-1.02</v>
      </c>
      <c r="L3529">
        <v>-0.62</v>
      </c>
      <c r="M3529">
        <v>10.93</v>
      </c>
      <c r="N3529">
        <v>0.01</v>
      </c>
      <c r="O3529">
        <v>0.9</v>
      </c>
    </row>
    <row r="3530" spans="1:15">
      <c r="A3530" t="str">
        <f>"600834"</f>
        <v>600834</v>
      </c>
      <c r="B3530" t="s">
        <v>3571</v>
      </c>
      <c r="C3530">
        <v>-0.57</v>
      </c>
      <c r="D3530">
        <v>6.98</v>
      </c>
      <c r="E3530" t="s">
        <v>16</v>
      </c>
      <c r="F3530" t="s">
        <v>16</v>
      </c>
      <c r="H3530">
        <v>0.29</v>
      </c>
      <c r="I3530">
        <v>-4.12</v>
      </c>
      <c r="J3530">
        <v>-0.57</v>
      </c>
      <c r="L3530">
        <v>-0.14</v>
      </c>
      <c r="M3530">
        <v>7.15</v>
      </c>
      <c r="N3530">
        <v>0.01</v>
      </c>
      <c r="O3530">
        <v>2.22</v>
      </c>
    </row>
    <row r="3531" spans="1:15">
      <c r="A3531" t="str">
        <f>"600835"</f>
        <v>600835</v>
      </c>
      <c r="B3531" t="s">
        <v>3572</v>
      </c>
      <c r="C3531">
        <v>10.02</v>
      </c>
      <c r="D3531">
        <v>22.4</v>
      </c>
      <c r="E3531">
        <v>2549.79</v>
      </c>
      <c r="F3531">
        <v>1</v>
      </c>
      <c r="H3531">
        <v>0</v>
      </c>
      <c r="I3531">
        <v>2.52</v>
      </c>
      <c r="J3531">
        <v>0</v>
      </c>
      <c r="K3531" t="s">
        <v>140</v>
      </c>
      <c r="L3531">
        <v>-0.34</v>
      </c>
      <c r="M3531">
        <v>13.19</v>
      </c>
      <c r="N3531">
        <v>0</v>
      </c>
      <c r="O3531">
        <v>0.32</v>
      </c>
    </row>
    <row r="3532" spans="1:15">
      <c r="A3532" t="str">
        <f>"600838"</f>
        <v>600838</v>
      </c>
      <c r="B3532" t="s">
        <v>3573</v>
      </c>
      <c r="C3532">
        <v>-1.68</v>
      </c>
      <c r="D3532">
        <v>7.62</v>
      </c>
      <c r="E3532" t="s">
        <v>16</v>
      </c>
      <c r="F3532" t="s">
        <v>16</v>
      </c>
      <c r="H3532">
        <v>0.13</v>
      </c>
      <c r="I3532">
        <v>-3.67</v>
      </c>
      <c r="J3532">
        <v>-2.81</v>
      </c>
      <c r="L3532">
        <v>0</v>
      </c>
      <c r="M3532">
        <v>2.87</v>
      </c>
      <c r="N3532">
        <v>0</v>
      </c>
      <c r="O3532">
        <v>0.64</v>
      </c>
    </row>
    <row r="3533" spans="1:15">
      <c r="A3533" t="str">
        <f>"600839"</f>
        <v>600839</v>
      </c>
      <c r="B3533" t="s">
        <v>3574</v>
      </c>
      <c r="C3533">
        <v>-2.02</v>
      </c>
      <c r="D3533">
        <v>6.78</v>
      </c>
      <c r="E3533" t="s">
        <v>16</v>
      </c>
      <c r="F3533" t="s">
        <v>16</v>
      </c>
      <c r="H3533">
        <v>0.15</v>
      </c>
      <c r="I3533">
        <v>-3.42</v>
      </c>
      <c r="J3533">
        <v>-2.45</v>
      </c>
      <c r="L3533">
        <v>0.14</v>
      </c>
      <c r="M3533">
        <v>163.96</v>
      </c>
      <c r="N3533">
        <v>0.01</v>
      </c>
      <c r="O3533">
        <v>1.04</v>
      </c>
    </row>
    <row r="3534" spans="1:15">
      <c r="A3534" t="str">
        <f>"600841"</f>
        <v>600841</v>
      </c>
      <c r="B3534" t="s">
        <v>3575</v>
      </c>
      <c r="C3534">
        <v>0.76</v>
      </c>
      <c r="D3534">
        <v>6.67</v>
      </c>
      <c r="E3534" t="s">
        <v>16</v>
      </c>
      <c r="F3534" t="s">
        <v>16</v>
      </c>
      <c r="H3534">
        <v>0.3</v>
      </c>
      <c r="I3534">
        <v>-9.99</v>
      </c>
      <c r="J3534">
        <v>-1.48</v>
      </c>
      <c r="L3534">
        <v>-1.06</v>
      </c>
      <c r="M3534">
        <v>25.15</v>
      </c>
      <c r="N3534">
        <v>0.01</v>
      </c>
      <c r="O3534">
        <v>1.41</v>
      </c>
    </row>
    <row r="3535" spans="1:15">
      <c r="A3535" t="str">
        <f>"600843"</f>
        <v>600843</v>
      </c>
      <c r="B3535" t="s">
        <v>3576</v>
      </c>
      <c r="C3535">
        <v>-4.18</v>
      </c>
      <c r="D3535">
        <v>7.56</v>
      </c>
      <c r="E3535" t="s">
        <v>16</v>
      </c>
      <c r="F3535" t="s">
        <v>16</v>
      </c>
      <c r="H3535">
        <v>-0.25</v>
      </c>
      <c r="I3535">
        <v>1.61</v>
      </c>
      <c r="J3535">
        <v>-3.94</v>
      </c>
      <c r="L3535">
        <v>-0.63</v>
      </c>
      <c r="M3535">
        <v>37.16</v>
      </c>
      <c r="N3535">
        <v>0.01</v>
      </c>
      <c r="O3535">
        <v>0.42</v>
      </c>
    </row>
    <row r="3536" spans="1:15">
      <c r="A3536" t="str">
        <f>"600844"</f>
        <v>600844</v>
      </c>
      <c r="B3536" t="s">
        <v>3577</v>
      </c>
      <c r="C3536">
        <v>-2.26</v>
      </c>
      <c r="D3536">
        <v>2.6</v>
      </c>
      <c r="E3536" t="s">
        <v>16</v>
      </c>
      <c r="F3536" t="s">
        <v>16</v>
      </c>
      <c r="H3536">
        <v>0</v>
      </c>
      <c r="I3536">
        <v>-12.75</v>
      </c>
      <c r="J3536">
        <v>-2.62</v>
      </c>
      <c r="L3536">
        <v>0.38</v>
      </c>
      <c r="M3536">
        <v>24.67</v>
      </c>
      <c r="N3536">
        <v>0.02</v>
      </c>
      <c r="O3536">
        <v>2.79</v>
      </c>
    </row>
    <row r="3537" spans="1:15">
      <c r="A3537" t="str">
        <f>"600845"</f>
        <v>600845</v>
      </c>
      <c r="B3537" t="s">
        <v>3578</v>
      </c>
      <c r="C3537">
        <v>1.02</v>
      </c>
      <c r="D3537">
        <v>17.9</v>
      </c>
      <c r="E3537" t="s">
        <v>16</v>
      </c>
      <c r="F3537" t="s">
        <v>16</v>
      </c>
      <c r="H3537">
        <v>-0.32</v>
      </c>
      <c r="I3537">
        <v>-7.3</v>
      </c>
      <c r="J3537">
        <v>-1.65</v>
      </c>
      <c r="L3537">
        <v>-0.56</v>
      </c>
      <c r="M3537">
        <v>170.56</v>
      </c>
      <c r="N3537">
        <v>0.01</v>
      </c>
      <c r="O3537">
        <v>3.15</v>
      </c>
    </row>
    <row r="3538" spans="1:15">
      <c r="A3538" t="str">
        <f>"600846"</f>
        <v>600846</v>
      </c>
      <c r="B3538" t="s">
        <v>3579</v>
      </c>
      <c r="C3538">
        <v>-2.45</v>
      </c>
      <c r="D3538">
        <v>9.55</v>
      </c>
      <c r="E3538" t="s">
        <v>16</v>
      </c>
      <c r="F3538" t="s">
        <v>16</v>
      </c>
      <c r="H3538">
        <v>-0.2</v>
      </c>
      <c r="I3538">
        <v>-18.52</v>
      </c>
      <c r="J3538">
        <v>-3.83</v>
      </c>
      <c r="L3538">
        <v>0.1</v>
      </c>
      <c r="M3538">
        <v>19.6</v>
      </c>
      <c r="N3538">
        <v>0.01</v>
      </c>
      <c r="O3538">
        <v>0.53</v>
      </c>
    </row>
    <row r="3539" spans="1:15">
      <c r="A3539" t="str">
        <f>"600847"</f>
        <v>600847</v>
      </c>
      <c r="B3539" t="s">
        <v>3580</v>
      </c>
      <c r="C3539">
        <v>5.7</v>
      </c>
      <c r="D3539">
        <v>14.47</v>
      </c>
      <c r="E3539" t="s">
        <v>16</v>
      </c>
      <c r="F3539" t="s">
        <v>16</v>
      </c>
      <c r="H3539">
        <v>-0.61</v>
      </c>
      <c r="I3539">
        <v>-3.08</v>
      </c>
      <c r="J3539">
        <v>-2.76</v>
      </c>
      <c r="L3539">
        <v>-2.48</v>
      </c>
      <c r="M3539">
        <v>28.44</v>
      </c>
      <c r="N3539">
        <v>0.03</v>
      </c>
      <c r="O3539">
        <v>0.58</v>
      </c>
    </row>
    <row r="3540" spans="1:15">
      <c r="A3540" t="str">
        <f>"600848"</f>
        <v>600848</v>
      </c>
      <c r="B3540" t="s">
        <v>3581</v>
      </c>
      <c r="C3540">
        <v>0</v>
      </c>
      <c r="D3540">
        <v>8.01</v>
      </c>
      <c r="E3540" t="s">
        <v>16</v>
      </c>
      <c r="F3540" t="s">
        <v>16</v>
      </c>
      <c r="H3540">
        <v>-0.11</v>
      </c>
      <c r="I3540">
        <v>-7.29</v>
      </c>
      <c r="J3540">
        <v>-0.37</v>
      </c>
      <c r="L3540">
        <v>0</v>
      </c>
      <c r="M3540">
        <v>28.36</v>
      </c>
      <c r="N3540">
        <v>0</v>
      </c>
      <c r="O3540">
        <v>1.34</v>
      </c>
    </row>
    <row r="3541" spans="1:15">
      <c r="A3541" t="str">
        <f>"600850"</f>
        <v>600850</v>
      </c>
      <c r="B3541" t="s">
        <v>3582</v>
      </c>
      <c r="C3541">
        <v>-1.46</v>
      </c>
      <c r="D3541">
        <v>19.59</v>
      </c>
      <c r="E3541" t="s">
        <v>16</v>
      </c>
      <c r="F3541" t="s">
        <v>16</v>
      </c>
      <c r="H3541">
        <v>0.05</v>
      </c>
      <c r="I3541">
        <v>-6.18</v>
      </c>
      <c r="J3541">
        <v>-1.11</v>
      </c>
      <c r="L3541">
        <v>-1.06</v>
      </c>
      <c r="M3541">
        <v>158.34</v>
      </c>
      <c r="N3541">
        <v>0.02</v>
      </c>
      <c r="O3541">
        <v>2.37</v>
      </c>
    </row>
    <row r="3542" spans="1:15">
      <c r="A3542" t="str">
        <f>"600851"</f>
        <v>600851</v>
      </c>
      <c r="B3542" t="s">
        <v>3583</v>
      </c>
      <c r="C3542">
        <v>9.99</v>
      </c>
      <c r="D3542">
        <v>8.04</v>
      </c>
      <c r="E3542">
        <v>7270.89</v>
      </c>
      <c r="F3542">
        <v>1</v>
      </c>
      <c r="H3542">
        <v>0</v>
      </c>
      <c r="I3542">
        <v>8.8</v>
      </c>
      <c r="J3542">
        <v>0</v>
      </c>
      <c r="K3542" t="s">
        <v>140</v>
      </c>
      <c r="L3542">
        <v>0.14</v>
      </c>
      <c r="M3542">
        <v>41.07</v>
      </c>
      <c r="N3542">
        <v>0.01</v>
      </c>
      <c r="O3542">
        <v>7.01</v>
      </c>
    </row>
    <row r="3543" spans="1:15">
      <c r="A3543" t="str">
        <f>"600853"</f>
        <v>600853</v>
      </c>
      <c r="B3543" t="s">
        <v>3584</v>
      </c>
      <c r="C3543">
        <v>-0.92</v>
      </c>
      <c r="D3543">
        <v>3.22</v>
      </c>
      <c r="E3543" t="s">
        <v>16</v>
      </c>
      <c r="F3543" t="s">
        <v>16</v>
      </c>
      <c r="H3543">
        <v>0</v>
      </c>
      <c r="I3543">
        <v>-8.52</v>
      </c>
      <c r="J3543">
        <v>-0.92</v>
      </c>
      <c r="L3543">
        <v>-0.62</v>
      </c>
      <c r="M3543">
        <v>14.41</v>
      </c>
      <c r="N3543">
        <v>0.01</v>
      </c>
      <c r="O3543">
        <v>1.63</v>
      </c>
    </row>
    <row r="3544" spans="1:15">
      <c r="A3544" t="str">
        <f>"600854"</f>
        <v>600854</v>
      </c>
      <c r="B3544" t="s">
        <v>3585</v>
      </c>
      <c r="C3544">
        <v>-1.16</v>
      </c>
      <c r="D3544">
        <v>4.25</v>
      </c>
      <c r="E3544" t="s">
        <v>16</v>
      </c>
      <c r="F3544" t="s">
        <v>16</v>
      </c>
      <c r="H3544">
        <v>0</v>
      </c>
      <c r="I3544">
        <v>-7.81</v>
      </c>
      <c r="J3544">
        <v>-0.93</v>
      </c>
      <c r="L3544">
        <v>-0.7</v>
      </c>
      <c r="M3544">
        <v>5.81</v>
      </c>
      <c r="N3544">
        <v>0</v>
      </c>
      <c r="O3544">
        <v>1.01</v>
      </c>
    </row>
    <row r="3545" spans="1:15">
      <c r="A3545" t="str">
        <f>"600855"</f>
        <v>600855</v>
      </c>
      <c r="B3545" t="s">
        <v>3586</v>
      </c>
      <c r="C3545">
        <v>-0.67</v>
      </c>
      <c r="D3545">
        <v>14.79</v>
      </c>
      <c r="E3545" t="s">
        <v>16</v>
      </c>
      <c r="F3545" t="s">
        <v>16</v>
      </c>
      <c r="H3545">
        <v>0</v>
      </c>
      <c r="I3545">
        <v>-1.99</v>
      </c>
      <c r="J3545">
        <v>-2.12</v>
      </c>
      <c r="L3545">
        <v>-0.6</v>
      </c>
      <c r="M3545">
        <v>16.13</v>
      </c>
      <c r="N3545">
        <v>0</v>
      </c>
      <c r="O3545">
        <v>3.21</v>
      </c>
    </row>
    <row r="3546" spans="1:15">
      <c r="A3546" t="str">
        <f>"600857"</f>
        <v>600857</v>
      </c>
      <c r="B3546" t="s">
        <v>3587</v>
      </c>
      <c r="C3546">
        <v>-0.62</v>
      </c>
      <c r="D3546">
        <v>16.02</v>
      </c>
      <c r="E3546" t="s">
        <v>16</v>
      </c>
      <c r="F3546" t="s">
        <v>16</v>
      </c>
      <c r="H3546">
        <v>0.31</v>
      </c>
      <c r="I3546">
        <v>1.71</v>
      </c>
      <c r="J3546">
        <v>-2.38</v>
      </c>
      <c r="L3546">
        <v>-1.49</v>
      </c>
      <c r="M3546">
        <v>118.31</v>
      </c>
      <c r="N3546">
        <v>0.05</v>
      </c>
      <c r="O3546">
        <v>1.91</v>
      </c>
    </row>
    <row r="3547" spans="1:15">
      <c r="A3547" t="str">
        <f>"600858"</f>
        <v>600858</v>
      </c>
      <c r="B3547" t="s">
        <v>3588</v>
      </c>
      <c r="C3547">
        <v>-0.43</v>
      </c>
      <c r="D3547">
        <v>4.66</v>
      </c>
      <c r="E3547" t="s">
        <v>16</v>
      </c>
      <c r="F3547" t="s">
        <v>16</v>
      </c>
      <c r="H3547">
        <v>0.22</v>
      </c>
      <c r="I3547">
        <v>-6.43</v>
      </c>
      <c r="J3547">
        <v>-0.64</v>
      </c>
      <c r="L3547">
        <v>-0.43</v>
      </c>
      <c r="M3547">
        <v>32.2</v>
      </c>
      <c r="N3547">
        <v>0.02</v>
      </c>
      <c r="O3547">
        <v>2.83</v>
      </c>
    </row>
    <row r="3548" spans="1:15">
      <c r="A3548" t="str">
        <f>"600859"</f>
        <v>600859</v>
      </c>
      <c r="B3548" t="s">
        <v>3589</v>
      </c>
      <c r="C3548">
        <v>-2.17</v>
      </c>
      <c r="D3548">
        <v>9.91</v>
      </c>
      <c r="E3548" t="s">
        <v>16</v>
      </c>
      <c r="F3548" t="s">
        <v>16</v>
      </c>
      <c r="H3548">
        <v>-0.09</v>
      </c>
      <c r="I3548">
        <v>-5.17</v>
      </c>
      <c r="J3548">
        <v>-2.08</v>
      </c>
      <c r="L3548">
        <v>-0.49</v>
      </c>
      <c r="M3548">
        <v>38.2</v>
      </c>
      <c r="N3548">
        <v>0.01</v>
      </c>
      <c r="O3548">
        <v>0.04</v>
      </c>
    </row>
    <row r="3549" spans="1:15">
      <c r="A3549" t="str">
        <f>"600860"</f>
        <v>600860</v>
      </c>
      <c r="B3549" t="s">
        <v>3590</v>
      </c>
      <c r="C3549">
        <v>-5.05</v>
      </c>
      <c r="D3549">
        <v>8.64</v>
      </c>
      <c r="E3549" t="s">
        <v>16</v>
      </c>
      <c r="F3549" t="s">
        <v>16</v>
      </c>
      <c r="H3549">
        <v>0.12</v>
      </c>
      <c r="I3549">
        <v>-3.68</v>
      </c>
      <c r="J3549">
        <v>-4</v>
      </c>
      <c r="L3549">
        <v>-1.32</v>
      </c>
      <c r="M3549">
        <v>155.89</v>
      </c>
      <c r="N3549">
        <v>0.09</v>
      </c>
      <c r="O3549">
        <v>0.88</v>
      </c>
    </row>
    <row r="3550" spans="1:15">
      <c r="A3550" t="str">
        <f>"600861"</f>
        <v>600861</v>
      </c>
      <c r="B3550" t="s">
        <v>3591</v>
      </c>
      <c r="C3550">
        <v>-0.54</v>
      </c>
      <c r="D3550">
        <v>12.96</v>
      </c>
      <c r="E3550" t="s">
        <v>16</v>
      </c>
      <c r="F3550" t="s">
        <v>16</v>
      </c>
      <c r="H3550">
        <v>-0.14</v>
      </c>
      <c r="I3550">
        <v>-0.92</v>
      </c>
      <c r="J3550">
        <v>-0.99</v>
      </c>
      <c r="L3550">
        <v>-0.38</v>
      </c>
      <c r="M3550">
        <v>24.53</v>
      </c>
      <c r="N3550">
        <v>0.01</v>
      </c>
      <c r="O3550">
        <v>0.12</v>
      </c>
    </row>
    <row r="3551" spans="1:15">
      <c r="A3551" t="str">
        <f>"600862"</f>
        <v>600862</v>
      </c>
      <c r="B3551" t="s">
        <v>3592</v>
      </c>
      <c r="C3551">
        <v>-0.96</v>
      </c>
      <c r="D3551">
        <v>18.66</v>
      </c>
      <c r="E3551" t="s">
        <v>16</v>
      </c>
      <c r="F3551" t="s">
        <v>16</v>
      </c>
      <c r="H3551">
        <v>-0.15</v>
      </c>
      <c r="I3551">
        <v>6.87</v>
      </c>
      <c r="J3551">
        <v>-1.53</v>
      </c>
      <c r="L3551">
        <v>-1.22</v>
      </c>
      <c r="M3551">
        <v>256.63</v>
      </c>
      <c r="N3551">
        <v>0.02</v>
      </c>
      <c r="O3551">
        <v>0.87</v>
      </c>
    </row>
    <row r="3552" spans="1:15">
      <c r="A3552" t="str">
        <f>"600863"</f>
        <v>600863</v>
      </c>
      <c r="B3552" t="s">
        <v>3593</v>
      </c>
      <c r="C3552">
        <v>-5.63</v>
      </c>
      <c r="D3552">
        <v>5.36</v>
      </c>
      <c r="E3552" t="s">
        <v>16</v>
      </c>
      <c r="F3552" t="s">
        <v>16</v>
      </c>
      <c r="H3552">
        <v>0</v>
      </c>
      <c r="I3552">
        <v>-22.09</v>
      </c>
      <c r="J3552">
        <v>-9.76</v>
      </c>
      <c r="L3552">
        <v>1.41</v>
      </c>
      <c r="M3552">
        <v>1157.3</v>
      </c>
      <c r="N3552">
        <v>0.07</v>
      </c>
      <c r="O3552">
        <v>1.98</v>
      </c>
    </row>
    <row r="3553" spans="1:15">
      <c r="A3553" t="str">
        <f>"600864"</f>
        <v>600864</v>
      </c>
      <c r="B3553" t="s">
        <v>3594</v>
      </c>
      <c r="C3553">
        <v>-3.49</v>
      </c>
      <c r="D3553">
        <v>5.26</v>
      </c>
      <c r="E3553" t="s">
        <v>16</v>
      </c>
      <c r="F3553" t="s">
        <v>16</v>
      </c>
      <c r="H3553">
        <v>-0.56</v>
      </c>
      <c r="I3553">
        <v>-2.23</v>
      </c>
      <c r="J3553">
        <v>-3.84</v>
      </c>
      <c r="L3553">
        <v>0.37</v>
      </c>
      <c r="M3553">
        <v>108.74</v>
      </c>
      <c r="N3553">
        <v>0.02</v>
      </c>
      <c r="O3553">
        <v>1.7</v>
      </c>
    </row>
    <row r="3554" spans="1:15">
      <c r="A3554" t="str">
        <f>"600865"</f>
        <v>600865</v>
      </c>
      <c r="B3554" t="s">
        <v>3595</v>
      </c>
      <c r="C3554">
        <v>-0.99</v>
      </c>
      <c r="D3554">
        <v>9.03</v>
      </c>
      <c r="E3554" t="s">
        <v>16</v>
      </c>
      <c r="F3554" t="s">
        <v>16</v>
      </c>
      <c r="H3554">
        <v>0.11</v>
      </c>
      <c r="I3554">
        <v>-9.7</v>
      </c>
      <c r="J3554">
        <v>-1.42</v>
      </c>
      <c r="L3554">
        <v>0</v>
      </c>
      <c r="M3554">
        <v>4.56</v>
      </c>
      <c r="N3554">
        <v>0</v>
      </c>
      <c r="O3554">
        <v>0.25</v>
      </c>
    </row>
    <row r="3555" spans="1:15">
      <c r="A3555" t="str">
        <f>"600866"</f>
        <v>600866</v>
      </c>
      <c r="B3555" t="s">
        <v>3596</v>
      </c>
      <c r="C3555">
        <v>-1.04</v>
      </c>
      <c r="D3555">
        <v>4.77</v>
      </c>
      <c r="E3555" t="s">
        <v>16</v>
      </c>
      <c r="F3555" t="s">
        <v>16</v>
      </c>
      <c r="H3555">
        <v>0.42</v>
      </c>
      <c r="I3555">
        <v>-0.42</v>
      </c>
      <c r="J3555">
        <v>-2.45</v>
      </c>
      <c r="L3555">
        <v>0.41</v>
      </c>
      <c r="M3555">
        <v>25.51</v>
      </c>
      <c r="N3555">
        <v>0.01</v>
      </c>
      <c r="O3555">
        <v>0.69</v>
      </c>
    </row>
    <row r="3556" spans="1:15">
      <c r="A3556" t="str">
        <f>"600867"</f>
        <v>600867</v>
      </c>
      <c r="B3556" t="s">
        <v>3597</v>
      </c>
      <c r="C3556">
        <v>1.22</v>
      </c>
      <c r="D3556">
        <v>7.46</v>
      </c>
      <c r="E3556" t="s">
        <v>16</v>
      </c>
      <c r="F3556" t="s">
        <v>16</v>
      </c>
      <c r="H3556">
        <v>0</v>
      </c>
      <c r="I3556">
        <v>-6.52</v>
      </c>
      <c r="J3556">
        <v>-0.27</v>
      </c>
      <c r="L3556">
        <v>-0.14</v>
      </c>
      <c r="M3556">
        <v>11.41</v>
      </c>
      <c r="N3556">
        <v>0</v>
      </c>
      <c r="O3556">
        <v>0.47</v>
      </c>
    </row>
    <row r="3557" spans="1:15">
      <c r="A3557" t="str">
        <f>"600868"</f>
        <v>600868</v>
      </c>
      <c r="B3557" t="s">
        <v>3598</v>
      </c>
      <c r="C3557">
        <v>-3.99</v>
      </c>
      <c r="D3557">
        <v>2.89</v>
      </c>
      <c r="E3557" t="s">
        <v>16</v>
      </c>
      <c r="F3557" t="s">
        <v>16</v>
      </c>
      <c r="H3557">
        <v>0</v>
      </c>
      <c r="I3557">
        <v>-23.54</v>
      </c>
      <c r="J3557">
        <v>-3.67</v>
      </c>
      <c r="L3557">
        <v>-0.33</v>
      </c>
      <c r="M3557">
        <v>48.81</v>
      </c>
      <c r="N3557">
        <v>0.01</v>
      </c>
      <c r="O3557">
        <v>1</v>
      </c>
    </row>
    <row r="3558" spans="1:15">
      <c r="A3558" t="str">
        <f>"600869"</f>
        <v>600869</v>
      </c>
      <c r="B3558" t="s">
        <v>3599</v>
      </c>
      <c r="C3558">
        <v>-1.2</v>
      </c>
      <c r="D3558">
        <v>32.86</v>
      </c>
      <c r="E3558" t="s">
        <v>16</v>
      </c>
      <c r="F3558" t="s">
        <v>16</v>
      </c>
      <c r="H3558">
        <v>-0.26</v>
      </c>
      <c r="I3558">
        <v>24</v>
      </c>
      <c r="J3558">
        <v>-2.84</v>
      </c>
      <c r="L3558">
        <v>0.03</v>
      </c>
      <c r="M3558">
        <v>1554.37</v>
      </c>
      <c r="N3558">
        <v>0.04</v>
      </c>
      <c r="O3558">
        <v>0.66</v>
      </c>
    </row>
    <row r="3559" spans="1:15">
      <c r="A3559" t="str">
        <f>"600871"</f>
        <v>600871</v>
      </c>
      <c r="B3559" t="s">
        <v>3600</v>
      </c>
      <c r="C3559">
        <v>-1.38</v>
      </c>
      <c r="D3559">
        <v>2.14</v>
      </c>
      <c r="E3559" t="s">
        <v>16</v>
      </c>
      <c r="F3559" t="s">
        <v>16</v>
      </c>
      <c r="H3559">
        <v>-0.46</v>
      </c>
      <c r="I3559">
        <v>-7.76</v>
      </c>
      <c r="J3559">
        <v>-3.6</v>
      </c>
      <c r="L3559">
        <v>0</v>
      </c>
      <c r="M3559">
        <v>241.69</v>
      </c>
      <c r="N3559">
        <v>0.03</v>
      </c>
      <c r="O3559">
        <v>1.22</v>
      </c>
    </row>
    <row r="3560" spans="1:15">
      <c r="A3560" t="str">
        <f>"600872"</f>
        <v>600872</v>
      </c>
      <c r="B3560" t="s">
        <v>3601</v>
      </c>
      <c r="C3560">
        <v>0.11</v>
      </c>
      <c r="D3560">
        <v>17.45</v>
      </c>
      <c r="E3560" t="s">
        <v>16</v>
      </c>
      <c r="F3560" t="s">
        <v>16</v>
      </c>
      <c r="H3560">
        <v>0.52</v>
      </c>
      <c r="I3560">
        <v>-4.85</v>
      </c>
      <c r="J3560">
        <v>-0.91</v>
      </c>
      <c r="L3560">
        <v>0</v>
      </c>
      <c r="M3560">
        <v>78.78</v>
      </c>
      <c r="N3560">
        <v>0.01</v>
      </c>
      <c r="O3560">
        <v>2.13</v>
      </c>
    </row>
    <row r="3561" spans="1:15">
      <c r="A3561" t="str">
        <f>"600873"</f>
        <v>600873</v>
      </c>
      <c r="B3561" t="s">
        <v>3602</v>
      </c>
      <c r="C3561">
        <v>-2.58</v>
      </c>
      <c r="D3561">
        <v>8.31</v>
      </c>
      <c r="E3561" t="s">
        <v>16</v>
      </c>
      <c r="F3561" t="s">
        <v>16</v>
      </c>
      <c r="H3561">
        <v>-0.23</v>
      </c>
      <c r="I3561">
        <v>-10.06</v>
      </c>
      <c r="J3561">
        <v>-2.35</v>
      </c>
      <c r="L3561">
        <v>-0.47</v>
      </c>
      <c r="M3561">
        <v>30.22</v>
      </c>
      <c r="N3561">
        <v>0</v>
      </c>
      <c r="O3561">
        <v>0.99</v>
      </c>
    </row>
    <row r="3562" spans="1:15">
      <c r="A3562" t="str">
        <f>"600874"</f>
        <v>600874</v>
      </c>
      <c r="B3562" t="s">
        <v>3603</v>
      </c>
      <c r="C3562">
        <v>-1.04</v>
      </c>
      <c r="D3562">
        <v>5.7</v>
      </c>
      <c r="E3562" t="s">
        <v>16</v>
      </c>
      <c r="F3562" t="s">
        <v>16</v>
      </c>
      <c r="H3562">
        <v>0</v>
      </c>
      <c r="I3562">
        <v>0.88</v>
      </c>
      <c r="J3562">
        <v>-0.87</v>
      </c>
      <c r="L3562">
        <v>-0.52</v>
      </c>
      <c r="M3562">
        <v>21.37</v>
      </c>
      <c r="N3562">
        <v>0.01</v>
      </c>
      <c r="O3562">
        <v>0.55</v>
      </c>
    </row>
    <row r="3563" spans="1:15">
      <c r="A3563" t="str">
        <f>"600875"</f>
        <v>600875</v>
      </c>
      <c r="B3563" t="s">
        <v>3604</v>
      </c>
      <c r="C3563">
        <v>2.68</v>
      </c>
      <c r="D3563">
        <v>32.56</v>
      </c>
      <c r="E3563" t="s">
        <v>16</v>
      </c>
      <c r="F3563" t="s">
        <v>16</v>
      </c>
      <c r="H3563">
        <v>-0.14</v>
      </c>
      <c r="I3563">
        <v>-3.75</v>
      </c>
      <c r="J3563">
        <v>-4.21</v>
      </c>
      <c r="L3563">
        <v>0.03</v>
      </c>
      <c r="M3563">
        <v>921.76</v>
      </c>
      <c r="N3563">
        <v>0.02</v>
      </c>
      <c r="O3563">
        <v>1.51</v>
      </c>
    </row>
    <row r="3564" spans="1:15">
      <c r="A3564" t="str">
        <f>"600876"</f>
        <v>600876</v>
      </c>
      <c r="B3564" t="s">
        <v>3605</v>
      </c>
      <c r="C3564">
        <v>5.41</v>
      </c>
      <c r="D3564">
        <v>9.93</v>
      </c>
      <c r="E3564" t="s">
        <v>16</v>
      </c>
      <c r="F3564" t="s">
        <v>16</v>
      </c>
      <c r="H3564">
        <v>-0.09</v>
      </c>
      <c r="I3564">
        <v>17.38</v>
      </c>
      <c r="J3564">
        <v>-4.15</v>
      </c>
      <c r="K3564" t="s">
        <v>54</v>
      </c>
      <c r="L3564">
        <v>4.99</v>
      </c>
      <c r="M3564">
        <v>809.99</v>
      </c>
      <c r="N3564">
        <v>0.54</v>
      </c>
      <c r="O3564">
        <v>16.28</v>
      </c>
    </row>
    <row r="3565" spans="1:15">
      <c r="A3565" t="str">
        <f>"600877"</f>
        <v>600877</v>
      </c>
      <c r="B3565" t="s">
        <v>3606</v>
      </c>
      <c r="C3565">
        <v>-0.28</v>
      </c>
      <c r="D3565">
        <v>14.16</v>
      </c>
      <c r="E3565" t="s">
        <v>16</v>
      </c>
      <c r="F3565" t="s">
        <v>16</v>
      </c>
      <c r="H3565">
        <v>0</v>
      </c>
      <c r="I3565">
        <v>1.94</v>
      </c>
      <c r="J3565">
        <v>-0.91</v>
      </c>
      <c r="L3565">
        <v>-0.21</v>
      </c>
      <c r="M3565">
        <v>115.34</v>
      </c>
      <c r="N3565">
        <v>0.01</v>
      </c>
      <c r="O3565">
        <v>1.15</v>
      </c>
    </row>
    <row r="3566" spans="1:15">
      <c r="A3566" t="str">
        <f>"600879"</f>
        <v>600879</v>
      </c>
      <c r="B3566" t="s">
        <v>3607</v>
      </c>
      <c r="C3566">
        <v>2.28</v>
      </c>
      <c r="D3566">
        <v>20.66</v>
      </c>
      <c r="E3566" t="s">
        <v>16</v>
      </c>
      <c r="F3566" t="s">
        <v>16</v>
      </c>
      <c r="H3566">
        <v>-0.33</v>
      </c>
      <c r="I3566">
        <v>4.82</v>
      </c>
      <c r="J3566">
        <v>-2.36</v>
      </c>
      <c r="L3566">
        <v>-1.49</v>
      </c>
      <c r="M3566">
        <v>1939.45</v>
      </c>
      <c r="N3566">
        <v>0.04</v>
      </c>
      <c r="O3566">
        <v>1.03</v>
      </c>
    </row>
    <row r="3567" spans="1:15">
      <c r="A3567" t="str">
        <f>"600880"</f>
        <v>600880</v>
      </c>
      <c r="B3567" t="s">
        <v>3608</v>
      </c>
      <c r="C3567">
        <v>0</v>
      </c>
      <c r="D3567">
        <v>4.01</v>
      </c>
      <c r="E3567" t="s">
        <v>16</v>
      </c>
      <c r="F3567" t="s">
        <v>16</v>
      </c>
      <c r="H3567">
        <v>0</v>
      </c>
      <c r="I3567">
        <v>-4.07</v>
      </c>
      <c r="J3567">
        <v>-0.99</v>
      </c>
      <c r="L3567">
        <v>-0.5</v>
      </c>
      <c r="M3567">
        <v>29.17</v>
      </c>
      <c r="N3567">
        <v>0.01</v>
      </c>
      <c r="O3567">
        <v>4.91</v>
      </c>
    </row>
    <row r="3568" spans="1:15">
      <c r="A3568" t="str">
        <f>"600881"</f>
        <v>600881</v>
      </c>
      <c r="B3568" t="s">
        <v>3609</v>
      </c>
      <c r="C3568">
        <v>-4.4</v>
      </c>
      <c r="D3568">
        <v>1.52</v>
      </c>
      <c r="E3568" t="s">
        <v>16</v>
      </c>
      <c r="F3568" t="s">
        <v>16</v>
      </c>
      <c r="H3568">
        <v>0.66</v>
      </c>
      <c r="I3568">
        <v>1.33</v>
      </c>
      <c r="J3568">
        <v>-4.4</v>
      </c>
      <c r="L3568">
        <v>-0.63</v>
      </c>
      <c r="M3568">
        <v>67.12</v>
      </c>
      <c r="N3568">
        <v>0.02</v>
      </c>
      <c r="O3568">
        <v>0.58</v>
      </c>
    </row>
    <row r="3569" spans="1:15">
      <c r="A3569" t="str">
        <f>"600882"</f>
        <v>600882</v>
      </c>
      <c r="B3569" t="s">
        <v>3610</v>
      </c>
      <c r="C3569">
        <v>-4.63</v>
      </c>
      <c r="D3569">
        <v>17.49</v>
      </c>
      <c r="E3569" t="s">
        <v>16</v>
      </c>
      <c r="F3569" t="s">
        <v>16</v>
      </c>
      <c r="H3569">
        <v>0.17</v>
      </c>
      <c r="I3569">
        <v>-3.69</v>
      </c>
      <c r="J3569">
        <v>-4.27</v>
      </c>
      <c r="L3569">
        <v>-1.09</v>
      </c>
      <c r="M3569">
        <v>25.21</v>
      </c>
      <c r="N3569">
        <v>0.01</v>
      </c>
      <c r="O3569">
        <v>0.33</v>
      </c>
    </row>
    <row r="3570" spans="1:15">
      <c r="A3570" t="str">
        <f>"600883"</f>
        <v>600883</v>
      </c>
      <c r="B3570" t="s">
        <v>3611</v>
      </c>
      <c r="C3570">
        <v>-0.39</v>
      </c>
      <c r="D3570">
        <v>7.63</v>
      </c>
      <c r="E3570" t="s">
        <v>16</v>
      </c>
      <c r="F3570" t="s">
        <v>16</v>
      </c>
      <c r="H3570">
        <v>-0.12</v>
      </c>
      <c r="I3570">
        <v>-6.03</v>
      </c>
      <c r="J3570">
        <v>-0.91</v>
      </c>
      <c r="L3570">
        <v>-1.44</v>
      </c>
      <c r="M3570">
        <v>33.22</v>
      </c>
      <c r="N3570">
        <v>0.03</v>
      </c>
      <c r="O3570">
        <v>1.82</v>
      </c>
    </row>
    <row r="3571" spans="1:15">
      <c r="A3571" t="str">
        <f>"600884"</f>
        <v>600884</v>
      </c>
      <c r="B3571" t="s">
        <v>3612</v>
      </c>
      <c r="C3571">
        <v>-2.46</v>
      </c>
      <c r="D3571">
        <v>13.85</v>
      </c>
      <c r="E3571" t="s">
        <v>16</v>
      </c>
      <c r="F3571" t="s">
        <v>16</v>
      </c>
      <c r="H3571">
        <v>0</v>
      </c>
      <c r="I3571">
        <v>1.99</v>
      </c>
      <c r="J3571">
        <v>-2.88</v>
      </c>
      <c r="L3571">
        <v>-0.49</v>
      </c>
      <c r="M3571">
        <v>425.17</v>
      </c>
      <c r="N3571">
        <v>0.02</v>
      </c>
      <c r="O3571">
        <v>0.49</v>
      </c>
    </row>
    <row r="3572" spans="1:15">
      <c r="A3572" t="str">
        <f>"600885"</f>
        <v>600885</v>
      </c>
      <c r="B3572" t="s">
        <v>3613</v>
      </c>
      <c r="C3572">
        <v>4.6</v>
      </c>
      <c r="D3572">
        <v>35.5</v>
      </c>
      <c r="E3572" t="s">
        <v>16</v>
      </c>
      <c r="F3572" t="s">
        <v>16</v>
      </c>
      <c r="H3572">
        <v>-0.07</v>
      </c>
      <c r="I3572">
        <v>1.72</v>
      </c>
      <c r="J3572">
        <v>-0.36</v>
      </c>
      <c r="L3572">
        <v>0.29</v>
      </c>
      <c r="M3572">
        <v>137.86</v>
      </c>
      <c r="N3572">
        <v>0</v>
      </c>
      <c r="O3572">
        <v>0.57</v>
      </c>
    </row>
    <row r="3573" spans="1:15">
      <c r="A3573" t="str">
        <f>"600886"</f>
        <v>600886</v>
      </c>
      <c r="B3573" t="s">
        <v>3614</v>
      </c>
      <c r="C3573">
        <v>-1.88</v>
      </c>
      <c r="D3573">
        <v>13.07</v>
      </c>
      <c r="E3573" t="s">
        <v>16</v>
      </c>
      <c r="F3573" t="s">
        <v>16</v>
      </c>
      <c r="H3573">
        <v>-0.14</v>
      </c>
      <c r="I3573">
        <v>-6.84</v>
      </c>
      <c r="J3573">
        <v>-3.47</v>
      </c>
      <c r="L3573">
        <v>-0.15</v>
      </c>
      <c r="M3573">
        <v>103.21</v>
      </c>
      <c r="N3573">
        <v>0</v>
      </c>
      <c r="O3573">
        <v>0.54</v>
      </c>
    </row>
    <row r="3574" spans="1:15">
      <c r="A3574" t="str">
        <f>"600887"</f>
        <v>600887</v>
      </c>
      <c r="B3574" t="s">
        <v>3615</v>
      </c>
      <c r="C3574">
        <v>-1.66</v>
      </c>
      <c r="D3574">
        <v>24.26</v>
      </c>
      <c r="E3574" t="s">
        <v>16</v>
      </c>
      <c r="F3574" t="s">
        <v>16</v>
      </c>
      <c r="H3574">
        <v>-0.28</v>
      </c>
      <c r="I3574">
        <v>-5.46</v>
      </c>
      <c r="J3574">
        <v>-1.86</v>
      </c>
      <c r="L3574">
        <v>0</v>
      </c>
      <c r="M3574">
        <v>376.96</v>
      </c>
      <c r="N3574">
        <v>0</v>
      </c>
      <c r="O3574">
        <v>0.38</v>
      </c>
    </row>
    <row r="3575" spans="1:15">
      <c r="A3575" t="str">
        <f>"600888"</f>
        <v>600888</v>
      </c>
      <c r="B3575" t="s">
        <v>3616</v>
      </c>
      <c r="C3575">
        <v>6.83</v>
      </c>
      <c r="D3575">
        <v>13.14</v>
      </c>
      <c r="E3575" t="s">
        <v>16</v>
      </c>
      <c r="F3575" t="s">
        <v>16</v>
      </c>
      <c r="H3575">
        <v>0.23</v>
      </c>
      <c r="I3575">
        <v>22.57</v>
      </c>
      <c r="J3575">
        <v>-1.05</v>
      </c>
      <c r="K3575" t="s">
        <v>26</v>
      </c>
      <c r="L3575">
        <v>3.9</v>
      </c>
      <c r="M3575">
        <v>2951.8</v>
      </c>
      <c r="N3575">
        <v>0.25</v>
      </c>
      <c r="O3575">
        <v>1.04</v>
      </c>
    </row>
    <row r="3576" spans="1:15">
      <c r="A3576" t="str">
        <f>"600889"</f>
        <v>600889</v>
      </c>
      <c r="B3576" t="s">
        <v>3617</v>
      </c>
      <c r="C3576">
        <v>-1.01</v>
      </c>
      <c r="D3576">
        <v>15.69</v>
      </c>
      <c r="E3576" t="s">
        <v>16</v>
      </c>
      <c r="F3576" t="s">
        <v>16</v>
      </c>
      <c r="H3576">
        <v>0.13</v>
      </c>
      <c r="I3576">
        <v>-0.19</v>
      </c>
      <c r="J3576">
        <v>-1.32</v>
      </c>
      <c r="L3576">
        <v>0</v>
      </c>
      <c r="M3576">
        <v>5.86</v>
      </c>
      <c r="N3576">
        <v>0</v>
      </c>
      <c r="O3576">
        <v>0.21</v>
      </c>
    </row>
    <row r="3577" spans="1:15">
      <c r="A3577" t="str">
        <f>"600892"</f>
        <v>600892</v>
      </c>
      <c r="B3577" t="s">
        <v>3618</v>
      </c>
      <c r="C3577">
        <v>1.39</v>
      </c>
      <c r="D3577">
        <v>3.65</v>
      </c>
      <c r="E3577" t="s">
        <v>16</v>
      </c>
      <c r="F3577" t="s">
        <v>16</v>
      </c>
      <c r="H3577">
        <v>0</v>
      </c>
      <c r="I3577">
        <v>-0.82</v>
      </c>
      <c r="J3577">
        <v>-1.62</v>
      </c>
      <c r="L3577">
        <v>0</v>
      </c>
      <c r="M3577">
        <v>19.87</v>
      </c>
      <c r="N3577">
        <v>0.02</v>
      </c>
      <c r="O3577">
        <v>2.4</v>
      </c>
    </row>
    <row r="3578" spans="1:15">
      <c r="A3578" t="str">
        <f>"600893"</f>
        <v>600893</v>
      </c>
      <c r="B3578" t="s">
        <v>3619</v>
      </c>
      <c r="C3578">
        <v>-2.01</v>
      </c>
      <c r="D3578">
        <v>39.02</v>
      </c>
      <c r="E3578" t="s">
        <v>16</v>
      </c>
      <c r="F3578" t="s">
        <v>16</v>
      </c>
      <c r="H3578">
        <v>-0.37</v>
      </c>
      <c r="I3578">
        <v>-8.73</v>
      </c>
      <c r="J3578">
        <v>-3.89</v>
      </c>
      <c r="L3578">
        <v>-0.3</v>
      </c>
      <c r="M3578">
        <v>463.7</v>
      </c>
      <c r="N3578">
        <v>0.01</v>
      </c>
      <c r="O3578">
        <v>0.86</v>
      </c>
    </row>
    <row r="3579" spans="1:15">
      <c r="A3579" t="str">
        <f>"600894"</f>
        <v>600894</v>
      </c>
      <c r="B3579" t="s">
        <v>3620</v>
      </c>
      <c r="C3579">
        <v>-1.09</v>
      </c>
      <c r="D3579">
        <v>8.14</v>
      </c>
      <c r="E3579" t="s">
        <v>16</v>
      </c>
      <c r="F3579" t="s">
        <v>16</v>
      </c>
      <c r="H3579">
        <v>-0.36</v>
      </c>
      <c r="I3579">
        <v>-8.54</v>
      </c>
      <c r="J3579">
        <v>-1.57</v>
      </c>
      <c r="L3579">
        <v>0.49</v>
      </c>
      <c r="M3579">
        <v>12.82</v>
      </c>
      <c r="N3579">
        <v>0</v>
      </c>
      <c r="O3579">
        <v>1.63</v>
      </c>
    </row>
    <row r="3580" spans="1:15">
      <c r="A3580" t="str">
        <f>"600895"</f>
        <v>600895</v>
      </c>
      <c r="B3580" t="s">
        <v>3621</v>
      </c>
      <c r="C3580">
        <v>-1.14</v>
      </c>
      <c r="D3580">
        <v>32.89</v>
      </c>
      <c r="E3580" t="s">
        <v>16</v>
      </c>
      <c r="F3580" t="s">
        <v>16</v>
      </c>
      <c r="H3580">
        <v>-0.05</v>
      </c>
      <c r="I3580">
        <v>0.24</v>
      </c>
      <c r="J3580">
        <v>-1.97</v>
      </c>
      <c r="L3580">
        <v>-0.06</v>
      </c>
      <c r="M3580">
        <v>389.03</v>
      </c>
      <c r="N3580">
        <v>0.01</v>
      </c>
      <c r="O3580">
        <v>0.86</v>
      </c>
    </row>
    <row r="3581" spans="1:15">
      <c r="A3581" t="str">
        <f>"600897"</f>
        <v>600897</v>
      </c>
      <c r="B3581" t="s">
        <v>3622</v>
      </c>
      <c r="C3581">
        <v>-1.65</v>
      </c>
      <c r="D3581">
        <v>14.87</v>
      </c>
      <c r="E3581" t="s">
        <v>16</v>
      </c>
      <c r="F3581" t="s">
        <v>16</v>
      </c>
      <c r="H3581">
        <v>0</v>
      </c>
      <c r="I3581">
        <v>2.13</v>
      </c>
      <c r="J3581">
        <v>-1.13</v>
      </c>
      <c r="L3581">
        <v>-1.39</v>
      </c>
      <c r="M3581">
        <v>6.86</v>
      </c>
      <c r="N3581">
        <v>0</v>
      </c>
      <c r="O3581">
        <v>0.57</v>
      </c>
    </row>
    <row r="3582" spans="1:15">
      <c r="A3582" t="str">
        <f>"600900"</f>
        <v>600900</v>
      </c>
      <c r="B3582" t="s">
        <v>3623</v>
      </c>
      <c r="C3582">
        <v>-1.26</v>
      </c>
      <c r="D3582">
        <v>26.66</v>
      </c>
      <c r="E3582" t="s">
        <v>16</v>
      </c>
      <c r="F3582" t="s">
        <v>16</v>
      </c>
      <c r="H3582">
        <v>-0.1</v>
      </c>
      <c r="I3582">
        <v>-3.82</v>
      </c>
      <c r="J3582">
        <v>-1.19</v>
      </c>
      <c r="L3582">
        <v>-0.26</v>
      </c>
      <c r="M3582">
        <v>2121.01</v>
      </c>
      <c r="N3582">
        <v>0.01</v>
      </c>
      <c r="O3582">
        <v>0.8</v>
      </c>
    </row>
    <row r="3583" spans="1:15">
      <c r="A3583" t="str">
        <f>"600901"</f>
        <v>600901</v>
      </c>
      <c r="B3583" t="s">
        <v>3624</v>
      </c>
      <c r="C3583">
        <v>-6.06</v>
      </c>
      <c r="D3583">
        <v>6.05</v>
      </c>
      <c r="E3583" t="s">
        <v>16</v>
      </c>
      <c r="F3583" t="s">
        <v>16</v>
      </c>
      <c r="H3583">
        <v>0.33</v>
      </c>
      <c r="I3583">
        <v>-4.87</v>
      </c>
      <c r="J3583">
        <v>-6.49</v>
      </c>
      <c r="L3583">
        <v>0.16</v>
      </c>
      <c r="M3583">
        <v>28.64</v>
      </c>
      <c r="N3583">
        <v>0</v>
      </c>
      <c r="O3583">
        <v>1.5</v>
      </c>
    </row>
    <row r="3584" spans="1:15">
      <c r="A3584" t="str">
        <f>"600903"</f>
        <v>600903</v>
      </c>
      <c r="B3584" t="s">
        <v>3625</v>
      </c>
      <c r="C3584">
        <v>-1.87</v>
      </c>
      <c r="D3584">
        <v>7.89</v>
      </c>
      <c r="E3584" t="s">
        <v>16</v>
      </c>
      <c r="F3584" t="s">
        <v>16</v>
      </c>
      <c r="H3584">
        <v>-0.12</v>
      </c>
      <c r="I3584">
        <v>-10.14</v>
      </c>
      <c r="J3584">
        <v>-1.99</v>
      </c>
      <c r="L3584">
        <v>-0.12</v>
      </c>
      <c r="M3584">
        <v>96.04</v>
      </c>
      <c r="N3584">
        <v>0.03</v>
      </c>
      <c r="O3584">
        <v>0.49</v>
      </c>
    </row>
    <row r="3585" spans="1:15">
      <c r="A3585" t="str">
        <f>"600905"</f>
        <v>600905</v>
      </c>
      <c r="B3585" t="s">
        <v>3626</v>
      </c>
      <c r="C3585">
        <v>-1.45</v>
      </c>
      <c r="D3585">
        <v>4.07</v>
      </c>
      <c r="E3585" t="s">
        <v>16</v>
      </c>
      <c r="F3585" t="s">
        <v>16</v>
      </c>
      <c r="H3585">
        <v>-0.24</v>
      </c>
      <c r="I3585">
        <v>-5.35</v>
      </c>
      <c r="J3585">
        <v>-1.21</v>
      </c>
      <c r="L3585">
        <v>-0.24</v>
      </c>
      <c r="M3585">
        <v>315.26</v>
      </c>
      <c r="N3585">
        <v>0.01</v>
      </c>
      <c r="O3585">
        <v>2.12</v>
      </c>
    </row>
    <row r="3586" spans="1:15">
      <c r="A3586" t="str">
        <f>"600906"</f>
        <v>600906</v>
      </c>
      <c r="B3586" t="s">
        <v>3627</v>
      </c>
      <c r="C3586">
        <v>-1.89</v>
      </c>
      <c r="D3586">
        <v>7.27</v>
      </c>
      <c r="E3586" t="s">
        <v>16</v>
      </c>
      <c r="F3586" t="s">
        <v>16</v>
      </c>
      <c r="H3586">
        <v>0.28</v>
      </c>
      <c r="I3586">
        <v>9.16</v>
      </c>
      <c r="J3586">
        <v>-2.55</v>
      </c>
      <c r="L3586">
        <v>-1.21</v>
      </c>
      <c r="M3586">
        <v>685.59</v>
      </c>
      <c r="N3586">
        <v>0.07</v>
      </c>
      <c r="O3586">
        <v>1.06</v>
      </c>
    </row>
    <row r="3587" spans="1:15">
      <c r="A3587" t="str">
        <f>"600908"</f>
        <v>600908</v>
      </c>
      <c r="B3587" t="s">
        <v>3628</v>
      </c>
      <c r="C3587">
        <v>-2.56</v>
      </c>
      <c r="D3587">
        <v>5.32</v>
      </c>
      <c r="E3587" t="s">
        <v>16</v>
      </c>
      <c r="F3587" t="s">
        <v>16</v>
      </c>
      <c r="H3587">
        <v>0</v>
      </c>
      <c r="I3587">
        <v>-1.3</v>
      </c>
      <c r="J3587">
        <v>-2.74</v>
      </c>
      <c r="L3587">
        <v>-0.18</v>
      </c>
      <c r="M3587">
        <v>41.09</v>
      </c>
      <c r="N3587">
        <v>0</v>
      </c>
      <c r="O3587">
        <v>1.68</v>
      </c>
    </row>
    <row r="3588" spans="1:15">
      <c r="A3588" t="str">
        <f>"600909"</f>
        <v>600909</v>
      </c>
      <c r="B3588" t="s">
        <v>3629</v>
      </c>
      <c r="C3588">
        <v>2.05</v>
      </c>
      <c r="D3588">
        <v>8.97</v>
      </c>
      <c r="E3588" t="s">
        <v>16</v>
      </c>
      <c r="F3588" t="s">
        <v>16</v>
      </c>
      <c r="H3588">
        <v>0.11</v>
      </c>
      <c r="I3588">
        <v>19.12</v>
      </c>
      <c r="J3588">
        <v>-2.18</v>
      </c>
      <c r="L3588">
        <v>-0.23</v>
      </c>
      <c r="M3588">
        <v>1052.31</v>
      </c>
      <c r="N3588">
        <v>0.04</v>
      </c>
      <c r="O3588">
        <v>0.51</v>
      </c>
    </row>
    <row r="3589" spans="1:15">
      <c r="A3589" t="str">
        <f>"600916"</f>
        <v>600916</v>
      </c>
      <c r="B3589" t="s">
        <v>3630</v>
      </c>
      <c r="C3589">
        <v>-1.82</v>
      </c>
      <c r="D3589">
        <v>7.55</v>
      </c>
      <c r="E3589" t="s">
        <v>16</v>
      </c>
      <c r="F3589" t="s">
        <v>16</v>
      </c>
      <c r="H3589">
        <v>0</v>
      </c>
      <c r="I3589">
        <v>-3.33</v>
      </c>
      <c r="J3589">
        <v>-2.08</v>
      </c>
      <c r="L3589">
        <v>-0.78</v>
      </c>
      <c r="M3589">
        <v>92.55</v>
      </c>
      <c r="N3589">
        <v>0.02</v>
      </c>
      <c r="O3589">
        <v>1.12</v>
      </c>
    </row>
    <row r="3590" spans="1:15">
      <c r="A3590" t="str">
        <f>"600917"</f>
        <v>600917</v>
      </c>
      <c r="B3590" t="s">
        <v>3631</v>
      </c>
      <c r="C3590">
        <v>-1.2</v>
      </c>
      <c r="D3590">
        <v>4.93</v>
      </c>
      <c r="E3590" t="s">
        <v>16</v>
      </c>
      <c r="F3590" t="s">
        <v>16</v>
      </c>
      <c r="H3590">
        <v>0.2</v>
      </c>
      <c r="I3590">
        <v>-4.09</v>
      </c>
      <c r="J3590">
        <v>-1.6</v>
      </c>
      <c r="L3590">
        <v>-0.4</v>
      </c>
      <c r="M3590">
        <v>2.04</v>
      </c>
      <c r="N3590">
        <v>0</v>
      </c>
      <c r="O3590">
        <v>1.58</v>
      </c>
    </row>
    <row r="3591" spans="1:15">
      <c r="A3591" t="str">
        <f>"600918"</f>
        <v>600918</v>
      </c>
      <c r="B3591" t="s">
        <v>3632</v>
      </c>
      <c r="C3591">
        <v>-3.39</v>
      </c>
      <c r="D3591">
        <v>5.13</v>
      </c>
      <c r="E3591" t="s">
        <v>16</v>
      </c>
      <c r="F3591" t="s">
        <v>16</v>
      </c>
      <c r="H3591">
        <v>-0.18</v>
      </c>
      <c r="I3591">
        <v>-3.75</v>
      </c>
      <c r="J3591">
        <v>-3.39</v>
      </c>
      <c r="L3591">
        <v>-0.38</v>
      </c>
      <c r="M3591">
        <v>51.79</v>
      </c>
      <c r="N3591">
        <v>0</v>
      </c>
      <c r="O3591">
        <v>0.37</v>
      </c>
    </row>
    <row r="3592" spans="1:15">
      <c r="A3592" t="str">
        <f>"600919"</f>
        <v>600919</v>
      </c>
      <c r="B3592" t="s">
        <v>3633</v>
      </c>
      <c r="C3592">
        <v>-2.69</v>
      </c>
      <c r="D3592">
        <v>11.22</v>
      </c>
      <c r="E3592" t="s">
        <v>16</v>
      </c>
      <c r="F3592" t="s">
        <v>16</v>
      </c>
      <c r="H3592">
        <v>-0.08</v>
      </c>
      <c r="I3592">
        <v>-0.18</v>
      </c>
      <c r="J3592">
        <v>-3.19</v>
      </c>
      <c r="L3592">
        <v>0</v>
      </c>
      <c r="M3592">
        <v>572.46</v>
      </c>
      <c r="N3592">
        <v>0</v>
      </c>
      <c r="O3592">
        <v>1.11</v>
      </c>
    </row>
    <row r="3593" spans="1:15">
      <c r="A3593" t="str">
        <f>"600925"</f>
        <v>600925</v>
      </c>
      <c r="B3593" t="s">
        <v>3634</v>
      </c>
      <c r="C3593">
        <v>-1.19</v>
      </c>
      <c r="D3593">
        <v>4.15</v>
      </c>
      <c r="E3593" t="s">
        <v>16</v>
      </c>
      <c r="F3593" t="s">
        <v>16</v>
      </c>
      <c r="H3593">
        <v>0</v>
      </c>
      <c r="I3593">
        <v>-14.78</v>
      </c>
      <c r="J3593">
        <v>-1.19</v>
      </c>
      <c r="L3593">
        <v>-0.24</v>
      </c>
      <c r="M3593">
        <v>6.66</v>
      </c>
      <c r="N3593">
        <v>0</v>
      </c>
      <c r="O3593">
        <v>0.24</v>
      </c>
    </row>
    <row r="3594" spans="1:15">
      <c r="A3594" t="str">
        <f>"600926"</f>
        <v>600926</v>
      </c>
      <c r="B3594" t="s">
        <v>3635</v>
      </c>
      <c r="C3594">
        <v>-2.25</v>
      </c>
      <c r="D3594">
        <v>15.64</v>
      </c>
      <c r="E3594" t="s">
        <v>16</v>
      </c>
      <c r="F3594" t="s">
        <v>16</v>
      </c>
      <c r="H3594">
        <v>-0.12</v>
      </c>
      <c r="I3594">
        <v>1.56</v>
      </c>
      <c r="J3594">
        <v>-2.43</v>
      </c>
      <c r="L3594">
        <v>0.06</v>
      </c>
      <c r="M3594">
        <v>316.68</v>
      </c>
      <c r="N3594">
        <v>0</v>
      </c>
      <c r="O3594">
        <v>1</v>
      </c>
    </row>
    <row r="3595" spans="1:15">
      <c r="A3595" t="str">
        <f>"600927"</f>
        <v>600927</v>
      </c>
      <c r="B3595" t="s">
        <v>3636</v>
      </c>
      <c r="C3595">
        <v>-0.55</v>
      </c>
      <c r="D3595">
        <v>12.7</v>
      </c>
      <c r="E3595" t="s">
        <v>16</v>
      </c>
      <c r="F3595" t="s">
        <v>16</v>
      </c>
      <c r="H3595">
        <v>-0.07</v>
      </c>
      <c r="I3595">
        <v>-3.27</v>
      </c>
      <c r="J3595">
        <v>-2.46</v>
      </c>
      <c r="L3595">
        <v>0.23</v>
      </c>
      <c r="M3595">
        <v>24.32</v>
      </c>
      <c r="N3595">
        <v>0.01</v>
      </c>
      <c r="O3595">
        <v>2.6</v>
      </c>
    </row>
    <row r="3596" spans="1:15">
      <c r="A3596" t="str">
        <f>"600928"</f>
        <v>600928</v>
      </c>
      <c r="B3596" t="s">
        <v>3637</v>
      </c>
      <c r="C3596">
        <v>-3.42</v>
      </c>
      <c r="D3596">
        <v>3.39</v>
      </c>
      <c r="E3596" t="s">
        <v>16</v>
      </c>
      <c r="F3596" t="s">
        <v>16</v>
      </c>
      <c r="H3596">
        <v>-0.28</v>
      </c>
      <c r="I3596">
        <v>-2.31</v>
      </c>
      <c r="J3596">
        <v>-3.69</v>
      </c>
      <c r="L3596">
        <v>0</v>
      </c>
      <c r="M3596">
        <v>21.52</v>
      </c>
      <c r="N3596">
        <v>0.01</v>
      </c>
      <c r="O3596">
        <v>0.31</v>
      </c>
    </row>
    <row r="3597" spans="1:15">
      <c r="A3597" t="str">
        <f>"600929"</f>
        <v>600929</v>
      </c>
      <c r="B3597" t="s">
        <v>3638</v>
      </c>
      <c r="C3597">
        <v>-1.59</v>
      </c>
      <c r="D3597">
        <v>4.96</v>
      </c>
      <c r="E3597" t="s">
        <v>16</v>
      </c>
      <c r="F3597" t="s">
        <v>16</v>
      </c>
      <c r="H3597">
        <v>0</v>
      </c>
      <c r="I3597">
        <v>-3.69</v>
      </c>
      <c r="J3597">
        <v>-1.98</v>
      </c>
      <c r="L3597">
        <v>0</v>
      </c>
      <c r="M3597">
        <v>15.07</v>
      </c>
      <c r="N3597">
        <v>0</v>
      </c>
      <c r="O3597">
        <v>1.03</v>
      </c>
    </row>
    <row r="3598" spans="1:15">
      <c r="A3598" t="str">
        <f>"600930"</f>
        <v>600930</v>
      </c>
      <c r="B3598" t="s">
        <v>3639</v>
      </c>
      <c r="C3598">
        <v>-5.04</v>
      </c>
      <c r="D3598">
        <v>5.28</v>
      </c>
      <c r="E3598" t="s">
        <v>16</v>
      </c>
      <c r="F3598" t="s">
        <v>16</v>
      </c>
      <c r="H3598">
        <v>-0.37</v>
      </c>
      <c r="I3598">
        <v>-14.15</v>
      </c>
      <c r="J3598">
        <v>-4.86</v>
      </c>
      <c r="L3598">
        <v>-0.18</v>
      </c>
      <c r="M3598">
        <v>146.85</v>
      </c>
      <c r="N3598">
        <v>0.01</v>
      </c>
      <c r="O3598">
        <v>0.56</v>
      </c>
    </row>
    <row r="3599" spans="1:15">
      <c r="A3599" t="str">
        <f>"600933"</f>
        <v>600933</v>
      </c>
      <c r="B3599" t="s">
        <v>3640</v>
      </c>
      <c r="C3599">
        <v>1.88</v>
      </c>
      <c r="D3599">
        <v>15.73</v>
      </c>
      <c r="E3599" t="s">
        <v>16</v>
      </c>
      <c r="F3599" t="s">
        <v>16</v>
      </c>
      <c r="H3599">
        <v>-0.24</v>
      </c>
      <c r="I3599">
        <v>4.52</v>
      </c>
      <c r="J3599">
        <v>-1.44</v>
      </c>
      <c r="L3599">
        <v>0</v>
      </c>
      <c r="M3599">
        <v>27.33</v>
      </c>
      <c r="N3599">
        <v>0</v>
      </c>
      <c r="O3599">
        <v>0.21</v>
      </c>
    </row>
    <row r="3600" spans="1:15">
      <c r="A3600" t="str">
        <f>"600935"</f>
        <v>600935</v>
      </c>
      <c r="B3600" t="s">
        <v>3641</v>
      </c>
      <c r="C3600">
        <v>-0.45</v>
      </c>
      <c r="D3600">
        <v>2.22</v>
      </c>
      <c r="E3600" t="s">
        <v>16</v>
      </c>
      <c r="F3600" t="s">
        <v>16</v>
      </c>
      <c r="H3600">
        <v>0.45</v>
      </c>
      <c r="I3600">
        <v>-6.33</v>
      </c>
      <c r="J3600">
        <v>0</v>
      </c>
      <c r="L3600">
        <v>-0.9</v>
      </c>
      <c r="M3600">
        <v>11.18</v>
      </c>
      <c r="N3600">
        <v>0</v>
      </c>
      <c r="O3600">
        <v>1.11</v>
      </c>
    </row>
    <row r="3601" spans="1:15">
      <c r="A3601" t="str">
        <f>"600936"</f>
        <v>600936</v>
      </c>
      <c r="B3601" t="s">
        <v>3642</v>
      </c>
      <c r="C3601">
        <v>-6.67</v>
      </c>
      <c r="D3601">
        <v>4.62</v>
      </c>
      <c r="E3601" t="s">
        <v>16</v>
      </c>
      <c r="F3601" t="s">
        <v>16</v>
      </c>
      <c r="H3601">
        <v>-0.21</v>
      </c>
      <c r="I3601">
        <v>-25.12</v>
      </c>
      <c r="J3601">
        <v>-7.23</v>
      </c>
      <c r="L3601">
        <v>0.2</v>
      </c>
      <c r="M3601">
        <v>297.4</v>
      </c>
      <c r="N3601">
        <v>0.05</v>
      </c>
      <c r="O3601">
        <v>0.89</v>
      </c>
    </row>
    <row r="3602" spans="1:15">
      <c r="A3602" t="str">
        <f>"600938"</f>
        <v>600938</v>
      </c>
      <c r="B3602" t="s">
        <v>3643</v>
      </c>
      <c r="C3602">
        <v>-2.23</v>
      </c>
      <c r="D3602">
        <v>30.7</v>
      </c>
      <c r="E3602" t="s">
        <v>16</v>
      </c>
      <c r="F3602" t="s">
        <v>16</v>
      </c>
      <c r="H3602">
        <v>-0.02</v>
      </c>
      <c r="I3602">
        <v>-13.4</v>
      </c>
      <c r="J3602">
        <v>-2.29</v>
      </c>
      <c r="L3602">
        <v>-0.19</v>
      </c>
      <c r="M3602">
        <v>939.33</v>
      </c>
      <c r="N3602">
        <v>0.01</v>
      </c>
      <c r="O3602">
        <v>0.66</v>
      </c>
    </row>
    <row r="3603" spans="1:15">
      <c r="A3603" t="str">
        <f>"600939"</f>
        <v>600939</v>
      </c>
      <c r="B3603" t="s">
        <v>3644</v>
      </c>
      <c r="C3603">
        <v>-1.18</v>
      </c>
      <c r="D3603">
        <v>2.51</v>
      </c>
      <c r="E3603" t="s">
        <v>16</v>
      </c>
      <c r="F3603" t="s">
        <v>16</v>
      </c>
      <c r="H3603">
        <v>0.4</v>
      </c>
      <c r="I3603">
        <v>-14.92</v>
      </c>
      <c r="J3603">
        <v>-1.57</v>
      </c>
      <c r="L3603">
        <v>-1.18</v>
      </c>
      <c r="M3603">
        <v>19.38</v>
      </c>
      <c r="N3603">
        <v>0.02</v>
      </c>
      <c r="O3603">
        <v>2.38</v>
      </c>
    </row>
    <row r="3604" spans="1:15">
      <c r="A3604" t="str">
        <f>"600941"</f>
        <v>600941</v>
      </c>
      <c r="B3604" t="s">
        <v>3645</v>
      </c>
      <c r="C3604">
        <v>-1.43</v>
      </c>
      <c r="D3604">
        <v>91.65</v>
      </c>
      <c r="E3604" t="s">
        <v>16</v>
      </c>
      <c r="F3604" t="s">
        <v>16</v>
      </c>
      <c r="H3604">
        <v>0.01</v>
      </c>
      <c r="I3604">
        <v>-6.44</v>
      </c>
      <c r="J3604">
        <v>-1.43</v>
      </c>
      <c r="L3604">
        <v>0</v>
      </c>
      <c r="M3604">
        <v>324.5</v>
      </c>
      <c r="N3604">
        <v>0</v>
      </c>
      <c r="O3604">
        <v>1.01</v>
      </c>
    </row>
    <row r="3605" spans="1:15">
      <c r="A3605" t="str">
        <f>"600955"</f>
        <v>600955</v>
      </c>
      <c r="B3605" t="s">
        <v>3646</v>
      </c>
      <c r="C3605">
        <v>-2.24</v>
      </c>
      <c r="D3605">
        <v>15.25</v>
      </c>
      <c r="E3605" t="s">
        <v>16</v>
      </c>
      <c r="F3605" t="s">
        <v>16</v>
      </c>
      <c r="H3605">
        <v>0</v>
      </c>
      <c r="I3605">
        <v>-1.61</v>
      </c>
      <c r="J3605">
        <v>-2.18</v>
      </c>
      <c r="L3605">
        <v>-0.32</v>
      </c>
      <c r="M3605">
        <v>31.57</v>
      </c>
      <c r="N3605">
        <v>0.01</v>
      </c>
      <c r="O3605">
        <v>1.74</v>
      </c>
    </row>
    <row r="3606" spans="1:15">
      <c r="A3606" t="str">
        <f>"600956"</f>
        <v>600956</v>
      </c>
      <c r="B3606" t="s">
        <v>3647</v>
      </c>
      <c r="C3606">
        <v>-5.07</v>
      </c>
      <c r="D3606">
        <v>7.68</v>
      </c>
      <c r="E3606" t="s">
        <v>16</v>
      </c>
      <c r="F3606" t="s">
        <v>16</v>
      </c>
      <c r="H3606">
        <v>-0.25</v>
      </c>
      <c r="I3606">
        <v>-18.38</v>
      </c>
      <c r="J3606">
        <v>-5.19</v>
      </c>
      <c r="L3606">
        <v>0</v>
      </c>
      <c r="M3606">
        <v>20.79</v>
      </c>
      <c r="N3606">
        <v>0.01</v>
      </c>
      <c r="O3606">
        <v>0.73</v>
      </c>
    </row>
    <row r="3607" spans="1:15">
      <c r="A3607" t="str">
        <f>"600958"</f>
        <v>600958</v>
      </c>
      <c r="B3607" t="s">
        <v>3648</v>
      </c>
      <c r="C3607">
        <v>-2.75</v>
      </c>
      <c r="D3607">
        <v>9.21</v>
      </c>
      <c r="E3607" t="s">
        <v>16</v>
      </c>
      <c r="F3607" t="s">
        <v>16</v>
      </c>
      <c r="H3607">
        <v>0.11</v>
      </c>
      <c r="I3607">
        <v>2.68</v>
      </c>
      <c r="J3607">
        <v>-2.54</v>
      </c>
      <c r="L3607">
        <v>-0.32</v>
      </c>
      <c r="M3607">
        <v>93.83</v>
      </c>
      <c r="N3607">
        <v>0</v>
      </c>
      <c r="O3607">
        <v>0.98</v>
      </c>
    </row>
    <row r="3608" spans="1:15">
      <c r="A3608" t="str">
        <f>"600959"</f>
        <v>600959</v>
      </c>
      <c r="B3608" t="s">
        <v>3649</v>
      </c>
      <c r="C3608">
        <v>-0.32</v>
      </c>
      <c r="D3608">
        <v>3.1</v>
      </c>
      <c r="E3608" t="s">
        <v>16</v>
      </c>
      <c r="F3608" t="s">
        <v>16</v>
      </c>
      <c r="H3608">
        <v>-0.31</v>
      </c>
      <c r="I3608">
        <v>-8.01</v>
      </c>
      <c r="J3608">
        <v>-1.27</v>
      </c>
      <c r="L3608">
        <v>0</v>
      </c>
      <c r="M3608">
        <v>28.18</v>
      </c>
      <c r="N3608">
        <v>0</v>
      </c>
      <c r="O3608">
        <v>0.54</v>
      </c>
    </row>
    <row r="3609" spans="1:15">
      <c r="A3609" t="str">
        <f>"600960"</f>
        <v>600960</v>
      </c>
      <c r="B3609" t="s">
        <v>3650</v>
      </c>
      <c r="C3609">
        <v>0</v>
      </c>
      <c r="D3609">
        <v>4.02</v>
      </c>
      <c r="E3609" t="s">
        <v>16</v>
      </c>
      <c r="F3609" t="s">
        <v>16</v>
      </c>
      <c r="H3609">
        <v>-0.49</v>
      </c>
      <c r="I3609">
        <v>-7.59</v>
      </c>
      <c r="J3609">
        <v>-1.23</v>
      </c>
      <c r="L3609">
        <v>-0.5</v>
      </c>
      <c r="M3609">
        <v>9.4</v>
      </c>
      <c r="N3609">
        <v>0</v>
      </c>
      <c r="O3609">
        <v>0.41</v>
      </c>
    </row>
    <row r="3610" spans="1:15">
      <c r="A3610" t="str">
        <f>"600961"</f>
        <v>600961</v>
      </c>
      <c r="B3610" t="s">
        <v>3651</v>
      </c>
      <c r="C3610">
        <v>7.94</v>
      </c>
      <c r="D3610">
        <v>28.82</v>
      </c>
      <c r="E3610" t="s">
        <v>16</v>
      </c>
      <c r="F3610" t="s">
        <v>16</v>
      </c>
      <c r="H3610">
        <v>-0.06</v>
      </c>
      <c r="I3610">
        <v>14.64</v>
      </c>
      <c r="J3610">
        <v>-1.23</v>
      </c>
      <c r="L3610">
        <v>-1.09</v>
      </c>
      <c r="M3610">
        <v>1129.29</v>
      </c>
      <c r="N3610">
        <v>0.09</v>
      </c>
      <c r="O3610">
        <v>0.8</v>
      </c>
    </row>
    <row r="3611" spans="1:15">
      <c r="A3611" t="str">
        <f>"600962"</f>
        <v>600962</v>
      </c>
      <c r="B3611" t="s">
        <v>3652</v>
      </c>
      <c r="C3611">
        <v>2.16</v>
      </c>
      <c r="D3611">
        <v>26.06</v>
      </c>
      <c r="E3611" t="s">
        <v>16</v>
      </c>
      <c r="F3611" t="s">
        <v>16</v>
      </c>
      <c r="H3611">
        <v>-0.1</v>
      </c>
      <c r="I3611">
        <v>7.73</v>
      </c>
      <c r="J3611">
        <v>-1.99</v>
      </c>
      <c r="L3611">
        <v>1.8</v>
      </c>
      <c r="M3611">
        <v>157.64</v>
      </c>
      <c r="N3611">
        <v>0.04</v>
      </c>
      <c r="O3611">
        <v>0.79</v>
      </c>
    </row>
    <row r="3612" spans="1:15">
      <c r="A3612" t="str">
        <f>"600963"</f>
        <v>600963</v>
      </c>
      <c r="B3612" t="s">
        <v>3653</v>
      </c>
      <c r="C3612">
        <v>-2.93</v>
      </c>
      <c r="D3612">
        <v>3.31</v>
      </c>
      <c r="E3612" t="s">
        <v>16</v>
      </c>
      <c r="F3612" t="s">
        <v>16</v>
      </c>
      <c r="H3612">
        <v>0</v>
      </c>
      <c r="I3612">
        <v>-13.58</v>
      </c>
      <c r="J3612">
        <v>-2.93</v>
      </c>
      <c r="L3612">
        <v>-0.88</v>
      </c>
      <c r="M3612">
        <v>48.3</v>
      </c>
      <c r="N3612">
        <v>0.01</v>
      </c>
      <c r="O3612">
        <v>1.18</v>
      </c>
    </row>
    <row r="3613" spans="1:15">
      <c r="A3613" t="str">
        <f>"600965"</f>
        <v>600965</v>
      </c>
      <c r="B3613" t="s">
        <v>3654</v>
      </c>
      <c r="C3613">
        <v>-3.75</v>
      </c>
      <c r="D3613">
        <v>2.57</v>
      </c>
      <c r="E3613" t="s">
        <v>16</v>
      </c>
      <c r="F3613" t="s">
        <v>16</v>
      </c>
      <c r="H3613">
        <v>-0.76</v>
      </c>
      <c r="I3613">
        <v>-16.01</v>
      </c>
      <c r="J3613">
        <v>-4.46</v>
      </c>
      <c r="L3613">
        <v>0</v>
      </c>
      <c r="M3613">
        <v>12.95</v>
      </c>
      <c r="N3613">
        <v>0.02</v>
      </c>
      <c r="O3613">
        <v>0.45</v>
      </c>
    </row>
    <row r="3614" spans="1:15">
      <c r="A3614" t="str">
        <f>"600966"</f>
        <v>600966</v>
      </c>
      <c r="B3614" t="s">
        <v>3655</v>
      </c>
      <c r="C3614">
        <v>-3.28</v>
      </c>
      <c r="D3614">
        <v>5.01</v>
      </c>
      <c r="E3614" t="s">
        <v>16</v>
      </c>
      <c r="F3614" t="s">
        <v>16</v>
      </c>
      <c r="H3614">
        <v>0</v>
      </c>
      <c r="I3614">
        <v>-13.47</v>
      </c>
      <c r="J3614">
        <v>-3.47</v>
      </c>
      <c r="L3614">
        <v>0</v>
      </c>
      <c r="M3614">
        <v>3.57</v>
      </c>
      <c r="N3614">
        <v>0</v>
      </c>
      <c r="O3614">
        <v>0.41</v>
      </c>
    </row>
    <row r="3615" spans="1:15">
      <c r="A3615" t="str">
        <f>"600967"</f>
        <v>600967</v>
      </c>
      <c r="B3615" t="s">
        <v>3656</v>
      </c>
      <c r="C3615">
        <v>-1.35</v>
      </c>
      <c r="D3615">
        <v>11.73</v>
      </c>
      <c r="E3615" t="s">
        <v>16</v>
      </c>
      <c r="F3615" t="s">
        <v>16</v>
      </c>
      <c r="H3615">
        <v>-0.08</v>
      </c>
      <c r="I3615">
        <v>-2.41</v>
      </c>
      <c r="J3615">
        <v>-2.33</v>
      </c>
      <c r="L3615">
        <v>-0.25</v>
      </c>
      <c r="M3615">
        <v>27.63</v>
      </c>
      <c r="N3615">
        <v>0</v>
      </c>
      <c r="O3615">
        <v>1.76</v>
      </c>
    </row>
    <row r="3616" spans="1:15">
      <c r="A3616" t="str">
        <f>"600968"</f>
        <v>600968</v>
      </c>
      <c r="B3616" t="s">
        <v>3657</v>
      </c>
      <c r="C3616">
        <v>-0.79</v>
      </c>
      <c r="D3616">
        <v>3.77</v>
      </c>
      <c r="E3616" t="s">
        <v>16</v>
      </c>
      <c r="F3616" t="s">
        <v>16</v>
      </c>
      <c r="H3616">
        <v>-0.52</v>
      </c>
      <c r="I3616">
        <v>-5.99</v>
      </c>
      <c r="J3616">
        <v>-3.08</v>
      </c>
      <c r="L3616">
        <v>0</v>
      </c>
      <c r="M3616">
        <v>33.97</v>
      </c>
      <c r="N3616">
        <v>0</v>
      </c>
      <c r="O3616">
        <v>2.74</v>
      </c>
    </row>
    <row r="3617" spans="1:15">
      <c r="A3617" t="str">
        <f>"600969"</f>
        <v>600969</v>
      </c>
      <c r="B3617" t="s">
        <v>3658</v>
      </c>
      <c r="C3617">
        <v>-2.51</v>
      </c>
      <c r="D3617">
        <v>8.56</v>
      </c>
      <c r="E3617" t="s">
        <v>16</v>
      </c>
      <c r="F3617" t="s">
        <v>16</v>
      </c>
      <c r="H3617">
        <v>0.12</v>
      </c>
      <c r="I3617">
        <v>-20.15</v>
      </c>
      <c r="J3617">
        <v>-2.84</v>
      </c>
      <c r="L3617">
        <v>-0.91</v>
      </c>
      <c r="M3617">
        <v>17.66</v>
      </c>
      <c r="N3617">
        <v>0.01</v>
      </c>
      <c r="O3617">
        <v>1.15</v>
      </c>
    </row>
    <row r="3618" spans="1:15">
      <c r="A3618" t="str">
        <f>"600970"</f>
        <v>600970</v>
      </c>
      <c r="B3618" t="s">
        <v>3659</v>
      </c>
      <c r="C3618">
        <v>-4.78</v>
      </c>
      <c r="D3618">
        <v>8.17</v>
      </c>
      <c r="E3618" t="s">
        <v>16</v>
      </c>
      <c r="F3618" t="s">
        <v>16</v>
      </c>
      <c r="H3618">
        <v>-0.11</v>
      </c>
      <c r="I3618">
        <v>-4.11</v>
      </c>
      <c r="J3618">
        <v>-4.56</v>
      </c>
      <c r="L3618">
        <v>-0.7</v>
      </c>
      <c r="M3618">
        <v>67.48</v>
      </c>
      <c r="N3618">
        <v>0.01</v>
      </c>
      <c r="O3618">
        <v>0.95</v>
      </c>
    </row>
    <row r="3619" spans="1:15">
      <c r="A3619" t="str">
        <f>"600971"</f>
        <v>600971</v>
      </c>
      <c r="B3619" t="s">
        <v>3660</v>
      </c>
      <c r="C3619">
        <v>0.83</v>
      </c>
      <c r="D3619">
        <v>7.3</v>
      </c>
      <c r="E3619" t="s">
        <v>16</v>
      </c>
      <c r="F3619" t="s">
        <v>16</v>
      </c>
      <c r="H3619">
        <v>0.14</v>
      </c>
      <c r="I3619">
        <v>-13.92</v>
      </c>
      <c r="J3619">
        <v>-0.54</v>
      </c>
      <c r="L3619">
        <v>-0.14</v>
      </c>
      <c r="M3619">
        <v>38.9</v>
      </c>
      <c r="N3619">
        <v>0.01</v>
      </c>
      <c r="O3619">
        <v>0.53</v>
      </c>
    </row>
    <row r="3620" spans="1:15">
      <c r="A3620" t="str">
        <f>"600973"</f>
        <v>600973</v>
      </c>
      <c r="B3620" t="s">
        <v>3661</v>
      </c>
      <c r="C3620">
        <v>-2.1</v>
      </c>
      <c r="D3620">
        <v>6.52</v>
      </c>
      <c r="E3620" t="s">
        <v>16</v>
      </c>
      <c r="F3620" t="s">
        <v>16</v>
      </c>
      <c r="H3620">
        <v>0.15</v>
      </c>
      <c r="I3620">
        <v>-5.92</v>
      </c>
      <c r="J3620">
        <v>-3.83</v>
      </c>
      <c r="L3620">
        <v>-1.2</v>
      </c>
      <c r="M3620">
        <v>114.03</v>
      </c>
      <c r="N3620">
        <v>0.02</v>
      </c>
      <c r="O3620">
        <v>0.5</v>
      </c>
    </row>
    <row r="3621" spans="1:15">
      <c r="A3621" t="str">
        <f>"600975"</f>
        <v>600975</v>
      </c>
      <c r="B3621" t="s">
        <v>3662</v>
      </c>
      <c r="C3621">
        <v>-1.56</v>
      </c>
      <c r="D3621">
        <v>4.41</v>
      </c>
      <c r="E3621" t="s">
        <v>16</v>
      </c>
      <c r="F3621" t="s">
        <v>16</v>
      </c>
      <c r="H3621">
        <v>-0.22</v>
      </c>
      <c r="I3621">
        <v>-8.7</v>
      </c>
      <c r="J3621">
        <v>-1.34</v>
      </c>
      <c r="L3621">
        <v>-0.45</v>
      </c>
      <c r="M3621">
        <v>90.58</v>
      </c>
      <c r="N3621">
        <v>0.03</v>
      </c>
      <c r="O3621">
        <v>5.25</v>
      </c>
    </row>
    <row r="3622" spans="1:15">
      <c r="A3622" t="str">
        <f>"600976"</f>
        <v>600976</v>
      </c>
      <c r="B3622" t="s">
        <v>3663</v>
      </c>
      <c r="C3622">
        <v>4.64</v>
      </c>
      <c r="D3622">
        <v>28.19</v>
      </c>
      <c r="E3622" t="s">
        <v>16</v>
      </c>
      <c r="F3622" t="s">
        <v>16</v>
      </c>
      <c r="H3622">
        <v>-0.1</v>
      </c>
      <c r="I3622">
        <v>2.06</v>
      </c>
      <c r="J3622">
        <v>-1.36</v>
      </c>
      <c r="L3622">
        <v>0.33</v>
      </c>
      <c r="M3622">
        <v>63.79</v>
      </c>
      <c r="N3622">
        <v>0.02</v>
      </c>
      <c r="O3622">
        <v>1.83</v>
      </c>
    </row>
    <row r="3623" spans="1:15">
      <c r="A3623" t="str">
        <f>"600977"</f>
        <v>600977</v>
      </c>
      <c r="B3623" t="s">
        <v>3664</v>
      </c>
      <c r="C3623">
        <v>1.54</v>
      </c>
      <c r="D3623">
        <v>13.89</v>
      </c>
      <c r="E3623" t="s">
        <v>16</v>
      </c>
      <c r="F3623" t="s">
        <v>16</v>
      </c>
      <c r="H3623">
        <v>0</v>
      </c>
      <c r="I3623">
        <v>-3.81</v>
      </c>
      <c r="J3623">
        <v>-1.07</v>
      </c>
      <c r="L3623">
        <v>0.44</v>
      </c>
      <c r="M3623">
        <v>318.77</v>
      </c>
      <c r="N3623">
        <v>0.04</v>
      </c>
      <c r="O3623">
        <v>1.39</v>
      </c>
    </row>
    <row r="3624" spans="1:15">
      <c r="A3624" t="str">
        <f>"600979"</f>
        <v>600979</v>
      </c>
      <c r="B3624" t="s">
        <v>3665</v>
      </c>
      <c r="C3624">
        <v>-5.12</v>
      </c>
      <c r="D3624">
        <v>4.45</v>
      </c>
      <c r="E3624" t="s">
        <v>16</v>
      </c>
      <c r="F3624" t="s">
        <v>16</v>
      </c>
      <c r="H3624">
        <v>0.23</v>
      </c>
      <c r="I3624">
        <v>-13.76</v>
      </c>
      <c r="J3624">
        <v>-4.3</v>
      </c>
      <c r="L3624">
        <v>-1.28</v>
      </c>
      <c r="M3624">
        <v>165.85</v>
      </c>
      <c r="N3624">
        <v>0.04</v>
      </c>
      <c r="O3624">
        <v>1.32</v>
      </c>
    </row>
    <row r="3625" spans="1:15">
      <c r="A3625" t="str">
        <f>"600980"</f>
        <v>600980</v>
      </c>
      <c r="B3625" t="s">
        <v>3666</v>
      </c>
      <c r="C3625">
        <v>0.57</v>
      </c>
      <c r="D3625">
        <v>21.18</v>
      </c>
      <c r="E3625" t="s">
        <v>16</v>
      </c>
      <c r="F3625" t="s">
        <v>16</v>
      </c>
      <c r="H3625">
        <v>0.05</v>
      </c>
      <c r="I3625">
        <v>2.32</v>
      </c>
      <c r="J3625">
        <v>-2.62</v>
      </c>
      <c r="L3625">
        <v>0.43</v>
      </c>
      <c r="M3625">
        <v>13.11</v>
      </c>
      <c r="N3625">
        <v>0.01</v>
      </c>
      <c r="O3625">
        <v>0.27</v>
      </c>
    </row>
    <row r="3626" spans="1:15">
      <c r="A3626" t="str">
        <f>"600981"</f>
        <v>600981</v>
      </c>
      <c r="B3626" t="s">
        <v>3667</v>
      </c>
      <c r="C3626">
        <v>-1.17</v>
      </c>
      <c r="D3626">
        <v>2.53</v>
      </c>
      <c r="E3626" t="s">
        <v>16</v>
      </c>
      <c r="F3626" t="s">
        <v>16</v>
      </c>
      <c r="H3626">
        <v>0.8</v>
      </c>
      <c r="I3626">
        <v>-6.3</v>
      </c>
      <c r="J3626">
        <v>-1.56</v>
      </c>
      <c r="L3626">
        <v>0</v>
      </c>
      <c r="M3626">
        <v>88.88</v>
      </c>
      <c r="N3626">
        <v>0.05</v>
      </c>
      <c r="O3626">
        <v>2.44</v>
      </c>
    </row>
    <row r="3627" spans="1:15">
      <c r="A3627" t="str">
        <f>"600982"</f>
        <v>600982</v>
      </c>
      <c r="B3627" t="s">
        <v>3668</v>
      </c>
      <c r="C3627">
        <v>-7.17</v>
      </c>
      <c r="D3627">
        <v>5.18</v>
      </c>
      <c r="E3627" t="s">
        <v>16</v>
      </c>
      <c r="F3627" t="s">
        <v>16</v>
      </c>
      <c r="H3627">
        <v>0.19</v>
      </c>
      <c r="I3627">
        <v>-23.03</v>
      </c>
      <c r="J3627">
        <v>-6.5</v>
      </c>
      <c r="L3627">
        <v>-1.08</v>
      </c>
      <c r="M3627">
        <v>115.92</v>
      </c>
      <c r="N3627">
        <v>0.04</v>
      </c>
      <c r="O3627">
        <v>1.83</v>
      </c>
    </row>
    <row r="3628" spans="1:15">
      <c r="A3628" t="str">
        <f>"600983"</f>
        <v>600983</v>
      </c>
      <c r="B3628" t="s">
        <v>3669</v>
      </c>
      <c r="C3628">
        <v>-7.83</v>
      </c>
      <c r="D3628">
        <v>7.65</v>
      </c>
      <c r="E3628" t="s">
        <v>16</v>
      </c>
      <c r="F3628" t="s">
        <v>16</v>
      </c>
      <c r="H3628">
        <v>-0.25</v>
      </c>
      <c r="I3628">
        <v>-3.16</v>
      </c>
      <c r="J3628">
        <v>-5.56</v>
      </c>
      <c r="L3628">
        <v>-2.41</v>
      </c>
      <c r="M3628">
        <v>99.55</v>
      </c>
      <c r="N3628">
        <v>0.08</v>
      </c>
      <c r="O3628">
        <v>3.86</v>
      </c>
    </row>
    <row r="3629" spans="1:15">
      <c r="A3629" t="str">
        <f>"600984"</f>
        <v>600984</v>
      </c>
      <c r="B3629" t="s">
        <v>3670</v>
      </c>
      <c r="C3629">
        <v>-1.66</v>
      </c>
      <c r="D3629">
        <v>4.14</v>
      </c>
      <c r="E3629" t="s">
        <v>16</v>
      </c>
      <c r="F3629" t="s">
        <v>16</v>
      </c>
      <c r="H3629">
        <v>0.24</v>
      </c>
      <c r="I3629">
        <v>-2.59</v>
      </c>
      <c r="J3629">
        <v>-3.27</v>
      </c>
      <c r="L3629">
        <v>0.48</v>
      </c>
      <c r="M3629">
        <v>81.77</v>
      </c>
      <c r="N3629">
        <v>0.03</v>
      </c>
      <c r="O3629">
        <v>7.06</v>
      </c>
    </row>
    <row r="3630" spans="1:15">
      <c r="A3630" t="str">
        <f>"600985"</f>
        <v>600985</v>
      </c>
      <c r="B3630" t="s">
        <v>3671</v>
      </c>
      <c r="C3630">
        <v>-3.04</v>
      </c>
      <c r="D3630">
        <v>14.98</v>
      </c>
      <c r="E3630" t="s">
        <v>16</v>
      </c>
      <c r="F3630" t="s">
        <v>16</v>
      </c>
      <c r="H3630">
        <v>0</v>
      </c>
      <c r="I3630">
        <v>-8.27</v>
      </c>
      <c r="J3630">
        <v>-3.85</v>
      </c>
      <c r="L3630">
        <v>-0.39</v>
      </c>
      <c r="M3630">
        <v>132.35</v>
      </c>
      <c r="N3630">
        <v>0.01</v>
      </c>
      <c r="O3630">
        <v>1.73</v>
      </c>
    </row>
    <row r="3631" spans="1:15">
      <c r="A3631" t="str">
        <f>"600986"</f>
        <v>600986</v>
      </c>
      <c r="B3631" t="s">
        <v>3672</v>
      </c>
      <c r="C3631">
        <v>0.38</v>
      </c>
      <c r="D3631">
        <v>8.02</v>
      </c>
      <c r="E3631" t="s">
        <v>16</v>
      </c>
      <c r="F3631" t="s">
        <v>16</v>
      </c>
      <c r="H3631">
        <v>-0.24</v>
      </c>
      <c r="I3631">
        <v>-1.47</v>
      </c>
      <c r="J3631">
        <v>-1.72</v>
      </c>
      <c r="L3631">
        <v>-1</v>
      </c>
      <c r="M3631">
        <v>166.03</v>
      </c>
      <c r="N3631">
        <v>0.02</v>
      </c>
      <c r="O3631">
        <v>0.43</v>
      </c>
    </row>
    <row r="3632" spans="1:15">
      <c r="A3632" t="str">
        <f>"600987"</f>
        <v>600987</v>
      </c>
      <c r="B3632" t="s">
        <v>3673</v>
      </c>
      <c r="C3632">
        <v>-3.11</v>
      </c>
      <c r="D3632">
        <v>6.24</v>
      </c>
      <c r="E3632" t="s">
        <v>16</v>
      </c>
      <c r="F3632" t="s">
        <v>16</v>
      </c>
      <c r="H3632">
        <v>-0.15</v>
      </c>
      <c r="I3632">
        <v>-4.29</v>
      </c>
      <c r="J3632">
        <v>-2.8</v>
      </c>
      <c r="L3632">
        <v>-0.62</v>
      </c>
      <c r="M3632">
        <v>75.2</v>
      </c>
      <c r="N3632">
        <v>0.02</v>
      </c>
      <c r="O3632">
        <v>1.79</v>
      </c>
    </row>
    <row r="3633" spans="1:15">
      <c r="A3633" t="str">
        <f>"600988"</f>
        <v>600988</v>
      </c>
      <c r="B3633" t="s">
        <v>3674</v>
      </c>
      <c r="C3633">
        <v>-5.88</v>
      </c>
      <c r="D3633">
        <v>30.59</v>
      </c>
      <c r="E3633" t="s">
        <v>16</v>
      </c>
      <c r="F3633" t="s">
        <v>16</v>
      </c>
      <c r="H3633">
        <v>-0.32</v>
      </c>
      <c r="I3633">
        <v>-5.09</v>
      </c>
      <c r="J3633">
        <v>-5.88</v>
      </c>
      <c r="L3633">
        <v>-2.65</v>
      </c>
      <c r="M3633">
        <v>1716.79</v>
      </c>
      <c r="N3633">
        <v>0.04</v>
      </c>
      <c r="O3633">
        <v>1.99</v>
      </c>
    </row>
    <row r="3634" spans="1:15">
      <c r="A3634" t="str">
        <f>"600989"</f>
        <v>600989</v>
      </c>
      <c r="B3634" t="s">
        <v>3675</v>
      </c>
      <c r="C3634">
        <v>-2.76</v>
      </c>
      <c r="D3634">
        <v>21.51</v>
      </c>
      <c r="E3634" t="s">
        <v>16</v>
      </c>
      <c r="F3634" t="s">
        <v>16</v>
      </c>
      <c r="H3634">
        <v>-0.45</v>
      </c>
      <c r="I3634">
        <v>-8.78</v>
      </c>
      <c r="J3634">
        <v>-3.54</v>
      </c>
      <c r="L3634">
        <v>0.27</v>
      </c>
      <c r="M3634">
        <v>1062.2</v>
      </c>
      <c r="N3634">
        <v>0.02</v>
      </c>
      <c r="O3634">
        <v>0.89</v>
      </c>
    </row>
    <row r="3635" spans="1:15">
      <c r="A3635" t="str">
        <f>"600990"</f>
        <v>600990</v>
      </c>
      <c r="B3635" t="s">
        <v>3676</v>
      </c>
      <c r="C3635">
        <v>-0.63</v>
      </c>
      <c r="D3635">
        <v>18.92</v>
      </c>
      <c r="E3635" t="s">
        <v>16</v>
      </c>
      <c r="F3635" t="s">
        <v>16</v>
      </c>
      <c r="H3635">
        <v>0.11</v>
      </c>
      <c r="I3635">
        <v>2.49</v>
      </c>
      <c r="J3635">
        <v>-1.97</v>
      </c>
      <c r="L3635">
        <v>0.79</v>
      </c>
      <c r="M3635">
        <v>38.57</v>
      </c>
      <c r="N3635">
        <v>0.01</v>
      </c>
      <c r="O3635">
        <v>1.45</v>
      </c>
    </row>
    <row r="3636" spans="1:15">
      <c r="A3636" t="str">
        <f>"600992"</f>
        <v>600992</v>
      </c>
      <c r="B3636" t="s">
        <v>3677</v>
      </c>
      <c r="C3636">
        <v>-1.12</v>
      </c>
      <c r="D3636">
        <v>9.69</v>
      </c>
      <c r="E3636" t="s">
        <v>16</v>
      </c>
      <c r="F3636" t="s">
        <v>16</v>
      </c>
      <c r="H3636">
        <v>0.1</v>
      </c>
      <c r="I3636">
        <v>-20.64</v>
      </c>
      <c r="J3636">
        <v>-2.02</v>
      </c>
      <c r="L3636">
        <v>0</v>
      </c>
      <c r="M3636">
        <v>82.12</v>
      </c>
      <c r="N3636">
        <v>0.04</v>
      </c>
      <c r="O3636">
        <v>3.25</v>
      </c>
    </row>
    <row r="3637" spans="1:15">
      <c r="A3637" t="str">
        <f>"600993"</f>
        <v>600993</v>
      </c>
      <c r="B3637" t="s">
        <v>3678</v>
      </c>
      <c r="C3637">
        <v>-1.22</v>
      </c>
      <c r="D3637">
        <v>22.58</v>
      </c>
      <c r="E3637" t="s">
        <v>16</v>
      </c>
      <c r="F3637" t="s">
        <v>16</v>
      </c>
      <c r="H3637">
        <v>-0.25</v>
      </c>
      <c r="I3637">
        <v>-3.17</v>
      </c>
      <c r="J3637">
        <v>-1.18</v>
      </c>
      <c r="L3637">
        <v>-0.04</v>
      </c>
      <c r="M3637">
        <v>35.19</v>
      </c>
      <c r="N3637">
        <v>0.01</v>
      </c>
      <c r="O3637">
        <v>1.01</v>
      </c>
    </row>
    <row r="3638" spans="1:15">
      <c r="A3638" t="str">
        <f>"600995"</f>
        <v>600995</v>
      </c>
      <c r="B3638" t="s">
        <v>3679</v>
      </c>
      <c r="C3638">
        <v>-4.75</v>
      </c>
      <c r="D3638">
        <v>12.83</v>
      </c>
      <c r="E3638" t="s">
        <v>16</v>
      </c>
      <c r="F3638" t="s">
        <v>16</v>
      </c>
      <c r="H3638">
        <v>-0.22</v>
      </c>
      <c r="I3638">
        <v>-18.02</v>
      </c>
      <c r="J3638">
        <v>-4.47</v>
      </c>
      <c r="L3638">
        <v>-0.52</v>
      </c>
      <c r="M3638">
        <v>49.04</v>
      </c>
      <c r="N3638">
        <v>0.01</v>
      </c>
      <c r="O3638">
        <v>0.46</v>
      </c>
    </row>
    <row r="3639" spans="1:15">
      <c r="A3639" t="str">
        <f>"600996"</f>
        <v>600996</v>
      </c>
      <c r="B3639" t="s">
        <v>3680</v>
      </c>
      <c r="C3639">
        <v>-6.84</v>
      </c>
      <c r="D3639">
        <v>8.99</v>
      </c>
      <c r="E3639" t="s">
        <v>16</v>
      </c>
      <c r="F3639" t="s">
        <v>16</v>
      </c>
      <c r="H3639">
        <v>-0.32</v>
      </c>
      <c r="I3639">
        <v>5.39</v>
      </c>
      <c r="J3639">
        <v>-9.38</v>
      </c>
      <c r="L3639">
        <v>0</v>
      </c>
      <c r="M3639">
        <v>263.45</v>
      </c>
      <c r="N3639">
        <v>0.04</v>
      </c>
      <c r="O3639">
        <v>0.39</v>
      </c>
    </row>
    <row r="3640" spans="1:15">
      <c r="A3640" t="str">
        <f>"600997"</f>
        <v>600997</v>
      </c>
      <c r="B3640" t="s">
        <v>3681</v>
      </c>
      <c r="C3640">
        <v>-1.59</v>
      </c>
      <c r="D3640">
        <v>4.96</v>
      </c>
      <c r="E3640" t="s">
        <v>16</v>
      </c>
      <c r="F3640" t="s">
        <v>16</v>
      </c>
      <c r="H3640">
        <v>0.2</v>
      </c>
      <c r="I3640">
        <v>-15.36</v>
      </c>
      <c r="J3640">
        <v>-1.2</v>
      </c>
      <c r="L3640">
        <v>-0.6</v>
      </c>
      <c r="M3640">
        <v>37.93</v>
      </c>
      <c r="N3640">
        <v>0.02</v>
      </c>
      <c r="O3640">
        <v>0.82</v>
      </c>
    </row>
    <row r="3641" spans="1:15">
      <c r="A3641" t="str">
        <f>"600998"</f>
        <v>600998</v>
      </c>
      <c r="B3641" t="s">
        <v>3682</v>
      </c>
      <c r="C3641">
        <v>1.47</v>
      </c>
      <c r="D3641">
        <v>4.83</v>
      </c>
      <c r="E3641" t="s">
        <v>16</v>
      </c>
      <c r="F3641" t="s">
        <v>16</v>
      </c>
      <c r="H3641">
        <v>-0.2</v>
      </c>
      <c r="I3641">
        <v>1.68</v>
      </c>
      <c r="J3641">
        <v>-0.62</v>
      </c>
      <c r="L3641">
        <v>0</v>
      </c>
      <c r="M3641">
        <v>17.33</v>
      </c>
      <c r="N3641">
        <v>0</v>
      </c>
      <c r="O3641">
        <v>0.96</v>
      </c>
    </row>
    <row r="3642" spans="1:15">
      <c r="A3642" t="str">
        <f>"600999"</f>
        <v>600999</v>
      </c>
      <c r="B3642" t="s">
        <v>3683</v>
      </c>
      <c r="C3642">
        <v>-2.72</v>
      </c>
      <c r="D3642">
        <v>18.58</v>
      </c>
      <c r="E3642" t="s">
        <v>16</v>
      </c>
      <c r="F3642" t="s">
        <v>16</v>
      </c>
      <c r="H3642">
        <v>0.22</v>
      </c>
      <c r="I3642">
        <v>8.46</v>
      </c>
      <c r="J3642">
        <v>-3.08</v>
      </c>
      <c r="L3642">
        <v>-0.58</v>
      </c>
      <c r="M3642">
        <v>909.81</v>
      </c>
      <c r="N3642">
        <v>0.02</v>
      </c>
      <c r="O3642">
        <v>1.68</v>
      </c>
    </row>
    <row r="3643" spans="1:15">
      <c r="A3643" t="str">
        <f>"601000"</f>
        <v>601000</v>
      </c>
      <c r="B3643" t="s">
        <v>3684</v>
      </c>
      <c r="C3643">
        <v>-3.02</v>
      </c>
      <c r="D3643">
        <v>4.17</v>
      </c>
      <c r="E3643" t="s">
        <v>16</v>
      </c>
      <c r="F3643" t="s">
        <v>16</v>
      </c>
      <c r="H3643">
        <v>-0.23</v>
      </c>
      <c r="I3643">
        <v>-2.8</v>
      </c>
      <c r="J3643">
        <v>-2.8</v>
      </c>
      <c r="L3643">
        <v>-0.23</v>
      </c>
      <c r="M3643">
        <v>51.95</v>
      </c>
      <c r="N3643">
        <v>0</v>
      </c>
      <c r="O3643">
        <v>3.33</v>
      </c>
    </row>
    <row r="3644" spans="1:15">
      <c r="A3644" t="str">
        <f>"601001"</f>
        <v>601001</v>
      </c>
      <c r="B3644" t="s">
        <v>3685</v>
      </c>
      <c r="C3644">
        <v>-0.84</v>
      </c>
      <c r="D3644">
        <v>18.94</v>
      </c>
      <c r="E3644" t="s">
        <v>16</v>
      </c>
      <c r="F3644" t="s">
        <v>16</v>
      </c>
      <c r="H3644">
        <v>0.42</v>
      </c>
      <c r="I3644">
        <v>-16.53</v>
      </c>
      <c r="J3644">
        <v>-1.56</v>
      </c>
      <c r="L3644">
        <v>0.42</v>
      </c>
      <c r="M3644">
        <v>197.36</v>
      </c>
      <c r="N3644">
        <v>0.01</v>
      </c>
      <c r="O3644">
        <v>2.18</v>
      </c>
    </row>
    <row r="3645" spans="1:15">
      <c r="A3645" t="str">
        <f>"601002"</f>
        <v>601002</v>
      </c>
      <c r="B3645" t="s">
        <v>3686</v>
      </c>
      <c r="C3645">
        <v>-1.9</v>
      </c>
      <c r="D3645">
        <v>4.65</v>
      </c>
      <c r="E3645" t="s">
        <v>16</v>
      </c>
      <c r="F3645" t="s">
        <v>16</v>
      </c>
      <c r="H3645">
        <v>0</v>
      </c>
      <c r="I3645">
        <v>-7.74</v>
      </c>
      <c r="J3645">
        <v>-1.48</v>
      </c>
      <c r="L3645">
        <v>-1.27</v>
      </c>
      <c r="M3645">
        <v>40.2</v>
      </c>
      <c r="N3645">
        <v>0.02</v>
      </c>
      <c r="O3645">
        <v>1.04</v>
      </c>
    </row>
    <row r="3646" spans="1:15">
      <c r="A3646" t="str">
        <f>"601003"</f>
        <v>601003</v>
      </c>
      <c r="B3646" t="s">
        <v>3687</v>
      </c>
      <c r="C3646">
        <v>-1.66</v>
      </c>
      <c r="D3646">
        <v>3.55</v>
      </c>
      <c r="E3646" t="s">
        <v>16</v>
      </c>
      <c r="F3646" t="s">
        <v>16</v>
      </c>
      <c r="H3646">
        <v>-0.27</v>
      </c>
      <c r="I3646">
        <v>-5.08</v>
      </c>
      <c r="J3646">
        <v>-1.93</v>
      </c>
      <c r="L3646">
        <v>-0.28</v>
      </c>
      <c r="M3646">
        <v>9.76</v>
      </c>
      <c r="N3646">
        <v>0.01</v>
      </c>
      <c r="O3646">
        <v>0.22</v>
      </c>
    </row>
    <row r="3647" spans="1:15">
      <c r="A3647" t="str">
        <f>"601005"</f>
        <v>601005</v>
      </c>
      <c r="B3647" t="s">
        <v>3688</v>
      </c>
      <c r="C3647">
        <v>0.82</v>
      </c>
      <c r="D3647">
        <v>1.23</v>
      </c>
      <c r="E3647" t="s">
        <v>16</v>
      </c>
      <c r="F3647" t="s">
        <v>16</v>
      </c>
      <c r="H3647">
        <v>0</v>
      </c>
      <c r="I3647">
        <v>-4.65</v>
      </c>
      <c r="J3647">
        <v>-1.6</v>
      </c>
      <c r="L3647">
        <v>0</v>
      </c>
      <c r="M3647">
        <v>98.23</v>
      </c>
      <c r="N3647">
        <v>0.01</v>
      </c>
      <c r="O3647">
        <v>0.39</v>
      </c>
    </row>
    <row r="3648" spans="1:15">
      <c r="A3648" t="str">
        <f>"601006"</f>
        <v>601006</v>
      </c>
      <c r="B3648" t="s">
        <v>3689</v>
      </c>
      <c r="C3648">
        <v>-1</v>
      </c>
      <c r="D3648">
        <v>4.94</v>
      </c>
      <c r="E3648" t="s">
        <v>16</v>
      </c>
      <c r="F3648" t="s">
        <v>16</v>
      </c>
      <c r="H3648">
        <v>-0.19</v>
      </c>
      <c r="I3648">
        <v>-3.7</v>
      </c>
      <c r="J3648">
        <v>-1</v>
      </c>
      <c r="L3648">
        <v>0</v>
      </c>
      <c r="M3648">
        <v>152.59</v>
      </c>
      <c r="N3648">
        <v>0</v>
      </c>
      <c r="O3648">
        <v>2.5</v>
      </c>
    </row>
    <row r="3649" spans="1:15">
      <c r="A3649" t="str">
        <f>"601007"</f>
        <v>601007</v>
      </c>
      <c r="B3649" t="s">
        <v>3690</v>
      </c>
      <c r="C3649">
        <v>-0.77</v>
      </c>
      <c r="D3649">
        <v>6.42</v>
      </c>
      <c r="E3649" t="s">
        <v>16</v>
      </c>
      <c r="F3649" t="s">
        <v>16</v>
      </c>
      <c r="H3649">
        <v>0.16</v>
      </c>
      <c r="I3649">
        <v>-2.58</v>
      </c>
      <c r="J3649">
        <v>-1.08</v>
      </c>
      <c r="L3649">
        <v>-0.46</v>
      </c>
      <c r="M3649">
        <v>6.18</v>
      </c>
      <c r="N3649">
        <v>0</v>
      </c>
      <c r="O3649">
        <v>1.78</v>
      </c>
    </row>
    <row r="3650" spans="1:15">
      <c r="A3650" t="str">
        <f>"601008"</f>
        <v>601008</v>
      </c>
      <c r="B3650" t="s">
        <v>3691</v>
      </c>
      <c r="C3650">
        <v>-1.14</v>
      </c>
      <c r="D3650">
        <v>4.35</v>
      </c>
      <c r="E3650" t="s">
        <v>16</v>
      </c>
      <c r="F3650" t="s">
        <v>16</v>
      </c>
      <c r="H3650">
        <v>-0.22</v>
      </c>
      <c r="I3650">
        <v>-6.25</v>
      </c>
      <c r="J3650">
        <v>-1.81</v>
      </c>
      <c r="L3650">
        <v>0.45</v>
      </c>
      <c r="M3650">
        <v>15.12</v>
      </c>
      <c r="N3650">
        <v>0.01</v>
      </c>
      <c r="O3650">
        <v>0.33</v>
      </c>
    </row>
    <row r="3651" spans="1:15">
      <c r="A3651" t="str">
        <f>"601009"</f>
        <v>601009</v>
      </c>
      <c r="B3651" t="s">
        <v>3692</v>
      </c>
      <c r="C3651">
        <v>-2.6</v>
      </c>
      <c r="D3651">
        <v>10.85</v>
      </c>
      <c r="E3651" t="s">
        <v>16</v>
      </c>
      <c r="F3651" t="s">
        <v>16</v>
      </c>
      <c r="H3651">
        <v>-0.45</v>
      </c>
      <c r="I3651">
        <v>0.56</v>
      </c>
      <c r="J3651">
        <v>-2.6</v>
      </c>
      <c r="L3651">
        <v>-0.18</v>
      </c>
      <c r="M3651">
        <v>116.98</v>
      </c>
      <c r="N3651">
        <v>0</v>
      </c>
      <c r="O3651">
        <v>0.95</v>
      </c>
    </row>
    <row r="3652" spans="1:15">
      <c r="A3652" t="str">
        <f>"601010"</f>
        <v>601010</v>
      </c>
      <c r="B3652" t="s">
        <v>3693</v>
      </c>
      <c r="C3652">
        <v>-5.16</v>
      </c>
      <c r="D3652">
        <v>1.47</v>
      </c>
      <c r="E3652">
        <v>34.34</v>
      </c>
      <c r="F3652" t="s">
        <v>16</v>
      </c>
      <c r="H3652">
        <v>0</v>
      </c>
      <c r="I3652">
        <v>-14.53</v>
      </c>
      <c r="J3652">
        <v>-4.55</v>
      </c>
      <c r="L3652">
        <v>-0.65</v>
      </c>
      <c r="M3652">
        <v>38.59</v>
      </c>
      <c r="N3652">
        <v>0.02</v>
      </c>
      <c r="O3652">
        <v>0.45</v>
      </c>
    </row>
    <row r="3653" spans="1:15">
      <c r="A3653" t="str">
        <f>"601011"</f>
        <v>601011</v>
      </c>
      <c r="B3653" t="s">
        <v>3694</v>
      </c>
      <c r="C3653">
        <v>-3.32</v>
      </c>
      <c r="D3653">
        <v>2.62</v>
      </c>
      <c r="E3653" t="s">
        <v>16</v>
      </c>
      <c r="F3653" t="s">
        <v>16</v>
      </c>
      <c r="H3653">
        <v>0</v>
      </c>
      <c r="I3653">
        <v>-17.87</v>
      </c>
      <c r="J3653">
        <v>-2.96</v>
      </c>
      <c r="L3653">
        <v>-0.37</v>
      </c>
      <c r="M3653">
        <v>48.11</v>
      </c>
      <c r="N3653">
        <v>0.01</v>
      </c>
      <c r="O3653">
        <v>3.26</v>
      </c>
    </row>
    <row r="3654" spans="1:15">
      <c r="A3654" t="str">
        <f>"601012"</f>
        <v>601012</v>
      </c>
      <c r="B3654" t="s">
        <v>3695</v>
      </c>
      <c r="C3654">
        <v>-1.76</v>
      </c>
      <c r="D3654">
        <v>12.84</v>
      </c>
      <c r="E3654" t="s">
        <v>16</v>
      </c>
      <c r="F3654" t="s">
        <v>16</v>
      </c>
      <c r="H3654">
        <v>0.08</v>
      </c>
      <c r="I3654">
        <v>-3.75</v>
      </c>
      <c r="J3654">
        <v>-1.76</v>
      </c>
      <c r="L3654">
        <v>-0.54</v>
      </c>
      <c r="M3654">
        <v>1538.68</v>
      </c>
      <c r="N3654">
        <v>0.02</v>
      </c>
      <c r="O3654">
        <v>2.95</v>
      </c>
    </row>
    <row r="3655" spans="1:15">
      <c r="A3655" t="str">
        <f>"601015"</f>
        <v>601015</v>
      </c>
      <c r="B3655" t="s">
        <v>3696</v>
      </c>
      <c r="C3655">
        <v>-2.83</v>
      </c>
      <c r="D3655">
        <v>3.09</v>
      </c>
      <c r="E3655" t="s">
        <v>16</v>
      </c>
      <c r="F3655" t="s">
        <v>16</v>
      </c>
      <c r="H3655">
        <v>-0.63</v>
      </c>
      <c r="I3655">
        <v>-27.29</v>
      </c>
      <c r="J3655">
        <v>-3.44</v>
      </c>
      <c r="L3655">
        <v>0.31</v>
      </c>
      <c r="M3655">
        <v>63.16</v>
      </c>
      <c r="N3655">
        <v>0.02</v>
      </c>
      <c r="O3655">
        <v>1.26</v>
      </c>
    </row>
    <row r="3656" spans="1:15">
      <c r="A3656" t="str">
        <f>"601016"</f>
        <v>601016</v>
      </c>
      <c r="B3656" t="s">
        <v>3697</v>
      </c>
      <c r="C3656">
        <v>-4.76</v>
      </c>
      <c r="D3656">
        <v>3.8</v>
      </c>
      <c r="E3656" t="s">
        <v>16</v>
      </c>
      <c r="F3656" t="s">
        <v>16</v>
      </c>
      <c r="H3656">
        <v>0</v>
      </c>
      <c r="I3656">
        <v>-23.54</v>
      </c>
      <c r="J3656">
        <v>-4.52</v>
      </c>
      <c r="L3656">
        <v>-0.25</v>
      </c>
      <c r="M3656">
        <v>546.37</v>
      </c>
      <c r="N3656">
        <v>0.04</v>
      </c>
      <c r="O3656">
        <v>2.9</v>
      </c>
    </row>
    <row r="3657" spans="1:15">
      <c r="A3657" t="str">
        <f>"601018"</f>
        <v>601018</v>
      </c>
      <c r="B3657" t="s">
        <v>3698</v>
      </c>
      <c r="C3657">
        <v>-2.4</v>
      </c>
      <c r="D3657">
        <v>3.26</v>
      </c>
      <c r="E3657" t="s">
        <v>16</v>
      </c>
      <c r="F3657" t="s">
        <v>16</v>
      </c>
      <c r="H3657">
        <v>-0.3</v>
      </c>
      <c r="I3657">
        <v>-3.83</v>
      </c>
      <c r="J3657">
        <v>-2.4</v>
      </c>
      <c r="L3657">
        <v>0</v>
      </c>
      <c r="M3657">
        <v>50.53</v>
      </c>
      <c r="N3657">
        <v>0</v>
      </c>
      <c r="O3657">
        <v>0.76</v>
      </c>
    </row>
    <row r="3658" spans="1:15">
      <c r="A3658" t="str">
        <f>"601019"</f>
        <v>601019</v>
      </c>
      <c r="B3658" t="s">
        <v>3699</v>
      </c>
      <c r="C3658">
        <v>-1.3</v>
      </c>
      <c r="D3658">
        <v>6.82</v>
      </c>
      <c r="E3658" t="s">
        <v>16</v>
      </c>
      <c r="F3658" t="s">
        <v>16</v>
      </c>
      <c r="H3658">
        <v>-0.43</v>
      </c>
      <c r="I3658">
        <v>-1.73</v>
      </c>
      <c r="J3658">
        <v>-1.73</v>
      </c>
      <c r="L3658">
        <v>0.29</v>
      </c>
      <c r="M3658">
        <v>4.09</v>
      </c>
      <c r="N3658">
        <v>0</v>
      </c>
      <c r="O3658">
        <v>0.42</v>
      </c>
    </row>
    <row r="3659" spans="1:15">
      <c r="A3659" t="str">
        <f>"601020"</f>
        <v>601020</v>
      </c>
      <c r="B3659" t="s">
        <v>3700</v>
      </c>
      <c r="C3659">
        <v>-1.69</v>
      </c>
      <c r="D3659">
        <v>24.43</v>
      </c>
      <c r="E3659" t="s">
        <v>16</v>
      </c>
      <c r="F3659" t="s">
        <v>16</v>
      </c>
      <c r="H3659">
        <v>0.08</v>
      </c>
      <c r="I3659">
        <v>-2.04</v>
      </c>
      <c r="J3659">
        <v>-3.32</v>
      </c>
      <c r="K3659" t="s">
        <v>26</v>
      </c>
      <c r="L3659">
        <v>-1.01</v>
      </c>
      <c r="M3659">
        <v>889.78</v>
      </c>
      <c r="N3659">
        <v>0.06</v>
      </c>
      <c r="O3659">
        <v>0.6</v>
      </c>
    </row>
    <row r="3660" spans="1:15">
      <c r="A3660" t="str">
        <f>"601021"</f>
        <v>601021</v>
      </c>
      <c r="B3660" t="s">
        <v>3701</v>
      </c>
      <c r="C3660">
        <v>-2.76</v>
      </c>
      <c r="D3660">
        <v>45.76</v>
      </c>
      <c r="E3660" t="s">
        <v>16</v>
      </c>
      <c r="F3660" t="s">
        <v>16</v>
      </c>
      <c r="H3660">
        <v>-0.34</v>
      </c>
      <c r="I3660">
        <v>0.24</v>
      </c>
      <c r="J3660">
        <v>-2.24</v>
      </c>
      <c r="L3660">
        <v>-0.59</v>
      </c>
      <c r="M3660">
        <v>177.3</v>
      </c>
      <c r="N3660">
        <v>0.01</v>
      </c>
      <c r="O3660">
        <v>0.4</v>
      </c>
    </row>
    <row r="3661" spans="1:15">
      <c r="A3661" t="str">
        <f>"601022"</f>
        <v>601022</v>
      </c>
      <c r="B3661" t="s">
        <v>3702</v>
      </c>
      <c r="C3661">
        <v>1</v>
      </c>
      <c r="D3661">
        <v>8.08</v>
      </c>
      <c r="E3661" t="s">
        <v>16</v>
      </c>
      <c r="F3661" t="s">
        <v>16</v>
      </c>
      <c r="H3661">
        <v>-0.36</v>
      </c>
      <c r="I3661">
        <v>1.38</v>
      </c>
      <c r="J3661">
        <v>-0.98</v>
      </c>
      <c r="K3661" t="s">
        <v>57</v>
      </c>
      <c r="L3661">
        <v>-0.13</v>
      </c>
      <c r="M3661">
        <v>115.62</v>
      </c>
      <c r="N3661">
        <v>0.06</v>
      </c>
      <c r="O3661">
        <v>0.7</v>
      </c>
    </row>
    <row r="3662" spans="1:15">
      <c r="A3662" t="str">
        <f>"601026"</f>
        <v>601026</v>
      </c>
      <c r="B3662" t="s">
        <v>3703</v>
      </c>
      <c r="C3662">
        <v>-0.32</v>
      </c>
      <c r="D3662">
        <v>15.36</v>
      </c>
      <c r="E3662" t="s">
        <v>16</v>
      </c>
      <c r="F3662" t="s">
        <v>16</v>
      </c>
      <c r="H3662">
        <v>0.33</v>
      </c>
      <c r="I3662">
        <v>-3.03</v>
      </c>
      <c r="J3662">
        <v>-0.65</v>
      </c>
      <c r="L3662">
        <v>-0.06</v>
      </c>
      <c r="M3662">
        <v>25.26</v>
      </c>
      <c r="N3662">
        <v>0.01</v>
      </c>
      <c r="O3662">
        <v>1.38</v>
      </c>
    </row>
    <row r="3663" spans="1:15">
      <c r="A3663" t="str">
        <f>"601033"</f>
        <v>601033</v>
      </c>
      <c r="B3663" t="s">
        <v>3704</v>
      </c>
      <c r="C3663">
        <v>0.14</v>
      </c>
      <c r="D3663">
        <v>14</v>
      </c>
      <c r="E3663" t="s">
        <v>16</v>
      </c>
      <c r="F3663" t="s">
        <v>16</v>
      </c>
      <c r="H3663">
        <v>-0.06</v>
      </c>
      <c r="I3663">
        <v>-6.04</v>
      </c>
      <c r="J3663">
        <v>-1.48</v>
      </c>
      <c r="L3663">
        <v>0.64</v>
      </c>
      <c r="M3663">
        <v>41.93</v>
      </c>
      <c r="N3663">
        <v>0.01</v>
      </c>
      <c r="O3663">
        <v>1.67</v>
      </c>
    </row>
    <row r="3664" spans="1:15">
      <c r="A3664" t="str">
        <f>"601038"</f>
        <v>601038</v>
      </c>
      <c r="B3664" t="s">
        <v>3705</v>
      </c>
      <c r="C3664">
        <v>-1.22</v>
      </c>
      <c r="D3664">
        <v>11.36</v>
      </c>
      <c r="E3664" t="s">
        <v>16</v>
      </c>
      <c r="F3664" t="s">
        <v>16</v>
      </c>
      <c r="H3664">
        <v>-0.25</v>
      </c>
      <c r="I3664">
        <v>-8.61</v>
      </c>
      <c r="J3664">
        <v>-2.49</v>
      </c>
      <c r="L3664">
        <v>-0.09</v>
      </c>
      <c r="M3664">
        <v>5.4</v>
      </c>
      <c r="N3664">
        <v>0</v>
      </c>
      <c r="O3664">
        <v>0.18</v>
      </c>
    </row>
    <row r="3665" spans="1:15">
      <c r="A3665" t="str">
        <f>"601058"</f>
        <v>601058</v>
      </c>
      <c r="B3665" t="s">
        <v>3706</v>
      </c>
      <c r="C3665">
        <v>-2.54</v>
      </c>
      <c r="D3665">
        <v>11.5</v>
      </c>
      <c r="E3665" t="s">
        <v>16</v>
      </c>
      <c r="F3665" t="s">
        <v>16</v>
      </c>
      <c r="H3665">
        <v>-0.08</v>
      </c>
      <c r="I3665">
        <v>-5.51</v>
      </c>
      <c r="J3665">
        <v>-3.04</v>
      </c>
      <c r="L3665">
        <v>0.08</v>
      </c>
      <c r="M3665">
        <v>403.8</v>
      </c>
      <c r="N3665">
        <v>0.01</v>
      </c>
      <c r="O3665">
        <v>1.46</v>
      </c>
    </row>
    <row r="3666" spans="1:15">
      <c r="A3666" t="str">
        <f>"601059"</f>
        <v>601059</v>
      </c>
      <c r="B3666" t="s">
        <v>3707</v>
      </c>
      <c r="C3666">
        <v>-1.16</v>
      </c>
      <c r="D3666">
        <v>15.38</v>
      </c>
      <c r="E3666" t="s">
        <v>16</v>
      </c>
      <c r="F3666" t="s">
        <v>16</v>
      </c>
      <c r="H3666">
        <v>0</v>
      </c>
      <c r="I3666">
        <v>-5.93</v>
      </c>
      <c r="J3666">
        <v>-2.72</v>
      </c>
      <c r="L3666">
        <v>-0.39</v>
      </c>
      <c r="M3666">
        <v>20.15</v>
      </c>
      <c r="N3666">
        <v>0</v>
      </c>
      <c r="O3666">
        <v>0.5</v>
      </c>
    </row>
    <row r="3667" spans="1:15">
      <c r="A3667" t="str">
        <f>"601061"</f>
        <v>601061</v>
      </c>
      <c r="B3667" t="s">
        <v>3708</v>
      </c>
      <c r="C3667">
        <v>0.42</v>
      </c>
      <c r="D3667">
        <v>11.96</v>
      </c>
      <c r="E3667" t="s">
        <v>16</v>
      </c>
      <c r="F3667" t="s">
        <v>16</v>
      </c>
      <c r="H3667">
        <v>-0.65</v>
      </c>
      <c r="I3667">
        <v>-3.86</v>
      </c>
      <c r="J3667">
        <v>-2.13</v>
      </c>
      <c r="L3667">
        <v>-0.5</v>
      </c>
      <c r="M3667">
        <v>170.76</v>
      </c>
      <c r="N3667">
        <v>0.03</v>
      </c>
      <c r="O3667">
        <v>1.38</v>
      </c>
    </row>
    <row r="3668" spans="1:15">
      <c r="A3668" t="str">
        <f>"601065"</f>
        <v>601065</v>
      </c>
      <c r="B3668" t="s">
        <v>3709</v>
      </c>
      <c r="C3668">
        <v>-0.97</v>
      </c>
      <c r="D3668">
        <v>7.16</v>
      </c>
      <c r="E3668" t="s">
        <v>16</v>
      </c>
      <c r="F3668" t="s">
        <v>16</v>
      </c>
      <c r="H3668">
        <v>0</v>
      </c>
      <c r="I3668">
        <v>-7.25</v>
      </c>
      <c r="J3668">
        <v>-1.92</v>
      </c>
      <c r="L3668">
        <v>-0.28</v>
      </c>
      <c r="M3668">
        <v>11.61</v>
      </c>
      <c r="N3668">
        <v>0</v>
      </c>
      <c r="O3668">
        <v>2.27</v>
      </c>
    </row>
    <row r="3669" spans="1:15">
      <c r="A3669" t="str">
        <f>"601066"</f>
        <v>601066</v>
      </c>
      <c r="B3669" t="s">
        <v>3710</v>
      </c>
      <c r="C3669">
        <v>-3.94</v>
      </c>
      <c r="D3669">
        <v>24.9</v>
      </c>
      <c r="E3669" t="s">
        <v>16</v>
      </c>
      <c r="F3669" t="s">
        <v>16</v>
      </c>
      <c r="H3669">
        <v>-0.43</v>
      </c>
      <c r="I3669">
        <v>-0.68</v>
      </c>
      <c r="J3669">
        <v>-4.16</v>
      </c>
      <c r="L3669">
        <v>-0.39</v>
      </c>
      <c r="M3669">
        <v>344.44</v>
      </c>
      <c r="N3669">
        <v>0.01</v>
      </c>
      <c r="O3669">
        <v>0.94</v>
      </c>
    </row>
    <row r="3670" spans="1:15">
      <c r="A3670" t="str">
        <f>"601068"</f>
        <v>601068</v>
      </c>
      <c r="B3670" t="s">
        <v>3711</v>
      </c>
      <c r="C3670">
        <v>-3.64</v>
      </c>
      <c r="D3670">
        <v>4.77</v>
      </c>
      <c r="E3670" t="s">
        <v>16</v>
      </c>
      <c r="F3670" t="s">
        <v>16</v>
      </c>
      <c r="H3670">
        <v>0</v>
      </c>
      <c r="I3670">
        <v>-10.67</v>
      </c>
      <c r="J3670">
        <v>-3.44</v>
      </c>
      <c r="L3670">
        <v>-1.01</v>
      </c>
      <c r="M3670">
        <v>102.26</v>
      </c>
      <c r="N3670">
        <v>0.07</v>
      </c>
      <c r="O3670">
        <v>0.39</v>
      </c>
    </row>
    <row r="3671" spans="1:15">
      <c r="A3671" t="str">
        <f>"601069"</f>
        <v>601069</v>
      </c>
      <c r="B3671" t="s">
        <v>3712</v>
      </c>
      <c r="C3671">
        <v>-3.03</v>
      </c>
      <c r="D3671">
        <v>26.28</v>
      </c>
      <c r="E3671" t="s">
        <v>16</v>
      </c>
      <c r="F3671" t="s">
        <v>16</v>
      </c>
      <c r="H3671">
        <v>0</v>
      </c>
      <c r="I3671">
        <v>-0.15</v>
      </c>
      <c r="J3671">
        <v>-3.13</v>
      </c>
      <c r="L3671">
        <v>-1.25</v>
      </c>
      <c r="M3671">
        <v>391.77</v>
      </c>
      <c r="N3671">
        <v>0.05</v>
      </c>
      <c r="O3671">
        <v>4.42</v>
      </c>
    </row>
    <row r="3672" spans="1:15">
      <c r="A3672" t="str">
        <f>"601077"</f>
        <v>601077</v>
      </c>
      <c r="B3672" t="s">
        <v>3713</v>
      </c>
      <c r="C3672">
        <v>-4.43</v>
      </c>
      <c r="D3672">
        <v>6.26</v>
      </c>
      <c r="E3672" t="s">
        <v>16</v>
      </c>
      <c r="F3672" t="s">
        <v>16</v>
      </c>
      <c r="H3672">
        <v>-0.31</v>
      </c>
      <c r="I3672">
        <v>-2.95</v>
      </c>
      <c r="J3672">
        <v>-4.13</v>
      </c>
      <c r="L3672">
        <v>-0.31</v>
      </c>
      <c r="M3672">
        <v>52.7</v>
      </c>
      <c r="N3672">
        <v>0</v>
      </c>
      <c r="O3672">
        <v>1.02</v>
      </c>
    </row>
    <row r="3673" spans="1:15">
      <c r="A3673" t="str">
        <f>"601083"</f>
        <v>601083</v>
      </c>
      <c r="B3673" t="s">
        <v>3714</v>
      </c>
      <c r="C3673">
        <v>-1.14</v>
      </c>
      <c r="D3673">
        <v>11.26</v>
      </c>
      <c r="E3673" t="s">
        <v>16</v>
      </c>
      <c r="F3673" t="s">
        <v>16</v>
      </c>
      <c r="H3673">
        <v>-0.08</v>
      </c>
      <c r="I3673">
        <v>1.62</v>
      </c>
      <c r="J3673">
        <v>-1.75</v>
      </c>
      <c r="L3673">
        <v>-0.26</v>
      </c>
      <c r="M3673">
        <v>71.91</v>
      </c>
      <c r="N3673">
        <v>0.03</v>
      </c>
      <c r="O3673">
        <v>0.8</v>
      </c>
    </row>
    <row r="3674" spans="1:15">
      <c r="A3674" t="str">
        <f>"601086"</f>
        <v>601086</v>
      </c>
      <c r="B3674" t="s">
        <v>3715</v>
      </c>
      <c r="C3674">
        <v>-2.27</v>
      </c>
      <c r="D3674">
        <v>6.89</v>
      </c>
      <c r="E3674" t="s">
        <v>16</v>
      </c>
      <c r="F3674" t="s">
        <v>16</v>
      </c>
      <c r="H3674">
        <v>-0.13</v>
      </c>
      <c r="I3674">
        <v>-4.04</v>
      </c>
      <c r="J3674">
        <v>-2.13</v>
      </c>
      <c r="L3674">
        <v>-0.71</v>
      </c>
      <c r="M3674">
        <v>30.17</v>
      </c>
      <c r="N3674">
        <v>0.02</v>
      </c>
      <c r="O3674">
        <v>1.49</v>
      </c>
    </row>
    <row r="3675" spans="1:15">
      <c r="A3675" t="str">
        <f>"601088"</f>
        <v>601088</v>
      </c>
      <c r="B3675" t="s">
        <v>3716</v>
      </c>
      <c r="C3675">
        <v>-1.43</v>
      </c>
      <c r="D3675">
        <v>41.26</v>
      </c>
      <c r="E3675" t="s">
        <v>16</v>
      </c>
      <c r="F3675" t="s">
        <v>16</v>
      </c>
      <c r="H3675">
        <v>-0.21</v>
      </c>
      <c r="I3675">
        <v>-15.83</v>
      </c>
      <c r="J3675">
        <v>-3.03</v>
      </c>
      <c r="L3675">
        <v>0.05</v>
      </c>
      <c r="M3675">
        <v>1525.27</v>
      </c>
      <c r="N3675">
        <v>0.01</v>
      </c>
      <c r="O3675">
        <v>1.95</v>
      </c>
    </row>
    <row r="3676" spans="1:15">
      <c r="A3676" t="str">
        <f>"601089"</f>
        <v>601089</v>
      </c>
      <c r="B3676" t="s">
        <v>3717</v>
      </c>
      <c r="C3676">
        <v>0.24</v>
      </c>
      <c r="D3676">
        <v>16.77</v>
      </c>
      <c r="E3676" t="s">
        <v>16</v>
      </c>
      <c r="F3676" t="s">
        <v>16</v>
      </c>
      <c r="H3676">
        <v>0.06</v>
      </c>
      <c r="I3676">
        <v>-1.29</v>
      </c>
      <c r="J3676">
        <v>-1.64</v>
      </c>
      <c r="L3676">
        <v>1.49</v>
      </c>
      <c r="M3676">
        <v>17.15</v>
      </c>
      <c r="N3676">
        <v>0.01</v>
      </c>
      <c r="O3676">
        <v>0.96</v>
      </c>
    </row>
    <row r="3677" spans="1:15">
      <c r="A3677" t="str">
        <f>"601096"</f>
        <v>601096</v>
      </c>
      <c r="B3677" t="s">
        <v>3718</v>
      </c>
      <c r="C3677">
        <v>-1.28</v>
      </c>
      <c r="D3677">
        <v>4.61</v>
      </c>
      <c r="E3677" t="s">
        <v>16</v>
      </c>
      <c r="F3677" t="s">
        <v>16</v>
      </c>
      <c r="H3677">
        <v>0</v>
      </c>
      <c r="I3677">
        <v>-4.55</v>
      </c>
      <c r="J3677">
        <v>-1.5</v>
      </c>
      <c r="L3677">
        <v>-0.21</v>
      </c>
      <c r="M3677">
        <v>18.36</v>
      </c>
      <c r="N3677">
        <v>0.01</v>
      </c>
      <c r="O3677">
        <v>0.87</v>
      </c>
    </row>
    <row r="3678" spans="1:15">
      <c r="A3678" t="str">
        <f>"601098"</f>
        <v>601098</v>
      </c>
      <c r="B3678" t="s">
        <v>3719</v>
      </c>
      <c r="C3678">
        <v>-2.17</v>
      </c>
      <c r="D3678">
        <v>10.39</v>
      </c>
      <c r="E3678" t="s">
        <v>16</v>
      </c>
      <c r="F3678" t="s">
        <v>16</v>
      </c>
      <c r="H3678">
        <v>-0.18</v>
      </c>
      <c r="I3678">
        <v>-6.65</v>
      </c>
      <c r="J3678">
        <v>-1.98</v>
      </c>
      <c r="L3678">
        <v>-0.19</v>
      </c>
      <c r="M3678">
        <v>11.02</v>
      </c>
      <c r="N3678">
        <v>0</v>
      </c>
      <c r="O3678">
        <v>0.87</v>
      </c>
    </row>
    <row r="3679" spans="1:15">
      <c r="A3679" t="str">
        <f>"601099"</f>
        <v>601099</v>
      </c>
      <c r="B3679" t="s">
        <v>3720</v>
      </c>
      <c r="C3679">
        <v>-3.59</v>
      </c>
      <c r="D3679">
        <v>3.22</v>
      </c>
      <c r="E3679" t="s">
        <v>16</v>
      </c>
      <c r="F3679" t="s">
        <v>16</v>
      </c>
      <c r="H3679">
        <v>-0.3</v>
      </c>
      <c r="I3679">
        <v>-0.92</v>
      </c>
      <c r="J3679">
        <v>-3.59</v>
      </c>
      <c r="L3679">
        <v>-0.3</v>
      </c>
      <c r="M3679">
        <v>59.34</v>
      </c>
      <c r="N3679">
        <v>0</v>
      </c>
      <c r="O3679">
        <v>0.39</v>
      </c>
    </row>
    <row r="3680" spans="1:15">
      <c r="A3680" t="str">
        <f>"601100"</f>
        <v>601100</v>
      </c>
      <c r="B3680" t="s">
        <v>3721</v>
      </c>
      <c r="C3680">
        <v>-0.08</v>
      </c>
      <c r="D3680">
        <v>117.9</v>
      </c>
      <c r="E3680" t="s">
        <v>16</v>
      </c>
      <c r="F3680" t="s">
        <v>16</v>
      </c>
      <c r="H3680">
        <v>-0.35</v>
      </c>
      <c r="I3680">
        <v>3.24</v>
      </c>
      <c r="J3680">
        <v>-2.22</v>
      </c>
      <c r="L3680">
        <v>-0.51</v>
      </c>
      <c r="M3680">
        <v>100.96</v>
      </c>
      <c r="N3680">
        <v>0</v>
      </c>
      <c r="O3680">
        <v>0.55</v>
      </c>
    </row>
    <row r="3681" spans="1:15">
      <c r="A3681" t="str">
        <f>"601101"</f>
        <v>601101</v>
      </c>
      <c r="B3681" t="s">
        <v>3722</v>
      </c>
      <c r="C3681">
        <v>-6.33</v>
      </c>
      <c r="D3681">
        <v>10.65</v>
      </c>
      <c r="E3681" t="s">
        <v>16</v>
      </c>
      <c r="F3681" t="s">
        <v>16</v>
      </c>
      <c r="H3681">
        <v>0</v>
      </c>
      <c r="I3681">
        <v>-21.05</v>
      </c>
      <c r="J3681">
        <v>-7.23</v>
      </c>
      <c r="L3681">
        <v>-0.62</v>
      </c>
      <c r="M3681">
        <v>335.84</v>
      </c>
      <c r="N3681">
        <v>0.06</v>
      </c>
      <c r="O3681">
        <v>3.24</v>
      </c>
    </row>
    <row r="3682" spans="1:15">
      <c r="A3682" t="str">
        <f>"601106"</f>
        <v>601106</v>
      </c>
      <c r="B3682" t="s">
        <v>3723</v>
      </c>
      <c r="C3682">
        <v>-0.85</v>
      </c>
      <c r="D3682">
        <v>3.49</v>
      </c>
      <c r="E3682" t="s">
        <v>16</v>
      </c>
      <c r="F3682" t="s">
        <v>16</v>
      </c>
      <c r="H3682">
        <v>0</v>
      </c>
      <c r="I3682">
        <v>-5.16</v>
      </c>
      <c r="J3682">
        <v>-1.69</v>
      </c>
      <c r="L3682">
        <v>-0.28</v>
      </c>
      <c r="M3682">
        <v>38.68</v>
      </c>
      <c r="N3682">
        <v>0</v>
      </c>
      <c r="O3682">
        <v>1.28</v>
      </c>
    </row>
    <row r="3683" spans="1:15">
      <c r="A3683" t="str">
        <f>"601107"</f>
        <v>601107</v>
      </c>
      <c r="B3683" t="s">
        <v>3724</v>
      </c>
      <c r="C3683">
        <v>-2.03</v>
      </c>
      <c r="D3683">
        <v>5.31</v>
      </c>
      <c r="E3683" t="s">
        <v>16</v>
      </c>
      <c r="F3683" t="s">
        <v>16</v>
      </c>
      <c r="H3683">
        <v>-0.55</v>
      </c>
      <c r="I3683">
        <v>-7.65</v>
      </c>
      <c r="J3683">
        <v>-2.03</v>
      </c>
      <c r="L3683">
        <v>-0.37</v>
      </c>
      <c r="M3683">
        <v>58</v>
      </c>
      <c r="N3683">
        <v>0.02</v>
      </c>
      <c r="O3683">
        <v>3.4</v>
      </c>
    </row>
    <row r="3684" spans="1:15">
      <c r="A3684" t="str">
        <f>"601108"</f>
        <v>601108</v>
      </c>
      <c r="B3684" t="s">
        <v>3725</v>
      </c>
      <c r="C3684">
        <v>-4.57</v>
      </c>
      <c r="D3684">
        <v>7.52</v>
      </c>
      <c r="E3684" t="s">
        <v>16</v>
      </c>
      <c r="F3684" t="s">
        <v>16</v>
      </c>
      <c r="H3684">
        <v>-0.26</v>
      </c>
      <c r="I3684">
        <v>-2.08</v>
      </c>
      <c r="J3684">
        <v>-4.57</v>
      </c>
      <c r="L3684">
        <v>-0.13</v>
      </c>
      <c r="M3684">
        <v>80.75</v>
      </c>
      <c r="N3684">
        <v>0</v>
      </c>
      <c r="O3684">
        <v>0.86</v>
      </c>
    </row>
    <row r="3685" spans="1:15">
      <c r="A3685" t="str">
        <f>"601111"</f>
        <v>601111</v>
      </c>
      <c r="B3685" t="s">
        <v>3726</v>
      </c>
      <c r="C3685">
        <v>-3.55</v>
      </c>
      <c r="D3685">
        <v>6.24</v>
      </c>
      <c r="E3685" t="s">
        <v>16</v>
      </c>
      <c r="F3685" t="s">
        <v>16</v>
      </c>
      <c r="H3685">
        <v>-0.15</v>
      </c>
      <c r="I3685">
        <v>-4</v>
      </c>
      <c r="J3685">
        <v>-3.26</v>
      </c>
      <c r="L3685">
        <v>-0.62</v>
      </c>
      <c r="M3685">
        <v>300.86</v>
      </c>
      <c r="N3685">
        <v>0.01</v>
      </c>
      <c r="O3685">
        <v>0.45</v>
      </c>
    </row>
    <row r="3686" spans="1:15">
      <c r="A3686" t="str">
        <f>"601112"</f>
        <v>601112</v>
      </c>
      <c r="B3686" t="s">
        <v>3727</v>
      </c>
      <c r="C3686">
        <v>-7.21</v>
      </c>
      <c r="D3686">
        <v>17.62</v>
      </c>
      <c r="E3686" t="s">
        <v>16</v>
      </c>
      <c r="F3686" t="s">
        <v>16</v>
      </c>
      <c r="H3686">
        <v>-0.16</v>
      </c>
      <c r="I3686">
        <v>4.88</v>
      </c>
      <c r="J3686">
        <v>-5.06</v>
      </c>
      <c r="L3686">
        <v>-2.26</v>
      </c>
      <c r="M3686">
        <v>313.11</v>
      </c>
      <c r="N3686">
        <v>0.1</v>
      </c>
      <c r="O3686">
        <v>2.8</v>
      </c>
    </row>
    <row r="3687" spans="1:15">
      <c r="A3687" t="str">
        <f>"601113"</f>
        <v>601113</v>
      </c>
      <c r="B3687" t="s">
        <v>3728</v>
      </c>
      <c r="C3687">
        <v>-2.13</v>
      </c>
      <c r="D3687">
        <v>3.67</v>
      </c>
      <c r="E3687" t="s">
        <v>16</v>
      </c>
      <c r="F3687" t="s">
        <v>16</v>
      </c>
      <c r="H3687">
        <v>-0.26</v>
      </c>
      <c r="I3687">
        <v>-7.09</v>
      </c>
      <c r="J3687">
        <v>-2.13</v>
      </c>
      <c r="L3687">
        <v>-0.27</v>
      </c>
      <c r="M3687">
        <v>0</v>
      </c>
      <c r="N3687">
        <v>0</v>
      </c>
      <c r="O3687">
        <v>0</v>
      </c>
    </row>
    <row r="3688" spans="1:15">
      <c r="A3688" t="str">
        <f>"601116"</f>
        <v>601116</v>
      </c>
      <c r="B3688" t="s">
        <v>3729</v>
      </c>
      <c r="C3688">
        <v>-2.34</v>
      </c>
      <c r="D3688">
        <v>10.85</v>
      </c>
      <c r="E3688" t="s">
        <v>16</v>
      </c>
      <c r="F3688" t="s">
        <v>16</v>
      </c>
      <c r="H3688">
        <v>-0.17</v>
      </c>
      <c r="I3688">
        <v>-9.36</v>
      </c>
      <c r="J3688">
        <v>-2.43</v>
      </c>
      <c r="L3688">
        <v>-0.09</v>
      </c>
      <c r="M3688">
        <v>17.54</v>
      </c>
      <c r="N3688">
        <v>0.01</v>
      </c>
      <c r="O3688">
        <v>1.31</v>
      </c>
    </row>
    <row r="3689" spans="1:15">
      <c r="A3689" t="str">
        <f>"601117"</f>
        <v>601117</v>
      </c>
      <c r="B3689" t="s">
        <v>3730</v>
      </c>
      <c r="C3689">
        <v>-1.7</v>
      </c>
      <c r="D3689">
        <v>8.08</v>
      </c>
      <c r="E3689" t="s">
        <v>16</v>
      </c>
      <c r="F3689" t="s">
        <v>16</v>
      </c>
      <c r="H3689">
        <v>-0.11</v>
      </c>
      <c r="I3689">
        <v>7.3</v>
      </c>
      <c r="J3689">
        <v>-2.53</v>
      </c>
      <c r="K3689" t="s">
        <v>54</v>
      </c>
      <c r="L3689">
        <v>0.36</v>
      </c>
      <c r="M3689">
        <v>8363.52</v>
      </c>
      <c r="N3689">
        <v>0.29</v>
      </c>
      <c r="O3689">
        <v>42.36</v>
      </c>
    </row>
    <row r="3690" spans="1:15">
      <c r="A3690" t="str">
        <f>"601118"</f>
        <v>601118</v>
      </c>
      <c r="B3690" t="s">
        <v>3731</v>
      </c>
      <c r="C3690">
        <v>-2.71</v>
      </c>
      <c r="D3690">
        <v>5.74</v>
      </c>
      <c r="E3690" t="s">
        <v>16</v>
      </c>
      <c r="F3690" t="s">
        <v>16</v>
      </c>
      <c r="H3690">
        <v>-0.16</v>
      </c>
      <c r="I3690">
        <v>-14.96</v>
      </c>
      <c r="J3690">
        <v>-2.05</v>
      </c>
      <c r="L3690">
        <v>-1.36</v>
      </c>
      <c r="M3690">
        <v>480.91</v>
      </c>
      <c r="N3690">
        <v>0.05</v>
      </c>
      <c r="O3690">
        <v>1.7</v>
      </c>
    </row>
    <row r="3691" spans="1:15">
      <c r="A3691" t="str">
        <f>"601121"</f>
        <v>601121</v>
      </c>
      <c r="B3691" t="s">
        <v>3732</v>
      </c>
      <c r="C3691">
        <v>-0.79</v>
      </c>
      <c r="D3691">
        <v>6.28</v>
      </c>
      <c r="E3691" t="s">
        <v>16</v>
      </c>
      <c r="F3691" t="s">
        <v>16</v>
      </c>
      <c r="H3691">
        <v>0.32</v>
      </c>
      <c r="I3691">
        <v>0.48</v>
      </c>
      <c r="J3691">
        <v>-3.98</v>
      </c>
      <c r="L3691">
        <v>-1.11</v>
      </c>
      <c r="M3691">
        <v>16.65</v>
      </c>
      <c r="N3691">
        <v>0.01</v>
      </c>
      <c r="O3691">
        <v>0.53</v>
      </c>
    </row>
    <row r="3692" spans="1:15">
      <c r="A3692" t="str">
        <f>"601126"</f>
        <v>601126</v>
      </c>
      <c r="B3692" t="s">
        <v>3733</v>
      </c>
      <c r="C3692">
        <v>5.31</v>
      </c>
      <c r="D3692">
        <v>74.63</v>
      </c>
      <c r="E3692" t="s">
        <v>16</v>
      </c>
      <c r="F3692" t="s">
        <v>16</v>
      </c>
      <c r="H3692">
        <v>0.53</v>
      </c>
      <c r="I3692">
        <v>0.07</v>
      </c>
      <c r="J3692">
        <v>-4.1</v>
      </c>
      <c r="L3692">
        <v>-0.52</v>
      </c>
      <c r="M3692">
        <v>831.2</v>
      </c>
      <c r="N3692">
        <v>0.02</v>
      </c>
      <c r="O3692">
        <v>0.41</v>
      </c>
    </row>
    <row r="3693" spans="1:15">
      <c r="A3693" t="str">
        <f>"601127"</f>
        <v>601127</v>
      </c>
      <c r="B3693" t="s">
        <v>3734</v>
      </c>
      <c r="C3693">
        <v>-2.01</v>
      </c>
      <c r="D3693">
        <v>64.81</v>
      </c>
      <c r="E3693" t="s">
        <v>16</v>
      </c>
      <c r="F3693" t="s">
        <v>16</v>
      </c>
      <c r="H3693">
        <v>-0.4</v>
      </c>
      <c r="I3693">
        <v>-15.14</v>
      </c>
      <c r="J3693">
        <v>-2.29</v>
      </c>
      <c r="L3693">
        <v>-0.67</v>
      </c>
      <c r="M3693">
        <v>1833.25</v>
      </c>
      <c r="N3693">
        <v>0.04</v>
      </c>
      <c r="O3693">
        <v>2.31</v>
      </c>
    </row>
    <row r="3694" spans="1:15">
      <c r="A3694" t="str">
        <f>"601128"</f>
        <v>601128</v>
      </c>
      <c r="B3694" t="s">
        <v>3735</v>
      </c>
      <c r="C3694">
        <v>-2.65</v>
      </c>
      <c r="D3694">
        <v>6.24</v>
      </c>
      <c r="E3694" t="s">
        <v>16</v>
      </c>
      <c r="F3694" t="s">
        <v>16</v>
      </c>
      <c r="H3694">
        <v>0.16</v>
      </c>
      <c r="I3694">
        <v>0</v>
      </c>
      <c r="J3694">
        <v>-2.65</v>
      </c>
      <c r="L3694">
        <v>0</v>
      </c>
      <c r="M3694">
        <v>67.24</v>
      </c>
      <c r="N3694">
        <v>0</v>
      </c>
      <c r="O3694">
        <v>1.19</v>
      </c>
    </row>
    <row r="3695" spans="1:15">
      <c r="A3695" t="str">
        <f>"601133"</f>
        <v>601133</v>
      </c>
      <c r="B3695" t="s">
        <v>3736</v>
      </c>
      <c r="C3695">
        <v>-5.25</v>
      </c>
      <c r="D3695">
        <v>31.38</v>
      </c>
      <c r="E3695" t="s">
        <v>16</v>
      </c>
      <c r="F3695" t="s">
        <v>16</v>
      </c>
      <c r="H3695">
        <v>0.74</v>
      </c>
      <c r="I3695">
        <v>10.88</v>
      </c>
      <c r="J3695">
        <v>-5.25</v>
      </c>
      <c r="K3695" t="s">
        <v>57</v>
      </c>
      <c r="L3695">
        <v>-1.57</v>
      </c>
      <c r="M3695">
        <v>268.62</v>
      </c>
      <c r="N3695">
        <v>0.06</v>
      </c>
      <c r="O3695">
        <v>0.46</v>
      </c>
    </row>
    <row r="3696" spans="1:15">
      <c r="A3696" t="str">
        <f>"601136"</f>
        <v>601136</v>
      </c>
      <c r="B3696" t="s">
        <v>3737</v>
      </c>
      <c r="C3696">
        <v>-2.98</v>
      </c>
      <c r="D3696">
        <v>13.98</v>
      </c>
      <c r="E3696" t="s">
        <v>16</v>
      </c>
      <c r="F3696" t="s">
        <v>16</v>
      </c>
      <c r="H3696">
        <v>-0.13</v>
      </c>
      <c r="I3696">
        <v>0</v>
      </c>
      <c r="J3696">
        <v>-2.92</v>
      </c>
      <c r="L3696">
        <v>-0.83</v>
      </c>
      <c r="M3696">
        <v>54.87</v>
      </c>
      <c r="N3696">
        <v>0.01</v>
      </c>
      <c r="O3696">
        <v>2.37</v>
      </c>
    </row>
    <row r="3697" spans="1:15">
      <c r="A3697" t="str">
        <f>"601137"</f>
        <v>601137</v>
      </c>
      <c r="B3697" t="s">
        <v>3738</v>
      </c>
      <c r="C3697">
        <v>-1.04</v>
      </c>
      <c r="D3697">
        <v>25.74</v>
      </c>
      <c r="E3697" t="s">
        <v>16</v>
      </c>
      <c r="F3697" t="s">
        <v>16</v>
      </c>
      <c r="H3697">
        <v>-0.11</v>
      </c>
      <c r="I3697">
        <v>10.47</v>
      </c>
      <c r="J3697">
        <v>-1.61</v>
      </c>
      <c r="L3697">
        <v>-1.19</v>
      </c>
      <c r="M3697">
        <v>400.92</v>
      </c>
      <c r="N3697">
        <v>0.03</v>
      </c>
      <c r="O3697">
        <v>0.76</v>
      </c>
    </row>
    <row r="3698" spans="1:15">
      <c r="A3698" t="str">
        <f>"601138"</f>
        <v>601138</v>
      </c>
      <c r="B3698" t="s">
        <v>3739</v>
      </c>
      <c r="C3698">
        <v>7.49</v>
      </c>
      <c r="D3698">
        <v>78.08</v>
      </c>
      <c r="E3698" t="s">
        <v>16</v>
      </c>
      <c r="F3698" t="s">
        <v>16</v>
      </c>
      <c r="H3698">
        <v>0.04</v>
      </c>
      <c r="I3698">
        <v>-0.6</v>
      </c>
      <c r="J3698">
        <v>-2.28</v>
      </c>
      <c r="L3698">
        <v>-0.88</v>
      </c>
      <c r="M3698">
        <v>7662.24</v>
      </c>
      <c r="N3698">
        <v>0.03</v>
      </c>
      <c r="O3698">
        <v>1.08</v>
      </c>
    </row>
    <row r="3699" spans="1:15">
      <c r="A3699" t="str">
        <f>"601139"</f>
        <v>601139</v>
      </c>
      <c r="B3699" t="s">
        <v>3740</v>
      </c>
      <c r="C3699">
        <v>-1.32</v>
      </c>
      <c r="D3699">
        <v>5.96</v>
      </c>
      <c r="E3699" t="s">
        <v>16</v>
      </c>
      <c r="F3699" t="s">
        <v>16</v>
      </c>
      <c r="H3699">
        <v>-0.16</v>
      </c>
      <c r="I3699">
        <v>-5.99</v>
      </c>
      <c r="J3699">
        <v>-2.13</v>
      </c>
      <c r="L3699">
        <v>0.66</v>
      </c>
      <c r="M3699">
        <v>111.87</v>
      </c>
      <c r="N3699">
        <v>0.03</v>
      </c>
      <c r="O3699">
        <v>5.97</v>
      </c>
    </row>
    <row r="3700" spans="1:15">
      <c r="A3700" t="str">
        <f>"601155"</f>
        <v>601155</v>
      </c>
      <c r="B3700" t="s">
        <v>3741</v>
      </c>
      <c r="C3700">
        <v>-2.07</v>
      </c>
      <c r="D3700">
        <v>10.87</v>
      </c>
      <c r="E3700" t="s">
        <v>16</v>
      </c>
      <c r="F3700" t="s">
        <v>16</v>
      </c>
      <c r="H3700">
        <v>-0.17</v>
      </c>
      <c r="I3700">
        <v>-8.11</v>
      </c>
      <c r="J3700">
        <v>-2.77</v>
      </c>
      <c r="L3700">
        <v>0.45</v>
      </c>
      <c r="M3700">
        <v>25.76</v>
      </c>
      <c r="N3700">
        <v>0</v>
      </c>
      <c r="O3700">
        <v>0.99</v>
      </c>
    </row>
    <row r="3701" spans="1:15">
      <c r="A3701" t="str">
        <f>"601156"</f>
        <v>601156</v>
      </c>
      <c r="B3701" t="s">
        <v>3742</v>
      </c>
      <c r="C3701">
        <v>-1.19</v>
      </c>
      <c r="D3701">
        <v>16.58</v>
      </c>
      <c r="E3701" t="s">
        <v>16</v>
      </c>
      <c r="F3701" t="s">
        <v>16</v>
      </c>
      <c r="H3701">
        <v>-0.59</v>
      </c>
      <c r="I3701">
        <v>-0.18</v>
      </c>
      <c r="J3701">
        <v>-2.36</v>
      </c>
      <c r="L3701">
        <v>-0.95</v>
      </c>
      <c r="M3701">
        <v>102.38</v>
      </c>
      <c r="N3701">
        <v>0.01</v>
      </c>
      <c r="O3701">
        <v>1.18</v>
      </c>
    </row>
    <row r="3702" spans="1:15">
      <c r="A3702" t="str">
        <f>"601158"</f>
        <v>601158</v>
      </c>
      <c r="B3702" t="s">
        <v>3743</v>
      </c>
      <c r="C3702">
        <v>-1.96</v>
      </c>
      <c r="D3702">
        <v>4</v>
      </c>
      <c r="E3702" t="s">
        <v>16</v>
      </c>
      <c r="F3702" t="s">
        <v>16</v>
      </c>
      <c r="H3702">
        <v>-0.24</v>
      </c>
      <c r="I3702">
        <v>-3.38</v>
      </c>
      <c r="J3702">
        <v>-1.96</v>
      </c>
      <c r="L3702">
        <v>0</v>
      </c>
      <c r="M3702">
        <v>6.49</v>
      </c>
      <c r="N3702">
        <v>0</v>
      </c>
      <c r="O3702">
        <v>1.29</v>
      </c>
    </row>
    <row r="3703" spans="1:15">
      <c r="A3703" t="str">
        <f>"601162"</f>
        <v>601162</v>
      </c>
      <c r="B3703" t="s">
        <v>3744</v>
      </c>
      <c r="C3703">
        <v>-4.23</v>
      </c>
      <c r="D3703">
        <v>3.17</v>
      </c>
      <c r="E3703" t="s">
        <v>16</v>
      </c>
      <c r="F3703" t="s">
        <v>16</v>
      </c>
      <c r="H3703">
        <v>-0.3</v>
      </c>
      <c r="I3703">
        <v>-1.55</v>
      </c>
      <c r="J3703">
        <v>-4.23</v>
      </c>
      <c r="L3703">
        <v>-0.3</v>
      </c>
      <c r="M3703">
        <v>122.73</v>
      </c>
      <c r="N3703">
        <v>0.01</v>
      </c>
      <c r="O3703">
        <v>0.56</v>
      </c>
    </row>
    <row r="3704" spans="1:15">
      <c r="A3704" t="str">
        <f>"601163"</f>
        <v>601163</v>
      </c>
      <c r="B3704" t="s">
        <v>3745</v>
      </c>
      <c r="C3704">
        <v>0.23</v>
      </c>
      <c r="D3704">
        <v>13.22</v>
      </c>
      <c r="E3704" t="s">
        <v>16</v>
      </c>
      <c r="F3704" t="s">
        <v>16</v>
      </c>
      <c r="H3704">
        <v>0.08</v>
      </c>
      <c r="I3704">
        <v>-5.23</v>
      </c>
      <c r="J3704">
        <v>-1.56</v>
      </c>
      <c r="L3704">
        <v>-0.38</v>
      </c>
      <c r="M3704">
        <v>5.91</v>
      </c>
      <c r="N3704">
        <v>0</v>
      </c>
      <c r="O3704">
        <v>0.67</v>
      </c>
    </row>
    <row r="3705" spans="1:15">
      <c r="A3705" t="str">
        <f>"601166"</f>
        <v>601166</v>
      </c>
      <c r="B3705" t="s">
        <v>3746</v>
      </c>
      <c r="C3705">
        <v>-2.91</v>
      </c>
      <c r="D3705">
        <v>17.32</v>
      </c>
      <c r="E3705" t="s">
        <v>16</v>
      </c>
      <c r="F3705" t="s">
        <v>16</v>
      </c>
      <c r="H3705">
        <v>-0.16</v>
      </c>
      <c r="I3705">
        <v>-2.64</v>
      </c>
      <c r="J3705">
        <v>-3.13</v>
      </c>
      <c r="L3705">
        <v>-0.06</v>
      </c>
      <c r="M3705">
        <v>873.49</v>
      </c>
      <c r="N3705">
        <v>0</v>
      </c>
      <c r="O3705">
        <v>0.61</v>
      </c>
    </row>
    <row r="3706" spans="1:15">
      <c r="A3706" t="str">
        <f>"601168"</f>
        <v>601168</v>
      </c>
      <c r="B3706" t="s">
        <v>3747</v>
      </c>
      <c r="C3706">
        <v>0.86</v>
      </c>
      <c r="D3706">
        <v>31.75</v>
      </c>
      <c r="E3706" t="s">
        <v>16</v>
      </c>
      <c r="F3706" t="s">
        <v>16</v>
      </c>
      <c r="H3706">
        <v>-0.08</v>
      </c>
      <c r="I3706">
        <v>1.8</v>
      </c>
      <c r="J3706">
        <v>-5.42</v>
      </c>
      <c r="L3706">
        <v>-1.52</v>
      </c>
      <c r="M3706">
        <v>1292.39</v>
      </c>
      <c r="N3706">
        <v>0.03</v>
      </c>
      <c r="O3706">
        <v>0.87</v>
      </c>
    </row>
    <row r="3707" spans="1:15">
      <c r="A3707" t="str">
        <f>"601169"</f>
        <v>601169</v>
      </c>
      <c r="B3707" t="s">
        <v>3748</v>
      </c>
      <c r="C3707">
        <v>-2.53</v>
      </c>
      <c r="D3707">
        <v>5.01</v>
      </c>
      <c r="E3707" t="s">
        <v>16</v>
      </c>
      <c r="F3707" t="s">
        <v>16</v>
      </c>
      <c r="H3707">
        <v>0</v>
      </c>
      <c r="I3707">
        <v>-1.18</v>
      </c>
      <c r="J3707">
        <v>-2.53</v>
      </c>
      <c r="L3707">
        <v>0</v>
      </c>
      <c r="M3707">
        <v>164.38</v>
      </c>
      <c r="N3707">
        <v>0</v>
      </c>
      <c r="O3707">
        <v>0.98</v>
      </c>
    </row>
    <row r="3708" spans="1:15">
      <c r="A3708" t="str">
        <f>"601177"</f>
        <v>601177</v>
      </c>
      <c r="B3708" t="s">
        <v>3749</v>
      </c>
      <c r="C3708">
        <v>-0.44</v>
      </c>
      <c r="D3708">
        <v>13.64</v>
      </c>
      <c r="E3708" t="s">
        <v>16</v>
      </c>
      <c r="F3708" t="s">
        <v>16</v>
      </c>
      <c r="H3708">
        <v>-0.14</v>
      </c>
      <c r="I3708">
        <v>-5.93</v>
      </c>
      <c r="J3708">
        <v>-1.8</v>
      </c>
      <c r="L3708">
        <v>-0.36</v>
      </c>
      <c r="M3708">
        <v>2.87</v>
      </c>
      <c r="N3708">
        <v>0</v>
      </c>
      <c r="O3708">
        <v>0.09</v>
      </c>
    </row>
    <row r="3709" spans="1:15">
      <c r="A3709" t="str">
        <f>"601179"</f>
        <v>601179</v>
      </c>
      <c r="B3709" t="s">
        <v>3750</v>
      </c>
      <c r="C3709">
        <v>-3.36</v>
      </c>
      <c r="D3709">
        <v>15.26</v>
      </c>
      <c r="E3709" t="s">
        <v>16</v>
      </c>
      <c r="F3709" t="s">
        <v>16</v>
      </c>
      <c r="H3709">
        <v>-0.19</v>
      </c>
      <c r="I3709">
        <v>-2.24</v>
      </c>
      <c r="J3709">
        <v>-2.74</v>
      </c>
      <c r="K3709" t="s">
        <v>220</v>
      </c>
      <c r="L3709">
        <v>-0.7</v>
      </c>
      <c r="M3709">
        <v>3984.76</v>
      </c>
      <c r="N3709">
        <v>0.11</v>
      </c>
      <c r="O3709">
        <v>0.41</v>
      </c>
    </row>
    <row r="3710" spans="1:15">
      <c r="A3710" t="str">
        <f>"601186"</f>
        <v>601186</v>
      </c>
      <c r="B3710" t="s">
        <v>3751</v>
      </c>
      <c r="C3710">
        <v>-2.78</v>
      </c>
      <c r="D3710">
        <v>6.3</v>
      </c>
      <c r="E3710" t="s">
        <v>16</v>
      </c>
      <c r="F3710" t="s">
        <v>16</v>
      </c>
      <c r="H3710">
        <v>0</v>
      </c>
      <c r="I3710">
        <v>-0.16</v>
      </c>
      <c r="J3710">
        <v>-2.17</v>
      </c>
      <c r="L3710">
        <v>-0.62</v>
      </c>
      <c r="M3710">
        <v>511.53</v>
      </c>
      <c r="N3710">
        <v>0.02</v>
      </c>
      <c r="O3710">
        <v>9.67</v>
      </c>
    </row>
    <row r="3711" spans="1:15">
      <c r="A3711" t="str">
        <f>"601187"</f>
        <v>601187</v>
      </c>
      <c r="B3711" t="s">
        <v>3752</v>
      </c>
      <c r="C3711">
        <v>-7.91</v>
      </c>
      <c r="D3711">
        <v>7.22</v>
      </c>
      <c r="E3711" t="s">
        <v>16</v>
      </c>
      <c r="F3711" t="s">
        <v>16</v>
      </c>
      <c r="H3711">
        <v>0</v>
      </c>
      <c r="I3711">
        <v>0.84</v>
      </c>
      <c r="J3711">
        <v>-8.61</v>
      </c>
      <c r="L3711">
        <v>-0.89</v>
      </c>
      <c r="M3711">
        <v>58.45</v>
      </c>
      <c r="N3711">
        <v>0.01</v>
      </c>
      <c r="O3711">
        <v>0.74</v>
      </c>
    </row>
    <row r="3712" spans="1:15">
      <c r="A3712" t="str">
        <f>"601188"</f>
        <v>601188</v>
      </c>
      <c r="B3712" t="s">
        <v>3753</v>
      </c>
      <c r="C3712">
        <v>-1.36</v>
      </c>
      <c r="D3712">
        <v>2.91</v>
      </c>
      <c r="E3712" t="s">
        <v>16</v>
      </c>
      <c r="F3712" t="s">
        <v>16</v>
      </c>
      <c r="H3712">
        <v>-0.33</v>
      </c>
      <c r="I3712">
        <v>-5.83</v>
      </c>
      <c r="J3712">
        <v>-1.02</v>
      </c>
      <c r="L3712">
        <v>-0.68</v>
      </c>
      <c r="M3712">
        <v>18.96</v>
      </c>
      <c r="N3712">
        <v>0.01</v>
      </c>
      <c r="O3712">
        <v>0.98</v>
      </c>
    </row>
    <row r="3713" spans="1:15">
      <c r="A3713" t="str">
        <f>"601198"</f>
        <v>601198</v>
      </c>
      <c r="B3713" t="s">
        <v>3754</v>
      </c>
      <c r="C3713">
        <v>-2.07</v>
      </c>
      <c r="D3713">
        <v>12.8</v>
      </c>
      <c r="E3713" t="s">
        <v>16</v>
      </c>
      <c r="F3713" t="s">
        <v>16</v>
      </c>
      <c r="H3713">
        <v>-0.3</v>
      </c>
      <c r="I3713">
        <v>0</v>
      </c>
      <c r="J3713">
        <v>-2.44</v>
      </c>
      <c r="L3713">
        <v>-0.54</v>
      </c>
      <c r="M3713">
        <v>53.95</v>
      </c>
      <c r="N3713">
        <v>0</v>
      </c>
      <c r="O3713">
        <v>0.92</v>
      </c>
    </row>
    <row r="3714" spans="1:15">
      <c r="A3714" t="str">
        <f>"601199"</f>
        <v>601199</v>
      </c>
      <c r="B3714" t="s">
        <v>3755</v>
      </c>
      <c r="C3714">
        <v>0.86</v>
      </c>
      <c r="D3714">
        <v>5.89</v>
      </c>
      <c r="E3714" t="s">
        <v>16</v>
      </c>
      <c r="F3714" t="s">
        <v>16</v>
      </c>
      <c r="H3714">
        <v>0.17</v>
      </c>
      <c r="I3714">
        <v>6.51</v>
      </c>
      <c r="J3714">
        <v>-1.83</v>
      </c>
      <c r="L3714">
        <v>0</v>
      </c>
      <c r="M3714">
        <v>10.16</v>
      </c>
      <c r="N3714">
        <v>0.01</v>
      </c>
      <c r="O3714">
        <v>1.24</v>
      </c>
    </row>
    <row r="3715" spans="1:15">
      <c r="A3715" t="str">
        <f>"601200"</f>
        <v>601200</v>
      </c>
      <c r="B3715" t="s">
        <v>3756</v>
      </c>
      <c r="C3715">
        <v>-0.7</v>
      </c>
      <c r="D3715">
        <v>7.05</v>
      </c>
      <c r="E3715" t="s">
        <v>16</v>
      </c>
      <c r="F3715" t="s">
        <v>16</v>
      </c>
      <c r="H3715">
        <v>0</v>
      </c>
      <c r="I3715">
        <v>-5.75</v>
      </c>
      <c r="J3715">
        <v>-0.56</v>
      </c>
      <c r="L3715">
        <v>-0.14</v>
      </c>
      <c r="M3715">
        <v>5.67</v>
      </c>
      <c r="N3715">
        <v>0</v>
      </c>
      <c r="O3715">
        <v>0.74</v>
      </c>
    </row>
    <row r="3716" spans="1:15">
      <c r="A3716" t="str">
        <f>"601208"</f>
        <v>601208</v>
      </c>
      <c r="B3716" t="s">
        <v>3757</v>
      </c>
      <c r="C3716">
        <v>2.23</v>
      </c>
      <c r="D3716">
        <v>74.83</v>
      </c>
      <c r="E3716" t="s">
        <v>16</v>
      </c>
      <c r="F3716" t="s">
        <v>16</v>
      </c>
      <c r="H3716">
        <v>-0.3</v>
      </c>
      <c r="I3716">
        <v>25.55</v>
      </c>
      <c r="J3716">
        <v>-3.78</v>
      </c>
      <c r="K3716" t="s">
        <v>26</v>
      </c>
      <c r="L3716">
        <v>-3.01</v>
      </c>
      <c r="M3716">
        <v>13213.81</v>
      </c>
      <c r="N3716">
        <v>0.24</v>
      </c>
      <c r="O3716">
        <v>1.81</v>
      </c>
    </row>
    <row r="3717" spans="1:15">
      <c r="A3717" t="str">
        <f>"601211"</f>
        <v>601211</v>
      </c>
      <c r="B3717" t="s">
        <v>3758</v>
      </c>
      <c r="C3717">
        <v>-2.76</v>
      </c>
      <c r="D3717">
        <v>17.28</v>
      </c>
      <c r="E3717" t="s">
        <v>16</v>
      </c>
      <c r="F3717" t="s">
        <v>16</v>
      </c>
      <c r="H3717">
        <v>0</v>
      </c>
      <c r="I3717">
        <v>6.67</v>
      </c>
      <c r="J3717">
        <v>-2.76</v>
      </c>
      <c r="L3717">
        <v>-0.34</v>
      </c>
      <c r="M3717">
        <v>673.16</v>
      </c>
      <c r="N3717">
        <v>0</v>
      </c>
      <c r="O3717">
        <v>1.07</v>
      </c>
    </row>
    <row r="3718" spans="1:15">
      <c r="A3718" t="str">
        <f>"601212"</f>
        <v>601212</v>
      </c>
      <c r="B3718" t="s">
        <v>3759</v>
      </c>
      <c r="C3718">
        <v>-1.18</v>
      </c>
      <c r="D3718">
        <v>5.84</v>
      </c>
      <c r="E3718" t="s">
        <v>16</v>
      </c>
      <c r="F3718" t="s">
        <v>16</v>
      </c>
      <c r="H3718">
        <v>-0.16</v>
      </c>
      <c r="I3718">
        <v>-5.65</v>
      </c>
      <c r="J3718">
        <v>-3.79</v>
      </c>
      <c r="L3718">
        <v>-0.17</v>
      </c>
      <c r="M3718">
        <v>374.53</v>
      </c>
      <c r="N3718">
        <v>0.02</v>
      </c>
      <c r="O3718">
        <v>1.62</v>
      </c>
    </row>
    <row r="3719" spans="1:15">
      <c r="A3719" t="str">
        <f>"601216"</f>
        <v>601216</v>
      </c>
      <c r="B3719" t="s">
        <v>3760</v>
      </c>
      <c r="C3719">
        <v>-1.97</v>
      </c>
      <c r="D3719">
        <v>4.97</v>
      </c>
      <c r="E3719" t="s">
        <v>16</v>
      </c>
      <c r="F3719" t="s">
        <v>16</v>
      </c>
      <c r="H3719">
        <v>0</v>
      </c>
      <c r="I3719">
        <v>-1.19</v>
      </c>
      <c r="J3719">
        <v>-1.97</v>
      </c>
      <c r="L3719">
        <v>-0.39</v>
      </c>
      <c r="M3719">
        <v>44.24</v>
      </c>
      <c r="N3719">
        <v>0</v>
      </c>
      <c r="O3719">
        <v>0.79</v>
      </c>
    </row>
    <row r="3720" spans="1:15">
      <c r="A3720" t="str">
        <f>"601218"</f>
        <v>601218</v>
      </c>
      <c r="B3720" t="s">
        <v>3761</v>
      </c>
      <c r="C3720">
        <v>-2.74</v>
      </c>
      <c r="D3720">
        <v>4.62</v>
      </c>
      <c r="E3720" t="s">
        <v>16</v>
      </c>
      <c r="F3720" t="s">
        <v>16</v>
      </c>
      <c r="H3720">
        <v>-0.42</v>
      </c>
      <c r="I3720">
        <v>-8.88</v>
      </c>
      <c r="J3720">
        <v>-2.53</v>
      </c>
      <c r="L3720">
        <v>-0.42</v>
      </c>
      <c r="M3720">
        <v>8.42</v>
      </c>
      <c r="N3720">
        <v>0</v>
      </c>
      <c r="O3720">
        <v>0.25</v>
      </c>
    </row>
    <row r="3721" spans="1:15">
      <c r="A3721" t="str">
        <f>"601222"</f>
        <v>601222</v>
      </c>
      <c r="B3721" t="s">
        <v>3762</v>
      </c>
      <c r="C3721">
        <v>0</v>
      </c>
      <c r="D3721">
        <v>5.94</v>
      </c>
      <c r="E3721" t="s">
        <v>16</v>
      </c>
      <c r="F3721" t="s">
        <v>16</v>
      </c>
      <c r="H3721">
        <v>0</v>
      </c>
      <c r="I3721">
        <v>-7.91</v>
      </c>
      <c r="J3721">
        <v>-0.5</v>
      </c>
      <c r="L3721">
        <v>-0.51</v>
      </c>
      <c r="M3721">
        <v>65.25</v>
      </c>
      <c r="N3721">
        <v>0.01</v>
      </c>
      <c r="O3721">
        <v>1.2</v>
      </c>
    </row>
    <row r="3722" spans="1:15">
      <c r="A3722" t="str">
        <f>"601225"</f>
        <v>601225</v>
      </c>
      <c r="B3722" t="s">
        <v>3763</v>
      </c>
      <c r="C3722">
        <v>-2.59</v>
      </c>
      <c r="D3722">
        <v>22.97</v>
      </c>
      <c r="E3722" t="s">
        <v>16</v>
      </c>
      <c r="F3722" t="s">
        <v>16</v>
      </c>
      <c r="H3722">
        <v>-0.21</v>
      </c>
      <c r="I3722">
        <v>-16.2</v>
      </c>
      <c r="J3722">
        <v>-3.2</v>
      </c>
      <c r="L3722">
        <v>-1.19</v>
      </c>
      <c r="M3722">
        <v>538.23</v>
      </c>
      <c r="N3722">
        <v>0.01</v>
      </c>
      <c r="O3722">
        <v>1.8</v>
      </c>
    </row>
    <row r="3723" spans="1:15">
      <c r="A3723" t="str">
        <f>"601226"</f>
        <v>601226</v>
      </c>
      <c r="B3723" t="s">
        <v>3764</v>
      </c>
      <c r="C3723">
        <v>-1.43</v>
      </c>
      <c r="D3723">
        <v>6.88</v>
      </c>
      <c r="E3723" t="s">
        <v>16</v>
      </c>
      <c r="F3723" t="s">
        <v>16</v>
      </c>
      <c r="H3723">
        <v>0.29</v>
      </c>
      <c r="I3723">
        <v>-7.77</v>
      </c>
      <c r="J3723">
        <v>-1.43</v>
      </c>
      <c r="L3723">
        <v>-0.14</v>
      </c>
      <c r="M3723">
        <v>15.47</v>
      </c>
      <c r="N3723">
        <v>0.01</v>
      </c>
      <c r="O3723">
        <v>1.04</v>
      </c>
    </row>
    <row r="3724" spans="1:15">
      <c r="A3724" t="str">
        <f>"601228"</f>
        <v>601228</v>
      </c>
      <c r="B3724" t="s">
        <v>3765</v>
      </c>
      <c r="C3724">
        <v>-1</v>
      </c>
      <c r="D3724">
        <v>2.96</v>
      </c>
      <c r="E3724" t="s">
        <v>16</v>
      </c>
      <c r="F3724" t="s">
        <v>16</v>
      </c>
      <c r="H3724">
        <v>0.34</v>
      </c>
      <c r="I3724">
        <v>-3.27</v>
      </c>
      <c r="J3724">
        <v>-1.33</v>
      </c>
      <c r="L3724">
        <v>0</v>
      </c>
      <c r="M3724">
        <v>18.99</v>
      </c>
      <c r="N3724">
        <v>0</v>
      </c>
      <c r="O3724">
        <v>0.93</v>
      </c>
    </row>
    <row r="3725" spans="1:15">
      <c r="A3725" t="str">
        <f>"601229"</f>
        <v>601229</v>
      </c>
      <c r="B3725" t="s">
        <v>3766</v>
      </c>
      <c r="C3725">
        <v>-1.89</v>
      </c>
      <c r="D3725">
        <v>8.84</v>
      </c>
      <c r="E3725" t="s">
        <v>16</v>
      </c>
      <c r="F3725" t="s">
        <v>16</v>
      </c>
      <c r="H3725">
        <v>-0.66</v>
      </c>
      <c r="I3725">
        <v>-1.89</v>
      </c>
      <c r="J3725">
        <v>-2</v>
      </c>
      <c r="L3725">
        <v>-0.11</v>
      </c>
      <c r="M3725">
        <v>154.06</v>
      </c>
      <c r="N3725">
        <v>0</v>
      </c>
      <c r="O3725">
        <v>1.63</v>
      </c>
    </row>
    <row r="3726" spans="1:15">
      <c r="A3726" t="str">
        <f>"601231"</f>
        <v>601231</v>
      </c>
      <c r="B3726" t="s">
        <v>3767</v>
      </c>
      <c r="C3726">
        <v>1.16</v>
      </c>
      <c r="D3726">
        <v>37.51</v>
      </c>
      <c r="E3726" t="s">
        <v>16</v>
      </c>
      <c r="F3726" t="s">
        <v>16</v>
      </c>
      <c r="H3726">
        <v>-0.12</v>
      </c>
      <c r="I3726">
        <v>-17.25</v>
      </c>
      <c r="J3726">
        <v>-2.22</v>
      </c>
      <c r="L3726">
        <v>0.08</v>
      </c>
      <c r="M3726">
        <v>806.03</v>
      </c>
      <c r="N3726">
        <v>0.03</v>
      </c>
      <c r="O3726">
        <v>0.63</v>
      </c>
    </row>
    <row r="3727" spans="1:15">
      <c r="A3727" t="str">
        <f>"601233"</f>
        <v>601233</v>
      </c>
      <c r="B3727" t="s">
        <v>3768</v>
      </c>
      <c r="C3727">
        <v>-2.96</v>
      </c>
      <c r="D3727">
        <v>20.99</v>
      </c>
      <c r="E3727" t="s">
        <v>16</v>
      </c>
      <c r="F3727" t="s">
        <v>16</v>
      </c>
      <c r="H3727">
        <v>-0.09</v>
      </c>
      <c r="I3727">
        <v>2.44</v>
      </c>
      <c r="J3727">
        <v>-3.94</v>
      </c>
      <c r="L3727">
        <v>-0.23</v>
      </c>
      <c r="M3727">
        <v>482.1</v>
      </c>
      <c r="N3727">
        <v>0.02</v>
      </c>
      <c r="O3727">
        <v>0.47</v>
      </c>
    </row>
    <row r="3728" spans="1:15">
      <c r="A3728" t="str">
        <f>"601236"</f>
        <v>601236</v>
      </c>
      <c r="B3728" t="s">
        <v>3769</v>
      </c>
      <c r="C3728">
        <v>-3.61</v>
      </c>
      <c r="D3728">
        <v>6.68</v>
      </c>
      <c r="E3728" t="s">
        <v>16</v>
      </c>
      <c r="F3728" t="s">
        <v>16</v>
      </c>
      <c r="H3728">
        <v>-0.29</v>
      </c>
      <c r="I3728">
        <v>-3.61</v>
      </c>
      <c r="J3728">
        <v>-3.88</v>
      </c>
      <c r="L3728">
        <v>-0.14</v>
      </c>
      <c r="M3728">
        <v>33.7</v>
      </c>
      <c r="N3728">
        <v>0</v>
      </c>
      <c r="O3728">
        <v>1.06</v>
      </c>
    </row>
    <row r="3729" spans="1:15">
      <c r="A3729" t="str">
        <f>"601238"</f>
        <v>601238</v>
      </c>
      <c r="B3729" t="s">
        <v>3770</v>
      </c>
      <c r="C3729">
        <v>-3.32</v>
      </c>
      <c r="D3729">
        <v>5.53</v>
      </c>
      <c r="E3729" t="s">
        <v>16</v>
      </c>
      <c r="F3729" t="s">
        <v>16</v>
      </c>
      <c r="H3729">
        <v>-0.17</v>
      </c>
      <c r="I3729">
        <v>-8.9</v>
      </c>
      <c r="J3729">
        <v>-2.64</v>
      </c>
      <c r="L3729">
        <v>-0.7</v>
      </c>
      <c r="M3729">
        <v>83.78</v>
      </c>
      <c r="N3729">
        <v>0.01</v>
      </c>
      <c r="O3729">
        <v>1.86</v>
      </c>
    </row>
    <row r="3730" spans="1:15">
      <c r="A3730" t="str">
        <f>"601279"</f>
        <v>601279</v>
      </c>
      <c r="B3730" t="s">
        <v>3771</v>
      </c>
      <c r="C3730">
        <v>-1.22</v>
      </c>
      <c r="D3730">
        <v>3.25</v>
      </c>
      <c r="E3730" t="s">
        <v>16</v>
      </c>
      <c r="F3730" t="s">
        <v>16</v>
      </c>
      <c r="H3730">
        <v>-0.3</v>
      </c>
      <c r="I3730">
        <v>-7.67</v>
      </c>
      <c r="J3730">
        <v>-1.22</v>
      </c>
      <c r="L3730">
        <v>-0.3</v>
      </c>
      <c r="M3730">
        <v>2.79</v>
      </c>
      <c r="N3730">
        <v>0</v>
      </c>
      <c r="O3730">
        <v>0.3</v>
      </c>
    </row>
    <row r="3731" spans="1:15">
      <c r="A3731" t="str">
        <f>"601288"</f>
        <v>601288</v>
      </c>
      <c r="B3731" t="s">
        <v>3772</v>
      </c>
      <c r="C3731">
        <v>-2.45</v>
      </c>
      <c r="D3731">
        <v>6.37</v>
      </c>
      <c r="E3731" t="s">
        <v>16</v>
      </c>
      <c r="F3731" t="s">
        <v>16</v>
      </c>
      <c r="H3731">
        <v>-0.3</v>
      </c>
      <c r="I3731">
        <v>1.11</v>
      </c>
      <c r="J3731">
        <v>-2.9</v>
      </c>
      <c r="L3731">
        <v>0.31</v>
      </c>
      <c r="M3731">
        <v>1573.05</v>
      </c>
      <c r="N3731">
        <v>0.01</v>
      </c>
      <c r="O3731">
        <v>1.7</v>
      </c>
    </row>
    <row r="3732" spans="1:15">
      <c r="A3732" t="str">
        <f>"601298"</f>
        <v>601298</v>
      </c>
      <c r="B3732" t="s">
        <v>3773</v>
      </c>
      <c r="C3732">
        <v>-2.11</v>
      </c>
      <c r="D3732">
        <v>8.36</v>
      </c>
      <c r="E3732" t="s">
        <v>16</v>
      </c>
      <c r="F3732" t="s">
        <v>16</v>
      </c>
      <c r="H3732">
        <v>0</v>
      </c>
      <c r="I3732">
        <v>-10.49</v>
      </c>
      <c r="J3732">
        <v>-2.56</v>
      </c>
      <c r="L3732">
        <v>-0.35</v>
      </c>
      <c r="M3732">
        <v>42.89</v>
      </c>
      <c r="N3732">
        <v>0.01</v>
      </c>
      <c r="O3732">
        <v>0.37</v>
      </c>
    </row>
    <row r="3733" spans="1:15">
      <c r="A3733" t="str">
        <f>"601311"</f>
        <v>601311</v>
      </c>
      <c r="B3733" t="s">
        <v>3774</v>
      </c>
      <c r="C3733">
        <v>-1.82</v>
      </c>
      <c r="D3733">
        <v>8.1</v>
      </c>
      <c r="E3733" t="s">
        <v>16</v>
      </c>
      <c r="F3733" t="s">
        <v>16</v>
      </c>
      <c r="H3733">
        <v>-0.11</v>
      </c>
      <c r="I3733">
        <v>-3.11</v>
      </c>
      <c r="J3733">
        <v>-1.82</v>
      </c>
      <c r="L3733">
        <v>0</v>
      </c>
      <c r="M3733">
        <v>39.68</v>
      </c>
      <c r="N3733">
        <v>0.01</v>
      </c>
      <c r="O3733">
        <v>0.54</v>
      </c>
    </row>
    <row r="3734" spans="1:15">
      <c r="A3734" t="str">
        <f>"601318"</f>
        <v>601318</v>
      </c>
      <c r="B3734" t="s">
        <v>3775</v>
      </c>
      <c r="C3734">
        <v>-6.41</v>
      </c>
      <c r="D3734">
        <v>49.38</v>
      </c>
      <c r="E3734" t="s">
        <v>16</v>
      </c>
      <c r="F3734" t="s">
        <v>16</v>
      </c>
      <c r="H3734">
        <v>-0.07</v>
      </c>
      <c r="I3734">
        <v>-4.08</v>
      </c>
      <c r="J3734">
        <v>-6.19</v>
      </c>
      <c r="L3734">
        <v>-0.32</v>
      </c>
      <c r="M3734">
        <v>1252.69</v>
      </c>
      <c r="N3734">
        <v>0</v>
      </c>
      <c r="O3734">
        <v>0.56</v>
      </c>
    </row>
    <row r="3735" spans="1:15">
      <c r="A3735" t="str">
        <f>"601319"</f>
        <v>601319</v>
      </c>
      <c r="B3735" t="s">
        <v>3776</v>
      </c>
      <c r="C3735">
        <v>-5</v>
      </c>
      <c r="D3735">
        <v>6.65</v>
      </c>
      <c r="E3735" t="s">
        <v>16</v>
      </c>
      <c r="F3735" t="s">
        <v>16</v>
      </c>
      <c r="H3735">
        <v>-0.29</v>
      </c>
      <c r="I3735">
        <v>1.22</v>
      </c>
      <c r="J3735">
        <v>-5</v>
      </c>
      <c r="L3735">
        <v>-0.71</v>
      </c>
      <c r="M3735">
        <v>159.92</v>
      </c>
      <c r="N3735">
        <v>0.01</v>
      </c>
      <c r="O3735">
        <v>0.98</v>
      </c>
    </row>
    <row r="3736" spans="1:15">
      <c r="A3736" t="str">
        <f>"601326"</f>
        <v>601326</v>
      </c>
      <c r="B3736" t="s">
        <v>3777</v>
      </c>
      <c r="C3736">
        <v>-2.36</v>
      </c>
      <c r="D3736">
        <v>3.31</v>
      </c>
      <c r="E3736" t="s">
        <v>16</v>
      </c>
      <c r="F3736" t="s">
        <v>16</v>
      </c>
      <c r="H3736">
        <v>0.3</v>
      </c>
      <c r="I3736">
        <v>-2.65</v>
      </c>
      <c r="J3736">
        <v>-2.07</v>
      </c>
      <c r="L3736">
        <v>-0.59</v>
      </c>
      <c r="M3736">
        <v>17.05</v>
      </c>
      <c r="N3736">
        <v>0</v>
      </c>
      <c r="O3736">
        <v>0.55</v>
      </c>
    </row>
    <row r="3737" spans="1:15">
      <c r="A3737" t="str">
        <f>"601328"</f>
        <v>601328</v>
      </c>
      <c r="B3737" t="s">
        <v>3778</v>
      </c>
      <c r="C3737">
        <v>-3.19</v>
      </c>
      <c r="D3737">
        <v>6.68</v>
      </c>
      <c r="E3737" t="s">
        <v>16</v>
      </c>
      <c r="F3737" t="s">
        <v>16</v>
      </c>
      <c r="H3737">
        <v>-0.14</v>
      </c>
      <c r="I3737">
        <v>-0.6</v>
      </c>
      <c r="J3737">
        <v>-3.33</v>
      </c>
      <c r="L3737">
        <v>0</v>
      </c>
      <c r="M3737">
        <v>399.92</v>
      </c>
      <c r="N3737">
        <v>0</v>
      </c>
      <c r="O3737">
        <v>0.79</v>
      </c>
    </row>
    <row r="3738" spans="1:15">
      <c r="A3738" t="str">
        <f>"601330"</f>
        <v>601330</v>
      </c>
      <c r="B3738" t="s">
        <v>3779</v>
      </c>
      <c r="C3738">
        <v>-4.22</v>
      </c>
      <c r="D3738">
        <v>7.71</v>
      </c>
      <c r="E3738" t="s">
        <v>16</v>
      </c>
      <c r="F3738" t="s">
        <v>16</v>
      </c>
      <c r="H3738">
        <v>-0.25</v>
      </c>
      <c r="I3738">
        <v>-12.98</v>
      </c>
      <c r="J3738">
        <v>-3.87</v>
      </c>
      <c r="L3738">
        <v>-0.5</v>
      </c>
      <c r="M3738">
        <v>48.22</v>
      </c>
      <c r="N3738">
        <v>0.02</v>
      </c>
      <c r="O3738">
        <v>0.35</v>
      </c>
    </row>
    <row r="3739" spans="1:15">
      <c r="A3739" t="str">
        <f>"601333"</f>
        <v>601333</v>
      </c>
      <c r="B3739" t="s">
        <v>3780</v>
      </c>
      <c r="C3739">
        <v>-0.67</v>
      </c>
      <c r="D3739">
        <v>2.98</v>
      </c>
      <c r="E3739" t="s">
        <v>16</v>
      </c>
      <c r="F3739" t="s">
        <v>16</v>
      </c>
      <c r="H3739">
        <v>0</v>
      </c>
      <c r="I3739">
        <v>-2.93</v>
      </c>
      <c r="J3739">
        <v>-0.67</v>
      </c>
      <c r="L3739">
        <v>0</v>
      </c>
      <c r="M3739">
        <v>34.38</v>
      </c>
      <c r="N3739">
        <v>0</v>
      </c>
      <c r="O3739">
        <v>0.58</v>
      </c>
    </row>
    <row r="3740" spans="1:15">
      <c r="A3740" t="str">
        <f>"601336"</f>
        <v>601336</v>
      </c>
      <c r="B3740" t="s">
        <v>3781</v>
      </c>
      <c r="C3740">
        <v>-6.8</v>
      </c>
      <c r="D3740">
        <v>57.55</v>
      </c>
      <c r="E3740" t="s">
        <v>16</v>
      </c>
      <c r="F3740" t="s">
        <v>16</v>
      </c>
      <c r="H3740">
        <v>-0.16</v>
      </c>
      <c r="I3740">
        <v>2.71</v>
      </c>
      <c r="J3740">
        <v>-6.57</v>
      </c>
      <c r="L3740">
        <v>-0.24</v>
      </c>
      <c r="M3740">
        <v>841.46</v>
      </c>
      <c r="N3740">
        <v>0.02</v>
      </c>
      <c r="O3740">
        <v>1.03</v>
      </c>
    </row>
    <row r="3741" spans="1:15">
      <c r="A3741" t="str">
        <f>"601339"</f>
        <v>601339</v>
      </c>
      <c r="B3741" t="s">
        <v>3782</v>
      </c>
      <c r="C3741">
        <v>-0.29</v>
      </c>
      <c r="D3741">
        <v>6.91</v>
      </c>
      <c r="E3741" t="s">
        <v>16</v>
      </c>
      <c r="F3741" t="s">
        <v>16</v>
      </c>
      <c r="H3741">
        <v>-0.28</v>
      </c>
      <c r="I3741">
        <v>0.44</v>
      </c>
      <c r="J3741">
        <v>-2.26</v>
      </c>
      <c r="L3741">
        <v>2.02</v>
      </c>
      <c r="M3741">
        <v>21.21</v>
      </c>
      <c r="N3741">
        <v>0.01</v>
      </c>
      <c r="O3741">
        <v>1.97</v>
      </c>
    </row>
    <row r="3742" spans="1:15">
      <c r="A3742" t="str">
        <f>"601360"</f>
        <v>601360</v>
      </c>
      <c r="B3742" t="s">
        <v>3783</v>
      </c>
      <c r="C3742">
        <v>1.63</v>
      </c>
      <c r="D3742">
        <v>9.37</v>
      </c>
      <c r="E3742" t="s">
        <v>16</v>
      </c>
      <c r="F3742" t="s">
        <v>16</v>
      </c>
      <c r="H3742">
        <v>-0.1</v>
      </c>
      <c r="I3742">
        <v>-4.19</v>
      </c>
      <c r="J3742">
        <v>-1.37</v>
      </c>
      <c r="L3742">
        <v>-0.43</v>
      </c>
      <c r="M3742">
        <v>123.84</v>
      </c>
      <c r="N3742">
        <v>0</v>
      </c>
      <c r="O3742">
        <v>0.71</v>
      </c>
    </row>
    <row r="3743" spans="1:15">
      <c r="A3743" t="str">
        <f>"601366"</f>
        <v>601366</v>
      </c>
      <c r="B3743" t="s">
        <v>3784</v>
      </c>
      <c r="C3743">
        <v>-0.57</v>
      </c>
      <c r="D3743">
        <v>3.46</v>
      </c>
      <c r="E3743" t="s">
        <v>16</v>
      </c>
      <c r="F3743" t="s">
        <v>16</v>
      </c>
      <c r="H3743">
        <v>0.58</v>
      </c>
      <c r="I3743">
        <v>-5.72</v>
      </c>
      <c r="J3743">
        <v>-0.57</v>
      </c>
      <c r="L3743">
        <v>-0.29</v>
      </c>
      <c r="M3743">
        <v>7.56</v>
      </c>
      <c r="N3743">
        <v>0</v>
      </c>
      <c r="O3743">
        <v>1.73</v>
      </c>
    </row>
    <row r="3744" spans="1:15">
      <c r="A3744" t="str">
        <f>"601368"</f>
        <v>601368</v>
      </c>
      <c r="B3744" t="s">
        <v>3785</v>
      </c>
      <c r="C3744">
        <v>-1.62</v>
      </c>
      <c r="D3744">
        <v>4.26</v>
      </c>
      <c r="E3744" t="s">
        <v>16</v>
      </c>
      <c r="F3744" t="s">
        <v>16</v>
      </c>
      <c r="H3744">
        <v>0</v>
      </c>
      <c r="I3744">
        <v>-3.4</v>
      </c>
      <c r="J3744">
        <v>-1.62</v>
      </c>
      <c r="L3744">
        <v>-0.46</v>
      </c>
      <c r="M3744">
        <v>4.14</v>
      </c>
      <c r="N3744">
        <v>0</v>
      </c>
      <c r="O3744">
        <v>0.62</v>
      </c>
    </row>
    <row r="3745" spans="1:15">
      <c r="A3745" t="str">
        <f>"601369"</f>
        <v>601369</v>
      </c>
      <c r="B3745" t="s">
        <v>3786</v>
      </c>
      <c r="C3745">
        <v>-3.05</v>
      </c>
      <c r="D3745">
        <v>8.9</v>
      </c>
      <c r="E3745" t="s">
        <v>16</v>
      </c>
      <c r="F3745" t="s">
        <v>16</v>
      </c>
      <c r="H3745">
        <v>0</v>
      </c>
      <c r="I3745">
        <v>-2.31</v>
      </c>
      <c r="J3745">
        <v>-3.37</v>
      </c>
      <c r="L3745">
        <v>-0.87</v>
      </c>
      <c r="M3745">
        <v>60.15</v>
      </c>
      <c r="N3745">
        <v>0.01</v>
      </c>
      <c r="O3745">
        <v>2.23</v>
      </c>
    </row>
    <row r="3746" spans="1:15">
      <c r="A3746" t="str">
        <f>"601375"</f>
        <v>601375</v>
      </c>
      <c r="B3746" t="s">
        <v>3787</v>
      </c>
      <c r="C3746">
        <v>-3.43</v>
      </c>
      <c r="D3746">
        <v>3.94</v>
      </c>
      <c r="E3746" t="s">
        <v>16</v>
      </c>
      <c r="F3746" t="s">
        <v>16</v>
      </c>
      <c r="H3746">
        <v>0.25</v>
      </c>
      <c r="I3746">
        <v>-0.76</v>
      </c>
      <c r="J3746">
        <v>-5.74</v>
      </c>
      <c r="L3746">
        <v>-0.49</v>
      </c>
      <c r="M3746">
        <v>34.63</v>
      </c>
      <c r="N3746">
        <v>0</v>
      </c>
      <c r="O3746">
        <v>0.72</v>
      </c>
    </row>
    <row r="3747" spans="1:15">
      <c r="A3747" t="str">
        <f>"601377"</f>
        <v>601377</v>
      </c>
      <c r="B3747" t="s">
        <v>3788</v>
      </c>
      <c r="C3747">
        <v>-4.28</v>
      </c>
      <c r="D3747">
        <v>5.82</v>
      </c>
      <c r="E3747" t="s">
        <v>16</v>
      </c>
      <c r="F3747" t="s">
        <v>16</v>
      </c>
      <c r="H3747">
        <v>-0.33</v>
      </c>
      <c r="I3747">
        <v>-0.51</v>
      </c>
      <c r="J3747">
        <v>-4.12</v>
      </c>
      <c r="L3747">
        <v>-0.49</v>
      </c>
      <c r="M3747">
        <v>82.22</v>
      </c>
      <c r="N3747">
        <v>0</v>
      </c>
      <c r="O3747">
        <v>0.4</v>
      </c>
    </row>
    <row r="3748" spans="1:15">
      <c r="A3748" t="str">
        <f>"601388"</f>
        <v>601388</v>
      </c>
      <c r="B3748" t="s">
        <v>3789</v>
      </c>
      <c r="C3748">
        <v>-1.27</v>
      </c>
      <c r="D3748">
        <v>3.12</v>
      </c>
      <c r="E3748" t="s">
        <v>16</v>
      </c>
      <c r="F3748" t="s">
        <v>16</v>
      </c>
      <c r="H3748">
        <v>-0.31</v>
      </c>
      <c r="I3748">
        <v>-7.14</v>
      </c>
      <c r="J3748">
        <v>-3.11</v>
      </c>
      <c r="L3748">
        <v>-0.32</v>
      </c>
      <c r="M3748">
        <v>57.93</v>
      </c>
      <c r="N3748">
        <v>0.02</v>
      </c>
      <c r="O3748">
        <v>3.88</v>
      </c>
    </row>
    <row r="3749" spans="1:15">
      <c r="A3749" t="str">
        <f>"601390"</f>
        <v>601390</v>
      </c>
      <c r="B3749" t="s">
        <v>3790</v>
      </c>
      <c r="C3749">
        <v>-3.63</v>
      </c>
      <c r="D3749">
        <v>4.51</v>
      </c>
      <c r="E3749" t="s">
        <v>16</v>
      </c>
      <c r="F3749" t="s">
        <v>16</v>
      </c>
      <c r="H3749">
        <v>-0.21</v>
      </c>
      <c r="I3749">
        <v>-3.22</v>
      </c>
      <c r="J3749">
        <v>-3.22</v>
      </c>
      <c r="L3749">
        <v>-0.64</v>
      </c>
      <c r="M3749">
        <v>956.74</v>
      </c>
      <c r="N3749">
        <v>0.02</v>
      </c>
      <c r="O3749">
        <v>5.03</v>
      </c>
    </row>
    <row r="3750" spans="1:15">
      <c r="A3750" t="str">
        <f>"601398"</f>
        <v>601398</v>
      </c>
      <c r="B3750" t="s">
        <v>3791</v>
      </c>
      <c r="C3750">
        <v>-2.72</v>
      </c>
      <c r="D3750">
        <v>7.16</v>
      </c>
      <c r="E3750" t="s">
        <v>16</v>
      </c>
      <c r="F3750" t="s">
        <v>16</v>
      </c>
      <c r="H3750">
        <v>-0.13</v>
      </c>
      <c r="I3750">
        <v>-0.97</v>
      </c>
      <c r="J3750">
        <v>-2.59</v>
      </c>
      <c r="L3750">
        <v>-0.27</v>
      </c>
      <c r="M3750">
        <v>1401.11</v>
      </c>
      <c r="N3750">
        <v>0.01</v>
      </c>
      <c r="O3750">
        <v>0.96</v>
      </c>
    </row>
    <row r="3751" spans="1:15">
      <c r="A3751" t="str">
        <f>"601399"</f>
        <v>601399</v>
      </c>
      <c r="B3751" t="s">
        <v>3792</v>
      </c>
      <c r="C3751">
        <v>-1.35</v>
      </c>
      <c r="D3751">
        <v>3.66</v>
      </c>
      <c r="E3751" t="s">
        <v>16</v>
      </c>
      <c r="F3751" t="s">
        <v>16</v>
      </c>
      <c r="H3751">
        <v>0</v>
      </c>
      <c r="I3751">
        <v>-4.19</v>
      </c>
      <c r="J3751">
        <v>-2.14</v>
      </c>
      <c r="L3751">
        <v>-0.81</v>
      </c>
      <c r="M3751">
        <v>158.13</v>
      </c>
      <c r="N3751">
        <v>0.02</v>
      </c>
      <c r="O3751">
        <v>2.36</v>
      </c>
    </row>
    <row r="3752" spans="1:15">
      <c r="A3752" t="str">
        <f>"601456"</f>
        <v>601456</v>
      </c>
      <c r="B3752" t="s">
        <v>3793</v>
      </c>
      <c r="C3752">
        <v>-4.08</v>
      </c>
      <c r="D3752">
        <v>9.17</v>
      </c>
      <c r="E3752" t="s">
        <v>16</v>
      </c>
      <c r="F3752" t="s">
        <v>16</v>
      </c>
      <c r="H3752">
        <v>-0.42</v>
      </c>
      <c r="I3752">
        <v>6.5</v>
      </c>
      <c r="J3752">
        <v>-4.88</v>
      </c>
      <c r="L3752">
        <v>0</v>
      </c>
      <c r="M3752">
        <v>92.16</v>
      </c>
      <c r="N3752">
        <v>0</v>
      </c>
      <c r="O3752">
        <v>0.94</v>
      </c>
    </row>
    <row r="3753" spans="1:15">
      <c r="A3753" t="str">
        <f>"601500"</f>
        <v>601500</v>
      </c>
      <c r="B3753" t="s">
        <v>3794</v>
      </c>
      <c r="C3753">
        <v>-3.34</v>
      </c>
      <c r="D3753">
        <v>3.76</v>
      </c>
      <c r="E3753" t="s">
        <v>16</v>
      </c>
      <c r="F3753" t="s">
        <v>16</v>
      </c>
      <c r="H3753">
        <v>-0.26</v>
      </c>
      <c r="I3753">
        <v>-8.52</v>
      </c>
      <c r="J3753">
        <v>-3.34</v>
      </c>
      <c r="L3753">
        <v>-0.51</v>
      </c>
      <c r="M3753">
        <v>29.92</v>
      </c>
      <c r="N3753">
        <v>0.01</v>
      </c>
      <c r="O3753">
        <v>1.26</v>
      </c>
    </row>
    <row r="3754" spans="1:15">
      <c r="A3754" t="str">
        <f>"601512"</f>
        <v>601512</v>
      </c>
      <c r="B3754" t="s">
        <v>3795</v>
      </c>
      <c r="C3754">
        <v>-1.22</v>
      </c>
      <c r="D3754">
        <v>8.12</v>
      </c>
      <c r="E3754" t="s">
        <v>16</v>
      </c>
      <c r="F3754" t="s">
        <v>16</v>
      </c>
      <c r="H3754">
        <v>-0.11</v>
      </c>
      <c r="I3754">
        <v>-3.79</v>
      </c>
      <c r="J3754">
        <v>-1.81</v>
      </c>
      <c r="L3754">
        <v>-0.12</v>
      </c>
      <c r="M3754">
        <v>8.46</v>
      </c>
      <c r="N3754">
        <v>0</v>
      </c>
      <c r="O3754">
        <v>0.47</v>
      </c>
    </row>
    <row r="3755" spans="1:15">
      <c r="A3755" t="str">
        <f>"601515"</f>
        <v>601515</v>
      </c>
      <c r="B3755" t="s">
        <v>3796</v>
      </c>
      <c r="C3755">
        <v>-4.3</v>
      </c>
      <c r="D3755">
        <v>3.78</v>
      </c>
      <c r="E3755" t="s">
        <v>16</v>
      </c>
      <c r="F3755" t="s">
        <v>16</v>
      </c>
      <c r="H3755">
        <v>0</v>
      </c>
      <c r="I3755">
        <v>-3.32</v>
      </c>
      <c r="J3755">
        <v>-4.06</v>
      </c>
      <c r="L3755">
        <v>-0.51</v>
      </c>
      <c r="M3755">
        <v>57.26</v>
      </c>
      <c r="N3755">
        <v>0.02</v>
      </c>
      <c r="O3755">
        <v>1.6</v>
      </c>
    </row>
    <row r="3756" spans="1:15">
      <c r="A3756" t="str">
        <f>"601518"</f>
        <v>601518</v>
      </c>
      <c r="B3756" t="s">
        <v>3797</v>
      </c>
      <c r="C3756">
        <v>-2.72</v>
      </c>
      <c r="D3756">
        <v>2.86</v>
      </c>
      <c r="E3756" t="s">
        <v>16</v>
      </c>
      <c r="F3756" t="s">
        <v>16</v>
      </c>
      <c r="H3756">
        <v>0</v>
      </c>
      <c r="I3756">
        <v>-9.21</v>
      </c>
      <c r="J3756">
        <v>-2.39</v>
      </c>
      <c r="L3756">
        <v>-0.68</v>
      </c>
      <c r="M3756">
        <v>32.67</v>
      </c>
      <c r="N3756">
        <v>0.02</v>
      </c>
      <c r="O3756">
        <v>2.83</v>
      </c>
    </row>
    <row r="3757" spans="1:15">
      <c r="A3757" t="str">
        <f>"601519"</f>
        <v>601519</v>
      </c>
      <c r="B3757" t="s">
        <v>3798</v>
      </c>
      <c r="C3757">
        <v>-3.71</v>
      </c>
      <c r="D3757">
        <v>8.56</v>
      </c>
      <c r="E3757" t="s">
        <v>16</v>
      </c>
      <c r="F3757" t="s">
        <v>16</v>
      </c>
      <c r="H3757">
        <v>0</v>
      </c>
      <c r="I3757">
        <v>-9.61</v>
      </c>
      <c r="J3757">
        <v>-3.49</v>
      </c>
      <c r="L3757">
        <v>-0.9</v>
      </c>
      <c r="M3757">
        <v>127.04</v>
      </c>
      <c r="N3757">
        <v>0.01</v>
      </c>
      <c r="O3757">
        <v>1.98</v>
      </c>
    </row>
    <row r="3758" spans="1:15">
      <c r="A3758" t="str">
        <f>"601528"</f>
        <v>601528</v>
      </c>
      <c r="B3758" t="s">
        <v>3799</v>
      </c>
      <c r="C3758">
        <v>-1.9</v>
      </c>
      <c r="D3758">
        <v>4.65</v>
      </c>
      <c r="E3758" t="s">
        <v>16</v>
      </c>
      <c r="F3758" t="s">
        <v>16</v>
      </c>
      <c r="H3758">
        <v>0</v>
      </c>
      <c r="I3758">
        <v>-0.85</v>
      </c>
      <c r="J3758">
        <v>-1.69</v>
      </c>
      <c r="L3758">
        <v>-0.42</v>
      </c>
      <c r="M3758">
        <v>27.89</v>
      </c>
      <c r="N3758">
        <v>0</v>
      </c>
      <c r="O3758">
        <v>2.85</v>
      </c>
    </row>
    <row r="3759" spans="1:15">
      <c r="A3759" t="str">
        <f>"601555"</f>
        <v>601555</v>
      </c>
      <c r="B3759" t="s">
        <v>3800</v>
      </c>
      <c r="C3759">
        <v>-3.19</v>
      </c>
      <c r="D3759">
        <v>7.58</v>
      </c>
      <c r="E3759" t="s">
        <v>16</v>
      </c>
      <c r="F3759" t="s">
        <v>16</v>
      </c>
      <c r="H3759">
        <v>0</v>
      </c>
      <c r="I3759">
        <v>0.4</v>
      </c>
      <c r="J3759">
        <v>-3.32</v>
      </c>
      <c r="L3759">
        <v>0</v>
      </c>
      <c r="M3759">
        <v>43.53</v>
      </c>
      <c r="N3759">
        <v>0</v>
      </c>
      <c r="O3759">
        <v>1.18</v>
      </c>
    </row>
    <row r="3760" spans="1:15">
      <c r="A3760" t="str">
        <f>"601566"</f>
        <v>601566</v>
      </c>
      <c r="B3760" t="s">
        <v>3801</v>
      </c>
      <c r="C3760">
        <v>-3.14</v>
      </c>
      <c r="D3760">
        <v>8.95</v>
      </c>
      <c r="E3760" t="s">
        <v>16</v>
      </c>
      <c r="F3760" t="s">
        <v>16</v>
      </c>
      <c r="H3760">
        <v>0</v>
      </c>
      <c r="I3760">
        <v>-19.22</v>
      </c>
      <c r="J3760">
        <v>-4.28</v>
      </c>
      <c r="L3760">
        <v>-0.32</v>
      </c>
      <c r="M3760">
        <v>22.68</v>
      </c>
      <c r="N3760">
        <v>0.02</v>
      </c>
      <c r="O3760">
        <v>0.56</v>
      </c>
    </row>
    <row r="3761" spans="1:15">
      <c r="A3761" t="str">
        <f>"601567"</f>
        <v>601567</v>
      </c>
      <c r="B3761" t="s">
        <v>3802</v>
      </c>
      <c r="C3761">
        <v>-2.15</v>
      </c>
      <c r="D3761">
        <v>15.05</v>
      </c>
      <c r="E3761" t="s">
        <v>16</v>
      </c>
      <c r="F3761" t="s">
        <v>16</v>
      </c>
      <c r="H3761">
        <v>-0.06</v>
      </c>
      <c r="I3761">
        <v>-1.44</v>
      </c>
      <c r="J3761">
        <v>-2.27</v>
      </c>
      <c r="L3761">
        <v>-0.65</v>
      </c>
      <c r="M3761">
        <v>122.7</v>
      </c>
      <c r="N3761">
        <v>0.01</v>
      </c>
      <c r="O3761">
        <v>2.1</v>
      </c>
    </row>
    <row r="3762" spans="1:15">
      <c r="A3762" t="str">
        <f>"601568"</f>
        <v>601568</v>
      </c>
      <c r="B3762" t="s">
        <v>3803</v>
      </c>
      <c r="C3762">
        <v>-2.43</v>
      </c>
      <c r="D3762">
        <v>3.61</v>
      </c>
      <c r="E3762" t="s">
        <v>16</v>
      </c>
      <c r="F3762" t="s">
        <v>16</v>
      </c>
      <c r="H3762">
        <v>0</v>
      </c>
      <c r="I3762">
        <v>-3.48</v>
      </c>
      <c r="J3762">
        <v>-2.7</v>
      </c>
      <c r="L3762">
        <v>0.27</v>
      </c>
      <c r="M3762">
        <v>14.02</v>
      </c>
      <c r="N3762">
        <v>0</v>
      </c>
      <c r="O3762">
        <v>0.49</v>
      </c>
    </row>
    <row r="3763" spans="1:15">
      <c r="A3763" t="str">
        <f>"601577"</f>
        <v>601577</v>
      </c>
      <c r="B3763" t="s">
        <v>3804</v>
      </c>
      <c r="C3763">
        <v>-2.45</v>
      </c>
      <c r="D3763">
        <v>9.16</v>
      </c>
      <c r="E3763" t="s">
        <v>16</v>
      </c>
      <c r="F3763" t="s">
        <v>16</v>
      </c>
      <c r="H3763">
        <v>-0.21</v>
      </c>
      <c r="I3763">
        <v>-2.86</v>
      </c>
      <c r="J3763">
        <v>-2.76</v>
      </c>
      <c r="L3763">
        <v>0.32</v>
      </c>
      <c r="M3763">
        <v>69.8</v>
      </c>
      <c r="N3763">
        <v>0</v>
      </c>
      <c r="O3763">
        <v>1.16</v>
      </c>
    </row>
    <row r="3764" spans="1:15">
      <c r="A3764" t="str">
        <f>"601579"</f>
        <v>601579</v>
      </c>
      <c r="B3764" t="s">
        <v>3805</v>
      </c>
      <c r="C3764">
        <v>-1.29</v>
      </c>
      <c r="D3764">
        <v>15.26</v>
      </c>
      <c r="E3764" t="s">
        <v>16</v>
      </c>
      <c r="F3764" t="s">
        <v>16</v>
      </c>
      <c r="H3764">
        <v>-0.32</v>
      </c>
      <c r="I3764">
        <v>-2.68</v>
      </c>
      <c r="J3764">
        <v>-1.29</v>
      </c>
      <c r="L3764">
        <v>-1.03</v>
      </c>
      <c r="M3764">
        <v>7.04</v>
      </c>
      <c r="N3764">
        <v>0</v>
      </c>
      <c r="O3764">
        <v>0.25</v>
      </c>
    </row>
    <row r="3765" spans="1:15">
      <c r="A3765" t="str">
        <f>"601588"</f>
        <v>601588</v>
      </c>
      <c r="B3765" t="s">
        <v>3806</v>
      </c>
      <c r="C3765">
        <v>-2.22</v>
      </c>
      <c r="D3765">
        <v>1.76</v>
      </c>
      <c r="E3765" t="s">
        <v>16</v>
      </c>
      <c r="F3765" t="s">
        <v>16</v>
      </c>
      <c r="H3765">
        <v>-0.55</v>
      </c>
      <c r="I3765">
        <v>-12</v>
      </c>
      <c r="J3765">
        <v>-1.68</v>
      </c>
      <c r="L3765">
        <v>-0.56</v>
      </c>
      <c r="M3765">
        <v>77.33</v>
      </c>
      <c r="N3765">
        <v>0.03</v>
      </c>
      <c r="O3765">
        <v>0.96</v>
      </c>
    </row>
    <row r="3766" spans="1:15">
      <c r="A3766" t="str">
        <f>"601595"</f>
        <v>601595</v>
      </c>
      <c r="B3766" t="s">
        <v>3807</v>
      </c>
      <c r="C3766">
        <v>-0.89</v>
      </c>
      <c r="D3766">
        <v>17.88</v>
      </c>
      <c r="E3766" t="s">
        <v>16</v>
      </c>
      <c r="F3766" t="s">
        <v>16</v>
      </c>
      <c r="H3766">
        <v>-0.05</v>
      </c>
      <c r="I3766">
        <v>-7.64</v>
      </c>
      <c r="J3766">
        <v>-1.97</v>
      </c>
      <c r="L3766">
        <v>0.06</v>
      </c>
      <c r="M3766">
        <v>12.64</v>
      </c>
      <c r="N3766">
        <v>0.01</v>
      </c>
      <c r="O3766">
        <v>0.32</v>
      </c>
    </row>
    <row r="3767" spans="1:15">
      <c r="A3767" t="str">
        <f>"601598"</f>
        <v>601598</v>
      </c>
      <c r="B3767" t="s">
        <v>3808</v>
      </c>
      <c r="C3767">
        <v>-1.43</v>
      </c>
      <c r="D3767">
        <v>5.53</v>
      </c>
      <c r="E3767" t="s">
        <v>16</v>
      </c>
      <c r="F3767" t="s">
        <v>16</v>
      </c>
      <c r="H3767">
        <v>-0.35</v>
      </c>
      <c r="I3767">
        <v>-7.06</v>
      </c>
      <c r="J3767">
        <v>-1.78</v>
      </c>
      <c r="L3767">
        <v>0.18</v>
      </c>
      <c r="M3767">
        <v>17.65</v>
      </c>
      <c r="N3767">
        <v>0</v>
      </c>
      <c r="O3767">
        <v>1.3</v>
      </c>
    </row>
    <row r="3768" spans="1:15">
      <c r="A3768" t="str">
        <f>"601599"</f>
        <v>601599</v>
      </c>
      <c r="B3768" t="s">
        <v>3809</v>
      </c>
      <c r="C3768">
        <v>-1.32</v>
      </c>
      <c r="D3768">
        <v>3</v>
      </c>
      <c r="E3768" t="s">
        <v>16</v>
      </c>
      <c r="F3768" t="s">
        <v>16</v>
      </c>
      <c r="H3768">
        <v>0.33</v>
      </c>
      <c r="I3768">
        <v>-4.46</v>
      </c>
      <c r="J3768">
        <v>-0.99</v>
      </c>
      <c r="L3768">
        <v>-0.33</v>
      </c>
      <c r="M3768">
        <v>16.85</v>
      </c>
      <c r="N3768">
        <v>0.01</v>
      </c>
      <c r="O3768">
        <v>1.69</v>
      </c>
    </row>
    <row r="3769" spans="1:15">
      <c r="A3769" t="str">
        <f>"601600"</f>
        <v>601600</v>
      </c>
      <c r="B3769" t="s">
        <v>3810</v>
      </c>
      <c r="C3769">
        <v>-5.92</v>
      </c>
      <c r="D3769">
        <v>9.38</v>
      </c>
      <c r="E3769" t="s">
        <v>16</v>
      </c>
      <c r="F3769" t="s">
        <v>16</v>
      </c>
      <c r="H3769">
        <v>-0.41</v>
      </c>
      <c r="I3769">
        <v>-13.94</v>
      </c>
      <c r="J3769">
        <v>-6.11</v>
      </c>
      <c r="L3769">
        <v>-1</v>
      </c>
      <c r="M3769">
        <v>1741.27</v>
      </c>
      <c r="N3769">
        <v>0.02</v>
      </c>
      <c r="O3769">
        <v>0.96</v>
      </c>
    </row>
    <row r="3770" spans="1:15">
      <c r="A3770" t="str">
        <f>"601601"</f>
        <v>601601</v>
      </c>
      <c r="B3770" t="s">
        <v>3811</v>
      </c>
      <c r="C3770">
        <v>-6.87</v>
      </c>
      <c r="D3770">
        <v>29.98</v>
      </c>
      <c r="E3770" t="s">
        <v>16</v>
      </c>
      <c r="F3770" t="s">
        <v>16</v>
      </c>
      <c r="H3770">
        <v>-0.02</v>
      </c>
      <c r="I3770">
        <v>-3.35</v>
      </c>
      <c r="J3770">
        <v>-6.58</v>
      </c>
      <c r="L3770">
        <v>-0.59</v>
      </c>
      <c r="M3770">
        <v>632</v>
      </c>
      <c r="N3770">
        <v>0.01</v>
      </c>
      <c r="O3770">
        <v>0.8</v>
      </c>
    </row>
    <row r="3771" spans="1:15">
      <c r="A3771" t="str">
        <f>"601606"</f>
        <v>601606</v>
      </c>
      <c r="B3771" t="s">
        <v>3812</v>
      </c>
      <c r="C3771">
        <v>-2.06</v>
      </c>
      <c r="D3771">
        <v>30.5</v>
      </c>
      <c r="E3771" t="s">
        <v>16</v>
      </c>
      <c r="F3771" t="s">
        <v>16</v>
      </c>
      <c r="H3771">
        <v>-0.12</v>
      </c>
      <c r="I3771">
        <v>-4.93</v>
      </c>
      <c r="J3771">
        <v>-2.43</v>
      </c>
      <c r="L3771">
        <v>-0.32</v>
      </c>
      <c r="M3771">
        <v>118.26</v>
      </c>
      <c r="N3771">
        <v>0.01</v>
      </c>
      <c r="O3771">
        <v>1.17</v>
      </c>
    </row>
    <row r="3772" spans="1:15">
      <c r="A3772" t="str">
        <f>"601607"</f>
        <v>601607</v>
      </c>
      <c r="B3772" t="s">
        <v>3813</v>
      </c>
      <c r="C3772">
        <v>-1.24</v>
      </c>
      <c r="D3772">
        <v>15.91</v>
      </c>
      <c r="E3772" t="s">
        <v>16</v>
      </c>
      <c r="F3772" t="s">
        <v>16</v>
      </c>
      <c r="H3772">
        <v>-0.12</v>
      </c>
      <c r="I3772">
        <v>-1.18</v>
      </c>
      <c r="J3772">
        <v>-1.36</v>
      </c>
      <c r="L3772">
        <v>0</v>
      </c>
      <c r="M3772">
        <v>31.41</v>
      </c>
      <c r="N3772">
        <v>0</v>
      </c>
      <c r="O3772">
        <v>0.58</v>
      </c>
    </row>
    <row r="3773" spans="1:15">
      <c r="A3773" t="str">
        <f>"601608"</f>
        <v>601608</v>
      </c>
      <c r="B3773" t="s">
        <v>3814</v>
      </c>
      <c r="C3773">
        <v>-1.55</v>
      </c>
      <c r="D3773">
        <v>5.09</v>
      </c>
      <c r="E3773" t="s">
        <v>16</v>
      </c>
      <c r="F3773" t="s">
        <v>16</v>
      </c>
      <c r="H3773">
        <v>-0.38</v>
      </c>
      <c r="I3773">
        <v>-4.5</v>
      </c>
      <c r="J3773">
        <v>-1.55</v>
      </c>
      <c r="L3773">
        <v>-0.39</v>
      </c>
      <c r="M3773">
        <v>40.94</v>
      </c>
      <c r="N3773">
        <v>0</v>
      </c>
      <c r="O3773">
        <v>0.69</v>
      </c>
    </row>
    <row r="3774" spans="1:15">
      <c r="A3774" t="str">
        <f>"601609"</f>
        <v>601609</v>
      </c>
      <c r="B3774" t="s">
        <v>3815</v>
      </c>
      <c r="C3774">
        <v>6.82</v>
      </c>
      <c r="D3774">
        <v>13</v>
      </c>
      <c r="E3774" t="s">
        <v>16</v>
      </c>
      <c r="F3774" t="s">
        <v>16</v>
      </c>
      <c r="H3774">
        <v>-0.37</v>
      </c>
      <c r="I3774">
        <v>0.39</v>
      </c>
      <c r="J3774">
        <v>-2.26</v>
      </c>
      <c r="L3774">
        <v>0.08</v>
      </c>
      <c r="M3774">
        <v>764.3</v>
      </c>
      <c r="N3774">
        <v>0.07</v>
      </c>
      <c r="O3774">
        <v>1.56</v>
      </c>
    </row>
    <row r="3775" spans="1:15">
      <c r="A3775" t="str">
        <f>"601611"</f>
        <v>601611</v>
      </c>
      <c r="B3775" t="s">
        <v>3816</v>
      </c>
      <c r="C3775">
        <v>-5.25</v>
      </c>
      <c r="D3775">
        <v>11.02</v>
      </c>
      <c r="E3775" t="s">
        <v>16</v>
      </c>
      <c r="F3775" t="s">
        <v>16</v>
      </c>
      <c r="H3775">
        <v>0</v>
      </c>
      <c r="I3775">
        <v>-2.22</v>
      </c>
      <c r="J3775">
        <v>-3.5</v>
      </c>
      <c r="L3775">
        <v>-2.58</v>
      </c>
      <c r="M3775">
        <v>857.91</v>
      </c>
      <c r="N3775">
        <v>0.08</v>
      </c>
      <c r="O3775">
        <v>2.75</v>
      </c>
    </row>
    <row r="3776" spans="1:15">
      <c r="A3776" t="str">
        <f>"601615"</f>
        <v>601615</v>
      </c>
      <c r="B3776" t="s">
        <v>3817</v>
      </c>
      <c r="C3776">
        <v>-0.81</v>
      </c>
      <c r="D3776">
        <v>12.23</v>
      </c>
      <c r="E3776" t="s">
        <v>16</v>
      </c>
      <c r="F3776" t="s">
        <v>16</v>
      </c>
      <c r="H3776">
        <v>0.08</v>
      </c>
      <c r="I3776">
        <v>-16.29</v>
      </c>
      <c r="J3776">
        <v>-2.08</v>
      </c>
      <c r="L3776">
        <v>-0.24</v>
      </c>
      <c r="M3776">
        <v>792.93</v>
      </c>
      <c r="N3776">
        <v>0.04</v>
      </c>
      <c r="O3776">
        <v>2.69</v>
      </c>
    </row>
    <row r="3777" spans="1:15">
      <c r="A3777" t="str">
        <f>"601616"</f>
        <v>601616</v>
      </c>
      <c r="B3777" t="s">
        <v>3818</v>
      </c>
      <c r="C3777">
        <v>-1.83</v>
      </c>
      <c r="D3777">
        <v>3.75</v>
      </c>
      <c r="E3777" t="s">
        <v>16</v>
      </c>
      <c r="F3777" t="s">
        <v>16</v>
      </c>
      <c r="H3777">
        <v>0.27</v>
      </c>
      <c r="I3777">
        <v>-6.95</v>
      </c>
      <c r="J3777">
        <v>-1.57</v>
      </c>
      <c r="L3777">
        <v>-0.52</v>
      </c>
      <c r="M3777">
        <v>11.48</v>
      </c>
      <c r="N3777">
        <v>0</v>
      </c>
      <c r="O3777">
        <v>0.45</v>
      </c>
    </row>
    <row r="3778" spans="1:15">
      <c r="A3778" t="str">
        <f>"601618"</f>
        <v>601618</v>
      </c>
      <c r="B3778" t="s">
        <v>3819</v>
      </c>
      <c r="C3778">
        <v>-2.91</v>
      </c>
      <c r="D3778">
        <v>2.67</v>
      </c>
      <c r="E3778" t="s">
        <v>16</v>
      </c>
      <c r="F3778" t="s">
        <v>16</v>
      </c>
      <c r="H3778">
        <v>0</v>
      </c>
      <c r="I3778">
        <v>-2.55</v>
      </c>
      <c r="J3778">
        <v>-2.2</v>
      </c>
      <c r="L3778">
        <v>-1.09</v>
      </c>
      <c r="M3778">
        <v>217.6</v>
      </c>
      <c r="N3778">
        <v>0.01</v>
      </c>
      <c r="O3778">
        <v>0.64</v>
      </c>
    </row>
    <row r="3779" spans="1:15">
      <c r="A3779" t="str">
        <f>"601619"</f>
        <v>601619</v>
      </c>
      <c r="B3779" t="s">
        <v>3820</v>
      </c>
      <c r="C3779">
        <v>-2.83</v>
      </c>
      <c r="D3779">
        <v>4.47</v>
      </c>
      <c r="E3779" t="s">
        <v>16</v>
      </c>
      <c r="F3779" t="s">
        <v>16</v>
      </c>
      <c r="H3779">
        <v>-0.21</v>
      </c>
      <c r="I3779">
        <v>-14.53</v>
      </c>
      <c r="J3779">
        <v>-3.66</v>
      </c>
      <c r="L3779">
        <v>-0.87</v>
      </c>
      <c r="M3779">
        <v>96.76</v>
      </c>
      <c r="N3779">
        <v>0.02</v>
      </c>
      <c r="O3779">
        <v>2.6</v>
      </c>
    </row>
    <row r="3780" spans="1:15">
      <c r="A3780" t="str">
        <f>"601628"</f>
        <v>601628</v>
      </c>
      <c r="B3780" t="s">
        <v>3821</v>
      </c>
      <c r="C3780">
        <v>-5.89</v>
      </c>
      <c r="D3780">
        <v>33.7</v>
      </c>
      <c r="E3780" t="s">
        <v>16</v>
      </c>
      <c r="F3780" t="s">
        <v>16</v>
      </c>
      <c r="H3780">
        <v>-0.17</v>
      </c>
      <c r="I3780">
        <v>3.72</v>
      </c>
      <c r="J3780">
        <v>-6.02</v>
      </c>
      <c r="L3780">
        <v>-0.11</v>
      </c>
      <c r="M3780">
        <v>512.23</v>
      </c>
      <c r="N3780">
        <v>0.01</v>
      </c>
      <c r="O3780">
        <v>1.53</v>
      </c>
    </row>
    <row r="3781" spans="1:15">
      <c r="A3781" t="str">
        <f>"601633"</f>
        <v>601633</v>
      </c>
      <c r="B3781" t="s">
        <v>3822</v>
      </c>
      <c r="C3781">
        <v>4.93</v>
      </c>
      <c r="D3781">
        <v>17.65</v>
      </c>
      <c r="E3781" t="s">
        <v>16</v>
      </c>
      <c r="F3781" t="s">
        <v>16</v>
      </c>
      <c r="H3781">
        <v>-0.22</v>
      </c>
      <c r="I3781">
        <v>5.94</v>
      </c>
      <c r="J3781">
        <v>-2.75</v>
      </c>
      <c r="L3781">
        <v>-0.06</v>
      </c>
      <c r="M3781">
        <v>389.15</v>
      </c>
      <c r="N3781">
        <v>0.02</v>
      </c>
      <c r="O3781">
        <v>6.11</v>
      </c>
    </row>
    <row r="3782" spans="1:15">
      <c r="A3782" t="str">
        <f>"601636"</f>
        <v>601636</v>
      </c>
      <c r="B3782" t="s">
        <v>3823</v>
      </c>
      <c r="C3782">
        <v>-7.27</v>
      </c>
      <c r="D3782">
        <v>8.04</v>
      </c>
      <c r="E3782" t="s">
        <v>16</v>
      </c>
      <c r="F3782" t="s">
        <v>16</v>
      </c>
      <c r="H3782">
        <v>-0.49</v>
      </c>
      <c r="I3782">
        <v>24.65</v>
      </c>
      <c r="J3782">
        <v>-6.4</v>
      </c>
      <c r="K3782" t="s">
        <v>296</v>
      </c>
      <c r="L3782">
        <v>-0.92</v>
      </c>
      <c r="M3782">
        <v>16221.7</v>
      </c>
      <c r="N3782">
        <v>1.02</v>
      </c>
      <c r="O3782">
        <v>0.85</v>
      </c>
    </row>
    <row r="3783" spans="1:15">
      <c r="A3783" t="str">
        <f>"601658"</f>
        <v>601658</v>
      </c>
      <c r="B3783" t="s">
        <v>3824</v>
      </c>
      <c r="C3783">
        <v>-2.41</v>
      </c>
      <c r="D3783">
        <v>4.86</v>
      </c>
      <c r="E3783" t="s">
        <v>16</v>
      </c>
      <c r="F3783" t="s">
        <v>16</v>
      </c>
      <c r="H3783">
        <v>-0.4</v>
      </c>
      <c r="I3783">
        <v>-1.42</v>
      </c>
      <c r="J3783">
        <v>-2.41</v>
      </c>
      <c r="L3783">
        <v>0</v>
      </c>
      <c r="M3783">
        <v>292.48</v>
      </c>
      <c r="N3783">
        <v>0.01</v>
      </c>
      <c r="O3783">
        <v>0.95</v>
      </c>
    </row>
    <row r="3784" spans="1:15">
      <c r="A3784" t="str">
        <f>"601665"</f>
        <v>601665</v>
      </c>
      <c r="B3784" t="s">
        <v>3825</v>
      </c>
      <c r="C3784">
        <v>-4.42</v>
      </c>
      <c r="D3784">
        <v>6.06</v>
      </c>
      <c r="E3784" t="s">
        <v>16</v>
      </c>
      <c r="F3784" t="s">
        <v>16</v>
      </c>
      <c r="H3784">
        <v>0</v>
      </c>
      <c r="I3784">
        <v>1</v>
      </c>
      <c r="J3784">
        <v>-4.87</v>
      </c>
      <c r="L3784">
        <v>0.32</v>
      </c>
      <c r="M3784">
        <v>50.94</v>
      </c>
      <c r="N3784">
        <v>0</v>
      </c>
      <c r="O3784">
        <v>0.81</v>
      </c>
    </row>
    <row r="3785" spans="1:15">
      <c r="A3785" t="str">
        <f>"601666"</f>
        <v>601666</v>
      </c>
      <c r="B3785" t="s">
        <v>3826</v>
      </c>
      <c r="C3785">
        <v>-1.63</v>
      </c>
      <c r="D3785">
        <v>8.43</v>
      </c>
      <c r="E3785" t="s">
        <v>16</v>
      </c>
      <c r="F3785" t="s">
        <v>16</v>
      </c>
      <c r="H3785">
        <v>-0.23</v>
      </c>
      <c r="I3785">
        <v>-8.57</v>
      </c>
      <c r="J3785">
        <v>-1.98</v>
      </c>
      <c r="L3785">
        <v>-0.93</v>
      </c>
      <c r="M3785">
        <v>104</v>
      </c>
      <c r="N3785">
        <v>0.01</v>
      </c>
      <c r="O3785">
        <v>0.85</v>
      </c>
    </row>
    <row r="3786" spans="1:15">
      <c r="A3786" t="str">
        <f>"601668"</f>
        <v>601668</v>
      </c>
      <c r="B3786" t="s">
        <v>3827</v>
      </c>
      <c r="C3786">
        <v>-2.54</v>
      </c>
      <c r="D3786">
        <v>4.61</v>
      </c>
      <c r="E3786" t="s">
        <v>16</v>
      </c>
      <c r="F3786" t="s">
        <v>16</v>
      </c>
      <c r="H3786">
        <v>-0.21</v>
      </c>
      <c r="I3786">
        <v>-2.12</v>
      </c>
      <c r="J3786">
        <v>-2.33</v>
      </c>
      <c r="L3786">
        <v>-0.42</v>
      </c>
      <c r="M3786">
        <v>1079.06</v>
      </c>
      <c r="N3786">
        <v>0.01</v>
      </c>
      <c r="O3786">
        <v>2.52</v>
      </c>
    </row>
    <row r="3787" spans="1:15">
      <c r="A3787" t="str">
        <f>"601669"</f>
        <v>601669</v>
      </c>
      <c r="B3787" t="s">
        <v>3828</v>
      </c>
      <c r="C3787">
        <v>-4.45</v>
      </c>
      <c r="D3787">
        <v>4.94</v>
      </c>
      <c r="E3787" t="s">
        <v>16</v>
      </c>
      <c r="F3787" t="s">
        <v>16</v>
      </c>
      <c r="H3787">
        <v>-0.19</v>
      </c>
      <c r="I3787">
        <v>-4.63</v>
      </c>
      <c r="J3787">
        <v>-2.76</v>
      </c>
      <c r="L3787">
        <v>-1.74</v>
      </c>
      <c r="M3787">
        <v>1883.26</v>
      </c>
      <c r="N3787">
        <v>0.05</v>
      </c>
      <c r="O3787">
        <v>12.86</v>
      </c>
    </row>
    <row r="3788" spans="1:15">
      <c r="A3788" t="str">
        <f>"601677"</f>
        <v>601677</v>
      </c>
      <c r="B3788" t="s">
        <v>3829</v>
      </c>
      <c r="C3788">
        <v>-2.04</v>
      </c>
      <c r="D3788">
        <v>16.32</v>
      </c>
      <c r="E3788" t="s">
        <v>16</v>
      </c>
      <c r="F3788" t="s">
        <v>16</v>
      </c>
      <c r="H3788">
        <v>-0.17</v>
      </c>
      <c r="I3788">
        <v>-13.61</v>
      </c>
      <c r="J3788">
        <v>-7.11</v>
      </c>
      <c r="L3788">
        <v>0.84</v>
      </c>
      <c r="M3788">
        <v>617.47</v>
      </c>
      <c r="N3788">
        <v>0.03</v>
      </c>
      <c r="O3788">
        <v>1.72</v>
      </c>
    </row>
    <row r="3789" spans="1:15">
      <c r="A3789" t="str">
        <f>"601678"</f>
        <v>601678</v>
      </c>
      <c r="B3789" t="s">
        <v>3830</v>
      </c>
      <c r="C3789">
        <v>-4.4</v>
      </c>
      <c r="D3789">
        <v>5.86</v>
      </c>
      <c r="E3789" t="s">
        <v>16</v>
      </c>
      <c r="F3789" t="s">
        <v>16</v>
      </c>
      <c r="H3789">
        <v>0</v>
      </c>
      <c r="I3789">
        <v>9.94</v>
      </c>
      <c r="J3789">
        <v>-5.18</v>
      </c>
      <c r="L3789">
        <v>-0.16</v>
      </c>
      <c r="M3789">
        <v>372.83</v>
      </c>
      <c r="N3789">
        <v>0.03</v>
      </c>
      <c r="O3789">
        <v>0.5</v>
      </c>
    </row>
    <row r="3790" spans="1:15">
      <c r="A3790" t="str">
        <f>"601686"</f>
        <v>601686</v>
      </c>
      <c r="B3790" t="s">
        <v>3831</v>
      </c>
      <c r="C3790">
        <v>1.2</v>
      </c>
      <c r="D3790">
        <v>5.07</v>
      </c>
      <c r="E3790" t="s">
        <v>16</v>
      </c>
      <c r="F3790" t="s">
        <v>16</v>
      </c>
      <c r="H3790">
        <v>0.2</v>
      </c>
      <c r="I3790">
        <v>-4.88</v>
      </c>
      <c r="J3790">
        <v>-0.59</v>
      </c>
      <c r="L3790">
        <v>-0.6</v>
      </c>
      <c r="M3790">
        <v>5.88</v>
      </c>
      <c r="N3790">
        <v>0</v>
      </c>
      <c r="O3790">
        <v>0.34</v>
      </c>
    </row>
    <row r="3791" spans="1:15">
      <c r="A3791" t="str">
        <f>"601688"</f>
        <v>601688</v>
      </c>
      <c r="B3791" t="s">
        <v>3832</v>
      </c>
      <c r="C3791">
        <v>-4.17</v>
      </c>
      <c r="D3791">
        <v>19.55</v>
      </c>
      <c r="E3791" t="s">
        <v>16</v>
      </c>
      <c r="F3791" t="s">
        <v>16</v>
      </c>
      <c r="H3791">
        <v>-0.25</v>
      </c>
      <c r="I3791">
        <v>2.3</v>
      </c>
      <c r="J3791">
        <v>-4.07</v>
      </c>
      <c r="L3791">
        <v>-0.59</v>
      </c>
      <c r="M3791">
        <v>785.85</v>
      </c>
      <c r="N3791">
        <v>0.01</v>
      </c>
      <c r="O3791">
        <v>0.86</v>
      </c>
    </row>
    <row r="3792" spans="1:15">
      <c r="A3792" t="str">
        <f>"601689"</f>
        <v>601689</v>
      </c>
      <c r="B3792" t="s">
        <v>3833</v>
      </c>
      <c r="C3792">
        <v>3.64</v>
      </c>
      <c r="D3792">
        <v>62.3</v>
      </c>
      <c r="E3792" t="s">
        <v>16</v>
      </c>
      <c r="F3792" t="s">
        <v>16</v>
      </c>
      <c r="H3792">
        <v>0.11</v>
      </c>
      <c r="I3792">
        <v>-7.84</v>
      </c>
      <c r="J3792">
        <v>-0.89</v>
      </c>
      <c r="L3792">
        <v>-0.45</v>
      </c>
      <c r="M3792">
        <v>1226.12</v>
      </c>
      <c r="N3792">
        <v>0.03</v>
      </c>
      <c r="O3792">
        <v>1.02</v>
      </c>
    </row>
    <row r="3793" spans="1:15">
      <c r="A3793" t="str">
        <f>"601696"</f>
        <v>601696</v>
      </c>
      <c r="B3793" t="s">
        <v>3834</v>
      </c>
      <c r="C3793">
        <v>-3.04</v>
      </c>
      <c r="D3793">
        <v>12.75</v>
      </c>
      <c r="E3793" t="s">
        <v>16</v>
      </c>
      <c r="F3793" t="s">
        <v>16</v>
      </c>
      <c r="H3793">
        <v>-0.22</v>
      </c>
      <c r="I3793">
        <v>15.91</v>
      </c>
      <c r="J3793">
        <v>-2.67</v>
      </c>
      <c r="K3793" t="s">
        <v>116</v>
      </c>
      <c r="L3793">
        <v>-0.76</v>
      </c>
      <c r="M3793">
        <v>1267.94</v>
      </c>
      <c r="N3793">
        <v>0.07</v>
      </c>
      <c r="O3793">
        <v>0.54</v>
      </c>
    </row>
    <row r="3794" spans="1:15">
      <c r="A3794" t="str">
        <f>"601698"</f>
        <v>601698</v>
      </c>
      <c r="B3794" t="s">
        <v>3835</v>
      </c>
      <c r="C3794">
        <v>-1.18</v>
      </c>
      <c r="D3794">
        <v>30.89</v>
      </c>
      <c r="E3794" t="s">
        <v>16</v>
      </c>
      <c r="F3794" t="s">
        <v>16</v>
      </c>
      <c r="H3794">
        <v>0.1</v>
      </c>
      <c r="I3794">
        <v>2.66</v>
      </c>
      <c r="J3794">
        <v>-2.25</v>
      </c>
      <c r="L3794">
        <v>-0.83</v>
      </c>
      <c r="M3794">
        <v>704.01</v>
      </c>
      <c r="N3794">
        <v>0.02</v>
      </c>
      <c r="O3794">
        <v>0.91</v>
      </c>
    </row>
    <row r="3795" spans="1:15">
      <c r="A3795" t="str">
        <f>"601699"</f>
        <v>601699</v>
      </c>
      <c r="B3795" t="s">
        <v>3836</v>
      </c>
      <c r="C3795">
        <v>-1.59</v>
      </c>
      <c r="D3795">
        <v>16.72</v>
      </c>
      <c r="E3795" t="s">
        <v>16</v>
      </c>
      <c r="F3795" t="s">
        <v>16</v>
      </c>
      <c r="H3795">
        <v>0.06</v>
      </c>
      <c r="I3795">
        <v>-13.37</v>
      </c>
      <c r="J3795">
        <v>-1.88</v>
      </c>
      <c r="L3795">
        <v>-0.94</v>
      </c>
      <c r="M3795">
        <v>237.07</v>
      </c>
      <c r="N3795">
        <v>0.01</v>
      </c>
      <c r="O3795">
        <v>1.21</v>
      </c>
    </row>
    <row r="3796" spans="1:15">
      <c r="A3796" t="str">
        <f>"601700"</f>
        <v>601700</v>
      </c>
      <c r="B3796" t="s">
        <v>3837</v>
      </c>
      <c r="C3796">
        <v>-3.76</v>
      </c>
      <c r="D3796">
        <v>4.61</v>
      </c>
      <c r="E3796" t="s">
        <v>16</v>
      </c>
      <c r="F3796" t="s">
        <v>16</v>
      </c>
      <c r="H3796">
        <v>-0.21</v>
      </c>
      <c r="I3796">
        <v>-10.49</v>
      </c>
      <c r="J3796">
        <v>-3.56</v>
      </c>
      <c r="L3796">
        <v>-1.04</v>
      </c>
      <c r="M3796">
        <v>26.07</v>
      </c>
      <c r="N3796">
        <v>0.01</v>
      </c>
      <c r="O3796">
        <v>0.52</v>
      </c>
    </row>
    <row r="3797" spans="1:15">
      <c r="A3797" t="str">
        <f>"601702"</f>
        <v>601702</v>
      </c>
      <c r="B3797" t="s">
        <v>3838</v>
      </c>
      <c r="C3797">
        <v>-2.19</v>
      </c>
      <c r="D3797">
        <v>16.05</v>
      </c>
      <c r="E3797" t="s">
        <v>16</v>
      </c>
      <c r="F3797" t="s">
        <v>16</v>
      </c>
      <c r="H3797">
        <v>-0.11</v>
      </c>
      <c r="I3797">
        <v>-23.93</v>
      </c>
      <c r="J3797">
        <v>-3.08</v>
      </c>
      <c r="L3797">
        <v>-0.67</v>
      </c>
      <c r="M3797">
        <v>59.66</v>
      </c>
      <c r="N3797">
        <v>0.01</v>
      </c>
      <c r="O3797">
        <v>1.97</v>
      </c>
    </row>
    <row r="3798" spans="1:15">
      <c r="A3798" t="str">
        <f>"601717"</f>
        <v>601717</v>
      </c>
      <c r="B3798" t="s">
        <v>3839</v>
      </c>
      <c r="C3798">
        <v>-2.83</v>
      </c>
      <c r="D3798">
        <v>16.13</v>
      </c>
      <c r="E3798" t="s">
        <v>16</v>
      </c>
      <c r="F3798" t="s">
        <v>16</v>
      </c>
      <c r="H3798">
        <v>0.06</v>
      </c>
      <c r="I3798">
        <v>-6.11</v>
      </c>
      <c r="J3798">
        <v>-3.06</v>
      </c>
      <c r="L3798">
        <v>0</v>
      </c>
      <c r="M3798">
        <v>588.47</v>
      </c>
      <c r="N3798">
        <v>0.04</v>
      </c>
      <c r="O3798">
        <v>12.84</v>
      </c>
    </row>
    <row r="3799" spans="1:15">
      <c r="A3799" t="str">
        <f>"601718"</f>
        <v>601718</v>
      </c>
      <c r="B3799" t="s">
        <v>3840</v>
      </c>
      <c r="C3799">
        <v>-3.43</v>
      </c>
      <c r="D3799">
        <v>1.69</v>
      </c>
      <c r="E3799" t="s">
        <v>16</v>
      </c>
      <c r="F3799" t="s">
        <v>16</v>
      </c>
      <c r="H3799">
        <v>-0.58</v>
      </c>
      <c r="I3799">
        <v>-16.34</v>
      </c>
      <c r="J3799">
        <v>-4.52</v>
      </c>
      <c r="L3799">
        <v>0.57</v>
      </c>
      <c r="M3799">
        <v>157.5</v>
      </c>
      <c r="N3799">
        <v>0.04</v>
      </c>
      <c r="O3799">
        <v>1.38</v>
      </c>
    </row>
    <row r="3800" spans="1:15">
      <c r="A3800" t="str">
        <f>"601727"</f>
        <v>601727</v>
      </c>
      <c r="B3800" t="s">
        <v>3841</v>
      </c>
      <c r="C3800">
        <v>-1.48</v>
      </c>
      <c r="D3800">
        <v>7.31</v>
      </c>
      <c r="E3800" t="s">
        <v>16</v>
      </c>
      <c r="F3800" t="s">
        <v>16</v>
      </c>
      <c r="H3800">
        <v>-0.53</v>
      </c>
      <c r="I3800">
        <v>-8.17</v>
      </c>
      <c r="J3800">
        <v>-2.27</v>
      </c>
      <c r="L3800">
        <v>0.13</v>
      </c>
      <c r="M3800">
        <v>479.01</v>
      </c>
      <c r="N3800">
        <v>0.01</v>
      </c>
      <c r="O3800">
        <v>1.61</v>
      </c>
    </row>
    <row r="3801" spans="1:15">
      <c r="A3801" t="str">
        <f>"601728"</f>
        <v>601728</v>
      </c>
      <c r="B3801" t="s">
        <v>3842</v>
      </c>
      <c r="C3801">
        <v>-1.9</v>
      </c>
      <c r="D3801">
        <v>5.68</v>
      </c>
      <c r="E3801" t="s">
        <v>16</v>
      </c>
      <c r="F3801" t="s">
        <v>16</v>
      </c>
      <c r="H3801">
        <v>0.18</v>
      </c>
      <c r="I3801">
        <v>-4.05</v>
      </c>
      <c r="J3801">
        <v>-2.74</v>
      </c>
      <c r="L3801">
        <v>0.17</v>
      </c>
      <c r="M3801">
        <v>811.77</v>
      </c>
      <c r="N3801">
        <v>0.01</v>
      </c>
      <c r="O3801">
        <v>2.48</v>
      </c>
    </row>
    <row r="3802" spans="1:15">
      <c r="A3802" t="str">
        <f>"601766"</f>
        <v>601766</v>
      </c>
      <c r="B3802" t="s">
        <v>3843</v>
      </c>
      <c r="C3802">
        <v>-2.27</v>
      </c>
      <c r="D3802">
        <v>5.6</v>
      </c>
      <c r="E3802" t="s">
        <v>16</v>
      </c>
      <c r="F3802" t="s">
        <v>16</v>
      </c>
      <c r="H3802">
        <v>0</v>
      </c>
      <c r="I3802">
        <v>-0.71</v>
      </c>
      <c r="J3802">
        <v>-1.93</v>
      </c>
      <c r="L3802">
        <v>-0.52</v>
      </c>
      <c r="M3802">
        <v>465.46</v>
      </c>
      <c r="N3802">
        <v>0.01</v>
      </c>
      <c r="O3802">
        <v>1.04</v>
      </c>
    </row>
    <row r="3803" spans="1:15">
      <c r="A3803" t="str">
        <f>"601777"</f>
        <v>601777</v>
      </c>
      <c r="B3803" t="s">
        <v>3844</v>
      </c>
      <c r="C3803">
        <v>0.22</v>
      </c>
      <c r="D3803">
        <v>9.3</v>
      </c>
      <c r="E3803" t="s">
        <v>16</v>
      </c>
      <c r="F3803" t="s">
        <v>16</v>
      </c>
      <c r="H3803">
        <v>-0.2</v>
      </c>
      <c r="I3803">
        <v>-11.26</v>
      </c>
      <c r="J3803">
        <v>-2.72</v>
      </c>
      <c r="L3803">
        <v>0</v>
      </c>
      <c r="M3803">
        <v>98.83</v>
      </c>
      <c r="N3803">
        <v>0.01</v>
      </c>
      <c r="O3803">
        <v>0.85</v>
      </c>
    </row>
    <row r="3804" spans="1:15">
      <c r="A3804" t="str">
        <f>"601778"</f>
        <v>601778</v>
      </c>
      <c r="B3804" t="s">
        <v>3845</v>
      </c>
      <c r="C3804">
        <v>-2.99</v>
      </c>
      <c r="D3804">
        <v>4.87</v>
      </c>
      <c r="E3804" t="s">
        <v>16</v>
      </c>
      <c r="F3804" t="s">
        <v>16</v>
      </c>
      <c r="H3804">
        <v>0</v>
      </c>
      <c r="I3804">
        <v>-13.04</v>
      </c>
      <c r="J3804">
        <v>-4.32</v>
      </c>
      <c r="L3804">
        <v>-0.6</v>
      </c>
      <c r="M3804">
        <v>195.51</v>
      </c>
      <c r="N3804">
        <v>0.01</v>
      </c>
      <c r="O3804">
        <v>0.3</v>
      </c>
    </row>
    <row r="3805" spans="1:15">
      <c r="A3805" t="str">
        <f>"601788"</f>
        <v>601788</v>
      </c>
      <c r="B3805" t="s">
        <v>3846</v>
      </c>
      <c r="C3805">
        <v>-2.81</v>
      </c>
      <c r="D3805">
        <v>14.19</v>
      </c>
      <c r="E3805" t="s">
        <v>16</v>
      </c>
      <c r="F3805" t="s">
        <v>16</v>
      </c>
      <c r="H3805">
        <v>-0.34</v>
      </c>
      <c r="I3805">
        <v>1.79</v>
      </c>
      <c r="J3805">
        <v>-2.87</v>
      </c>
      <c r="L3805">
        <v>0</v>
      </c>
      <c r="M3805">
        <v>214.62</v>
      </c>
      <c r="N3805">
        <v>0.01</v>
      </c>
      <c r="O3805">
        <v>0.87</v>
      </c>
    </row>
    <row r="3806" spans="1:15">
      <c r="A3806" t="str">
        <f>"601789"</f>
        <v>601789</v>
      </c>
      <c r="B3806" t="s">
        <v>3847</v>
      </c>
      <c r="C3806">
        <v>-1.78</v>
      </c>
      <c r="D3806">
        <v>4.41</v>
      </c>
      <c r="E3806" t="s">
        <v>16</v>
      </c>
      <c r="F3806" t="s">
        <v>16</v>
      </c>
      <c r="H3806">
        <v>0</v>
      </c>
      <c r="I3806">
        <v>-7.93</v>
      </c>
      <c r="J3806">
        <v>-1.56</v>
      </c>
      <c r="L3806">
        <v>-0.67</v>
      </c>
      <c r="M3806">
        <v>47.68</v>
      </c>
      <c r="N3806">
        <v>0.01</v>
      </c>
      <c r="O3806">
        <v>1.53</v>
      </c>
    </row>
    <row r="3807" spans="1:15">
      <c r="A3807" t="str">
        <f>"601798"</f>
        <v>601798</v>
      </c>
      <c r="B3807" t="s">
        <v>3848</v>
      </c>
      <c r="C3807">
        <v>-0.84</v>
      </c>
      <c r="D3807">
        <v>7.11</v>
      </c>
      <c r="E3807" t="s">
        <v>16</v>
      </c>
      <c r="F3807" t="s">
        <v>16</v>
      </c>
      <c r="H3807">
        <v>0</v>
      </c>
      <c r="I3807">
        <v>-18.18</v>
      </c>
      <c r="J3807">
        <v>-1.66</v>
      </c>
      <c r="L3807">
        <v>-0.14</v>
      </c>
      <c r="M3807">
        <v>9.52</v>
      </c>
      <c r="N3807">
        <v>0.01</v>
      </c>
      <c r="O3807">
        <v>0.35</v>
      </c>
    </row>
    <row r="3808" spans="1:15">
      <c r="A3808" t="str">
        <f>"601799"</f>
        <v>601799</v>
      </c>
      <c r="B3808" t="s">
        <v>3849</v>
      </c>
      <c r="C3808">
        <v>-4</v>
      </c>
      <c r="D3808">
        <v>114.06</v>
      </c>
      <c r="E3808" t="s">
        <v>16</v>
      </c>
      <c r="F3808" t="s">
        <v>16</v>
      </c>
      <c r="H3808">
        <v>-0.22</v>
      </c>
      <c r="I3808">
        <v>-10.86</v>
      </c>
      <c r="J3808">
        <v>-4.16</v>
      </c>
      <c r="L3808">
        <v>0.14</v>
      </c>
      <c r="M3808">
        <v>76.15</v>
      </c>
      <c r="N3808">
        <v>0</v>
      </c>
      <c r="O3808">
        <v>1.31</v>
      </c>
    </row>
    <row r="3809" spans="1:15">
      <c r="A3809" t="str">
        <f>"601800"</f>
        <v>601800</v>
      </c>
      <c r="B3809" t="s">
        <v>3850</v>
      </c>
      <c r="C3809">
        <v>-4.38</v>
      </c>
      <c r="D3809">
        <v>6.11</v>
      </c>
      <c r="E3809" t="s">
        <v>16</v>
      </c>
      <c r="F3809" t="s">
        <v>16</v>
      </c>
      <c r="H3809">
        <v>0</v>
      </c>
      <c r="I3809">
        <v>-2.71</v>
      </c>
      <c r="J3809">
        <v>-3.02</v>
      </c>
      <c r="L3809">
        <v>-1.41</v>
      </c>
      <c r="M3809">
        <v>1028.85</v>
      </c>
      <c r="N3809">
        <v>0.07</v>
      </c>
      <c r="O3809">
        <v>14.53</v>
      </c>
    </row>
    <row r="3810" spans="1:15">
      <c r="A3810" t="str">
        <f>"601801"</f>
        <v>601801</v>
      </c>
      <c r="B3810" t="s">
        <v>3851</v>
      </c>
      <c r="C3810">
        <v>0</v>
      </c>
      <c r="D3810">
        <v>5.2</v>
      </c>
      <c r="E3810" t="s">
        <v>16</v>
      </c>
      <c r="F3810" t="s">
        <v>16</v>
      </c>
      <c r="H3810">
        <v>0</v>
      </c>
      <c r="I3810">
        <v>-6.31</v>
      </c>
      <c r="J3810">
        <v>-1.33</v>
      </c>
      <c r="L3810">
        <v>0</v>
      </c>
      <c r="M3810">
        <v>10.4</v>
      </c>
      <c r="N3810">
        <v>0</v>
      </c>
      <c r="O3810">
        <v>0.45</v>
      </c>
    </row>
    <row r="3811" spans="1:15">
      <c r="A3811" t="str">
        <f>"601808"</f>
        <v>601808</v>
      </c>
      <c r="B3811" t="s">
        <v>3852</v>
      </c>
      <c r="C3811">
        <v>-1.08</v>
      </c>
      <c r="D3811">
        <v>11.87</v>
      </c>
      <c r="E3811" t="s">
        <v>16</v>
      </c>
      <c r="F3811" t="s">
        <v>16</v>
      </c>
      <c r="H3811">
        <v>0.17</v>
      </c>
      <c r="I3811">
        <v>-6.31</v>
      </c>
      <c r="J3811">
        <v>-0.92</v>
      </c>
      <c r="L3811">
        <v>-0.42</v>
      </c>
      <c r="M3811">
        <v>73.85</v>
      </c>
      <c r="N3811">
        <v>0.01</v>
      </c>
      <c r="O3811">
        <v>0.37</v>
      </c>
    </row>
    <row r="3812" spans="1:15">
      <c r="A3812" t="str">
        <f>"601811"</f>
        <v>601811</v>
      </c>
      <c r="B3812" t="s">
        <v>3853</v>
      </c>
      <c r="C3812">
        <v>-1.71</v>
      </c>
      <c r="D3812">
        <v>11.52</v>
      </c>
      <c r="E3812" t="s">
        <v>16</v>
      </c>
      <c r="F3812" t="s">
        <v>16</v>
      </c>
      <c r="H3812">
        <v>-0.08</v>
      </c>
      <c r="I3812">
        <v>-7.02</v>
      </c>
      <c r="J3812">
        <v>-1.62</v>
      </c>
      <c r="L3812">
        <v>-0.6</v>
      </c>
      <c r="M3812">
        <v>4.89</v>
      </c>
      <c r="N3812">
        <v>0</v>
      </c>
      <c r="O3812">
        <v>0.24</v>
      </c>
    </row>
    <row r="3813" spans="1:15">
      <c r="A3813" t="str">
        <f>"601816"</f>
        <v>601816</v>
      </c>
      <c r="B3813" t="s">
        <v>3854</v>
      </c>
      <c r="C3813">
        <v>-2.96</v>
      </c>
      <c r="D3813">
        <v>4.59</v>
      </c>
      <c r="E3813" t="s">
        <v>16</v>
      </c>
      <c r="F3813" t="s">
        <v>16</v>
      </c>
      <c r="H3813">
        <v>-0.21</v>
      </c>
      <c r="I3813">
        <v>-7.27</v>
      </c>
      <c r="J3813">
        <v>-2.75</v>
      </c>
      <c r="L3813">
        <v>-0.42</v>
      </c>
      <c r="M3813">
        <v>404.17</v>
      </c>
      <c r="N3813">
        <v>0</v>
      </c>
      <c r="O3813">
        <v>0.61</v>
      </c>
    </row>
    <row r="3814" spans="1:15">
      <c r="A3814" t="str">
        <f>"601818"</f>
        <v>601818</v>
      </c>
      <c r="B3814" t="s">
        <v>3855</v>
      </c>
      <c r="C3814">
        <v>-2.22</v>
      </c>
      <c r="D3814">
        <v>3.08</v>
      </c>
      <c r="E3814" t="s">
        <v>16</v>
      </c>
      <c r="F3814" t="s">
        <v>16</v>
      </c>
      <c r="H3814">
        <v>0</v>
      </c>
      <c r="I3814">
        <v>-0.32</v>
      </c>
      <c r="J3814">
        <v>-2.22</v>
      </c>
      <c r="L3814">
        <v>0</v>
      </c>
      <c r="M3814">
        <v>158.73</v>
      </c>
      <c r="N3814">
        <v>0</v>
      </c>
      <c r="O3814">
        <v>1.48</v>
      </c>
    </row>
    <row r="3815" spans="1:15">
      <c r="A3815" t="str">
        <f>"601825"</f>
        <v>601825</v>
      </c>
      <c r="B3815" t="s">
        <v>3856</v>
      </c>
      <c r="C3815">
        <v>-2.26</v>
      </c>
      <c r="D3815">
        <v>8.2</v>
      </c>
      <c r="E3815" t="s">
        <v>16</v>
      </c>
      <c r="F3815" t="s">
        <v>16</v>
      </c>
      <c r="H3815">
        <v>-0.35</v>
      </c>
      <c r="I3815">
        <v>-4.54</v>
      </c>
      <c r="J3815">
        <v>-2.61</v>
      </c>
      <c r="L3815">
        <v>-0.12</v>
      </c>
      <c r="M3815">
        <v>30.17</v>
      </c>
      <c r="N3815">
        <v>0</v>
      </c>
      <c r="O3815">
        <v>0.47</v>
      </c>
    </row>
    <row r="3816" spans="1:15">
      <c r="A3816" t="str">
        <f>"601827"</f>
        <v>601827</v>
      </c>
      <c r="B3816" t="s">
        <v>3857</v>
      </c>
      <c r="C3816">
        <v>-2.2</v>
      </c>
      <c r="D3816">
        <v>7.55</v>
      </c>
      <c r="E3816" t="s">
        <v>16</v>
      </c>
      <c r="F3816" t="s">
        <v>16</v>
      </c>
      <c r="H3816">
        <v>-0.12</v>
      </c>
      <c r="I3816">
        <v>-4.31</v>
      </c>
      <c r="J3816">
        <v>-2.58</v>
      </c>
      <c r="L3816">
        <v>0.13</v>
      </c>
      <c r="M3816">
        <v>13.45</v>
      </c>
      <c r="N3816">
        <v>0</v>
      </c>
      <c r="O3816">
        <v>2</v>
      </c>
    </row>
    <row r="3817" spans="1:15">
      <c r="A3817" t="str">
        <f>"601828"</f>
        <v>601828</v>
      </c>
      <c r="B3817" t="s">
        <v>3858</v>
      </c>
      <c r="C3817">
        <v>-1.35</v>
      </c>
      <c r="D3817">
        <v>2.2</v>
      </c>
      <c r="E3817" t="s">
        <v>16</v>
      </c>
      <c r="F3817" t="s">
        <v>16</v>
      </c>
      <c r="H3817">
        <v>0.46</v>
      </c>
      <c r="I3817">
        <v>-7.95</v>
      </c>
      <c r="J3817">
        <v>-1.79</v>
      </c>
      <c r="L3817">
        <v>-0.45</v>
      </c>
      <c r="M3817">
        <v>15.34</v>
      </c>
      <c r="N3817">
        <v>0</v>
      </c>
      <c r="O3817">
        <v>0.29</v>
      </c>
    </row>
    <row r="3818" spans="1:15">
      <c r="A3818" t="str">
        <f>"601838"</f>
        <v>601838</v>
      </c>
      <c r="B3818" t="s">
        <v>3859</v>
      </c>
      <c r="C3818">
        <v>-2.96</v>
      </c>
      <c r="D3818">
        <v>18.66</v>
      </c>
      <c r="E3818" t="s">
        <v>16</v>
      </c>
      <c r="F3818" t="s">
        <v>16</v>
      </c>
      <c r="H3818">
        <v>-0.1</v>
      </c>
      <c r="I3818">
        <v>-0.9</v>
      </c>
      <c r="J3818">
        <v>-3.17</v>
      </c>
      <c r="L3818">
        <v>-0.42</v>
      </c>
      <c r="M3818">
        <v>66.64</v>
      </c>
      <c r="N3818">
        <v>0</v>
      </c>
      <c r="O3818">
        <v>0.47</v>
      </c>
    </row>
    <row r="3819" spans="1:15">
      <c r="A3819" t="str">
        <f>"601857"</f>
        <v>601857</v>
      </c>
      <c r="B3819" t="s">
        <v>3860</v>
      </c>
      <c r="C3819">
        <v>-1.94</v>
      </c>
      <c r="D3819">
        <v>9.58</v>
      </c>
      <c r="E3819" t="s">
        <v>16</v>
      </c>
      <c r="F3819" t="s">
        <v>16</v>
      </c>
      <c r="H3819">
        <v>-0.3</v>
      </c>
      <c r="I3819">
        <v>-10.05</v>
      </c>
      <c r="J3819">
        <v>-2.24</v>
      </c>
      <c r="L3819">
        <v>0.2</v>
      </c>
      <c r="M3819">
        <v>856.23</v>
      </c>
      <c r="N3819">
        <v>0.01</v>
      </c>
      <c r="O3819">
        <v>0.66</v>
      </c>
    </row>
    <row r="3820" spans="1:15">
      <c r="A3820" t="str">
        <f>"601858"</f>
        <v>601858</v>
      </c>
      <c r="B3820" t="s">
        <v>3861</v>
      </c>
      <c r="C3820">
        <v>-3.91</v>
      </c>
      <c r="D3820">
        <v>20.39</v>
      </c>
      <c r="E3820" t="s">
        <v>16</v>
      </c>
      <c r="F3820" t="s">
        <v>16</v>
      </c>
      <c r="H3820">
        <v>0.2</v>
      </c>
      <c r="I3820">
        <v>-13.23</v>
      </c>
      <c r="J3820">
        <v>-4.5</v>
      </c>
      <c r="L3820">
        <v>-0.09</v>
      </c>
      <c r="M3820">
        <v>27.77</v>
      </c>
      <c r="N3820">
        <v>0.01</v>
      </c>
      <c r="O3820">
        <v>1.31</v>
      </c>
    </row>
    <row r="3821" spans="1:15">
      <c r="A3821" t="str">
        <f>"601860"</f>
        <v>601860</v>
      </c>
      <c r="B3821" t="s">
        <v>3862</v>
      </c>
      <c r="C3821">
        <v>-2.3</v>
      </c>
      <c r="D3821">
        <v>2.55</v>
      </c>
      <c r="E3821" t="s">
        <v>16</v>
      </c>
      <c r="F3821" t="s">
        <v>16</v>
      </c>
      <c r="H3821">
        <v>0</v>
      </c>
      <c r="I3821">
        <v>0.39</v>
      </c>
      <c r="J3821">
        <v>-2.3</v>
      </c>
      <c r="L3821">
        <v>0</v>
      </c>
      <c r="M3821">
        <v>15.61</v>
      </c>
      <c r="N3821">
        <v>0</v>
      </c>
      <c r="O3821">
        <v>1.04</v>
      </c>
    </row>
    <row r="3822" spans="1:15">
      <c r="A3822" t="str">
        <f>"601865"</f>
        <v>601865</v>
      </c>
      <c r="B3822" t="s">
        <v>3863</v>
      </c>
      <c r="C3822">
        <v>-2.03</v>
      </c>
      <c r="D3822">
        <v>10.63</v>
      </c>
      <c r="E3822" t="s">
        <v>16</v>
      </c>
      <c r="F3822" t="s">
        <v>16</v>
      </c>
      <c r="H3822">
        <v>0</v>
      </c>
      <c r="I3822">
        <v>-3.97</v>
      </c>
      <c r="J3822">
        <v>-2.48</v>
      </c>
      <c r="L3822">
        <v>-0.28</v>
      </c>
      <c r="M3822">
        <v>78.45</v>
      </c>
      <c r="N3822">
        <v>0.01</v>
      </c>
      <c r="O3822">
        <v>1.63</v>
      </c>
    </row>
    <row r="3823" spans="1:15">
      <c r="A3823" t="str">
        <f>"601866"</f>
        <v>601866</v>
      </c>
      <c r="B3823" t="s">
        <v>3864</v>
      </c>
      <c r="C3823">
        <v>-2.07</v>
      </c>
      <c r="D3823">
        <v>2.36</v>
      </c>
      <c r="E3823" t="s">
        <v>16</v>
      </c>
      <c r="F3823" t="s">
        <v>16</v>
      </c>
      <c r="H3823">
        <v>-0.41</v>
      </c>
      <c r="I3823">
        <v>-4.84</v>
      </c>
      <c r="J3823">
        <v>-1.67</v>
      </c>
      <c r="L3823">
        <v>-0.41</v>
      </c>
      <c r="M3823">
        <v>115.06</v>
      </c>
      <c r="N3823">
        <v>0.01</v>
      </c>
      <c r="O3823">
        <v>0.92</v>
      </c>
    </row>
    <row r="3824" spans="1:15">
      <c r="A3824" t="str">
        <f>"601868"</f>
        <v>601868</v>
      </c>
      <c r="B3824" t="s">
        <v>3865</v>
      </c>
      <c r="C3824">
        <v>-4.5</v>
      </c>
      <c r="D3824">
        <v>2.76</v>
      </c>
      <c r="E3824" t="s">
        <v>16</v>
      </c>
      <c r="F3824" t="s">
        <v>16</v>
      </c>
      <c r="H3824">
        <v>0.36</v>
      </c>
      <c r="I3824">
        <v>-1.43</v>
      </c>
      <c r="J3824">
        <v>-2.13</v>
      </c>
      <c r="L3824">
        <v>-2.42</v>
      </c>
      <c r="M3824">
        <v>4810.78</v>
      </c>
      <c r="N3824">
        <v>0.12</v>
      </c>
      <c r="O3824">
        <v>10.12</v>
      </c>
    </row>
    <row r="3825" spans="1:15">
      <c r="A3825" t="str">
        <f>"601869"</f>
        <v>601869</v>
      </c>
      <c r="B3825" t="s">
        <v>3866</v>
      </c>
      <c r="C3825">
        <v>2.4</v>
      </c>
      <c r="D3825">
        <v>471.55</v>
      </c>
      <c r="E3825" t="s">
        <v>16</v>
      </c>
      <c r="F3825" t="s">
        <v>16</v>
      </c>
      <c r="H3825">
        <v>0</v>
      </c>
      <c r="I3825">
        <v>3.44</v>
      </c>
      <c r="J3825">
        <v>-2.29</v>
      </c>
      <c r="L3825">
        <v>-1.19</v>
      </c>
      <c r="M3825">
        <v>2998.45</v>
      </c>
      <c r="N3825">
        <v>0.06</v>
      </c>
      <c r="O3825">
        <v>0.69</v>
      </c>
    </row>
    <row r="3826" spans="1:15">
      <c r="A3826" t="str">
        <f>"601872"</f>
        <v>601872</v>
      </c>
      <c r="B3826" t="s">
        <v>3867</v>
      </c>
      <c r="C3826">
        <v>0.23</v>
      </c>
      <c r="D3826">
        <v>17.14</v>
      </c>
      <c r="E3826" t="s">
        <v>16</v>
      </c>
      <c r="F3826" t="s">
        <v>16</v>
      </c>
      <c r="H3826">
        <v>-0.22</v>
      </c>
      <c r="I3826">
        <v>14.57</v>
      </c>
      <c r="J3826">
        <v>-2</v>
      </c>
      <c r="K3826" t="s">
        <v>57</v>
      </c>
      <c r="L3826">
        <v>0.35</v>
      </c>
      <c r="M3826">
        <v>2516.17</v>
      </c>
      <c r="N3826">
        <v>0.06</v>
      </c>
      <c r="O3826">
        <v>0.65</v>
      </c>
    </row>
    <row r="3827" spans="1:15">
      <c r="A3827" t="str">
        <f>"601877"</f>
        <v>601877</v>
      </c>
      <c r="B3827" t="s">
        <v>3868</v>
      </c>
      <c r="C3827">
        <v>-0.04</v>
      </c>
      <c r="D3827">
        <v>27.04</v>
      </c>
      <c r="E3827" t="s">
        <v>16</v>
      </c>
      <c r="F3827" t="s">
        <v>16</v>
      </c>
      <c r="H3827">
        <v>-0.06</v>
      </c>
      <c r="I3827">
        <v>-1.6</v>
      </c>
      <c r="J3827">
        <v>-0.73</v>
      </c>
      <c r="L3827">
        <v>-0.55</v>
      </c>
      <c r="M3827">
        <v>502.49</v>
      </c>
      <c r="N3827">
        <v>0.02</v>
      </c>
      <c r="O3827">
        <v>1.47</v>
      </c>
    </row>
    <row r="3828" spans="1:15">
      <c r="A3828" t="str">
        <f>"601878"</f>
        <v>601878</v>
      </c>
      <c r="B3828" t="s">
        <v>3869</v>
      </c>
      <c r="C3828">
        <v>-2.98</v>
      </c>
      <c r="D3828">
        <v>9.11</v>
      </c>
      <c r="E3828" t="s">
        <v>16</v>
      </c>
      <c r="F3828" t="s">
        <v>16</v>
      </c>
      <c r="H3828">
        <v>-0.32</v>
      </c>
      <c r="I3828">
        <v>0</v>
      </c>
      <c r="J3828">
        <v>-2.88</v>
      </c>
      <c r="L3828">
        <v>-0.43</v>
      </c>
      <c r="M3828">
        <v>188.31</v>
      </c>
      <c r="N3828">
        <v>0.01</v>
      </c>
      <c r="O3828">
        <v>3.18</v>
      </c>
    </row>
    <row r="3829" spans="1:15">
      <c r="A3829" t="str">
        <f>"601880"</f>
        <v>601880</v>
      </c>
      <c r="B3829" t="s">
        <v>3870</v>
      </c>
      <c r="C3829">
        <v>-1.32</v>
      </c>
      <c r="D3829">
        <v>1.5</v>
      </c>
      <c r="E3829" t="s">
        <v>16</v>
      </c>
      <c r="F3829" t="s">
        <v>16</v>
      </c>
      <c r="H3829">
        <v>0</v>
      </c>
      <c r="I3829">
        <v>-5.06</v>
      </c>
      <c r="J3829">
        <v>-1.96</v>
      </c>
      <c r="L3829">
        <v>0</v>
      </c>
      <c r="M3829">
        <v>50.08</v>
      </c>
      <c r="N3829">
        <v>0.01</v>
      </c>
      <c r="O3829">
        <v>0.6</v>
      </c>
    </row>
    <row r="3830" spans="1:15">
      <c r="A3830" t="str">
        <f>"601881"</f>
        <v>601881</v>
      </c>
      <c r="B3830" t="s">
        <v>3871</v>
      </c>
      <c r="C3830">
        <v>-4.8</v>
      </c>
      <c r="D3830">
        <v>12.09</v>
      </c>
      <c r="E3830" t="s">
        <v>16</v>
      </c>
      <c r="F3830" t="s">
        <v>16</v>
      </c>
      <c r="H3830">
        <v>-0.32</v>
      </c>
      <c r="I3830">
        <v>0.25</v>
      </c>
      <c r="J3830">
        <v>-5.32</v>
      </c>
      <c r="L3830">
        <v>-0.24</v>
      </c>
      <c r="M3830">
        <v>55.11</v>
      </c>
      <c r="N3830">
        <v>0</v>
      </c>
      <c r="O3830">
        <v>0.36</v>
      </c>
    </row>
    <row r="3831" spans="1:15">
      <c r="A3831" t="str">
        <f>"601882"</f>
        <v>601882</v>
      </c>
      <c r="B3831" t="s">
        <v>3872</v>
      </c>
      <c r="C3831">
        <v>2.46</v>
      </c>
      <c r="D3831">
        <v>21.2</v>
      </c>
      <c r="E3831" t="s">
        <v>16</v>
      </c>
      <c r="F3831" t="s">
        <v>16</v>
      </c>
      <c r="H3831">
        <v>0.28</v>
      </c>
      <c r="I3831">
        <v>7.29</v>
      </c>
      <c r="J3831">
        <v>-0.47</v>
      </c>
      <c r="L3831">
        <v>0</v>
      </c>
      <c r="M3831">
        <v>34.97</v>
      </c>
      <c r="N3831">
        <v>0.01</v>
      </c>
      <c r="O3831">
        <v>0.58</v>
      </c>
    </row>
    <row r="3832" spans="1:15">
      <c r="A3832" t="str">
        <f>"601886"</f>
        <v>601886</v>
      </c>
      <c r="B3832" t="s">
        <v>3873</v>
      </c>
      <c r="C3832">
        <v>-4.14</v>
      </c>
      <c r="D3832">
        <v>9.04</v>
      </c>
      <c r="E3832" t="s">
        <v>16</v>
      </c>
      <c r="F3832" t="s">
        <v>16</v>
      </c>
      <c r="H3832">
        <v>0</v>
      </c>
      <c r="I3832">
        <v>7.24</v>
      </c>
      <c r="J3832">
        <v>-4.64</v>
      </c>
      <c r="L3832">
        <v>0.53</v>
      </c>
      <c r="M3832">
        <v>22.66</v>
      </c>
      <c r="N3832">
        <v>0.01</v>
      </c>
      <c r="O3832">
        <v>0.9</v>
      </c>
    </row>
    <row r="3833" spans="1:15">
      <c r="A3833" t="str">
        <f>"601888"</f>
        <v>601888</v>
      </c>
      <c r="B3833" t="s">
        <v>3874</v>
      </c>
      <c r="C3833">
        <v>-2.64</v>
      </c>
      <c r="D3833">
        <v>55.33</v>
      </c>
      <c r="E3833" t="s">
        <v>16</v>
      </c>
      <c r="F3833" t="s">
        <v>16</v>
      </c>
      <c r="H3833">
        <v>0.05</v>
      </c>
      <c r="I3833">
        <v>-0.47</v>
      </c>
      <c r="J3833">
        <v>-2.07</v>
      </c>
      <c r="L3833">
        <v>-1.11</v>
      </c>
      <c r="M3833">
        <v>1294.85</v>
      </c>
      <c r="N3833">
        <v>0.03</v>
      </c>
      <c r="O3833">
        <v>1.52</v>
      </c>
    </row>
    <row r="3834" spans="1:15">
      <c r="A3834" t="str">
        <f>"601890"</f>
        <v>601890</v>
      </c>
      <c r="B3834" t="s">
        <v>3875</v>
      </c>
      <c r="C3834">
        <v>-2.34</v>
      </c>
      <c r="D3834">
        <v>8.76</v>
      </c>
      <c r="E3834" t="s">
        <v>16</v>
      </c>
      <c r="F3834" t="s">
        <v>16</v>
      </c>
      <c r="H3834">
        <v>-0.22</v>
      </c>
      <c r="I3834">
        <v>-2.67</v>
      </c>
      <c r="J3834">
        <v>-1.68</v>
      </c>
      <c r="L3834">
        <v>-1.23</v>
      </c>
      <c r="M3834">
        <v>117.22</v>
      </c>
      <c r="N3834">
        <v>0.02</v>
      </c>
      <c r="O3834">
        <v>0.52</v>
      </c>
    </row>
    <row r="3835" spans="1:15">
      <c r="A3835" t="str">
        <f>"601898"</f>
        <v>601898</v>
      </c>
      <c r="B3835" t="s">
        <v>3876</v>
      </c>
      <c r="C3835">
        <v>-3.57</v>
      </c>
      <c r="D3835">
        <v>13.5</v>
      </c>
      <c r="E3835" t="s">
        <v>16</v>
      </c>
      <c r="F3835" t="s">
        <v>16</v>
      </c>
      <c r="H3835">
        <v>0.15</v>
      </c>
      <c r="I3835">
        <v>-21.51</v>
      </c>
      <c r="J3835">
        <v>-4.39</v>
      </c>
      <c r="L3835">
        <v>0.07</v>
      </c>
      <c r="M3835">
        <v>268.16</v>
      </c>
      <c r="N3835">
        <v>0.01</v>
      </c>
      <c r="O3835">
        <v>1.37</v>
      </c>
    </row>
    <row r="3836" spans="1:15">
      <c r="A3836" t="str">
        <f>"601899"</f>
        <v>601899</v>
      </c>
      <c r="B3836" t="s">
        <v>3877</v>
      </c>
      <c r="C3836">
        <v>-2.43</v>
      </c>
      <c r="D3836">
        <v>29.69</v>
      </c>
      <c r="E3836" t="s">
        <v>16</v>
      </c>
      <c r="F3836" t="s">
        <v>16</v>
      </c>
      <c r="H3836">
        <v>-0.23</v>
      </c>
      <c r="I3836">
        <v>-2.14</v>
      </c>
      <c r="J3836">
        <v>-4.16</v>
      </c>
      <c r="L3836">
        <v>-1.54</v>
      </c>
      <c r="M3836">
        <v>10964.16</v>
      </c>
      <c r="N3836">
        <v>0.03</v>
      </c>
      <c r="O3836">
        <v>1.76</v>
      </c>
    </row>
    <row r="3837" spans="1:15">
      <c r="A3837" t="str">
        <f>"601900"</f>
        <v>601900</v>
      </c>
      <c r="B3837" t="s">
        <v>3878</v>
      </c>
      <c r="C3837">
        <v>-1.64</v>
      </c>
      <c r="D3837">
        <v>11.42</v>
      </c>
      <c r="E3837" t="s">
        <v>16</v>
      </c>
      <c r="F3837" t="s">
        <v>16</v>
      </c>
      <c r="H3837">
        <v>0</v>
      </c>
      <c r="I3837">
        <v>-2.73</v>
      </c>
      <c r="J3837">
        <v>-1.72</v>
      </c>
      <c r="L3837">
        <v>0</v>
      </c>
      <c r="M3837">
        <v>7.55</v>
      </c>
      <c r="N3837">
        <v>0</v>
      </c>
      <c r="O3837">
        <v>0.74</v>
      </c>
    </row>
    <row r="3838" spans="1:15">
      <c r="A3838" t="str">
        <f>"601901"</f>
        <v>601901</v>
      </c>
      <c r="B3838" t="s">
        <v>3879</v>
      </c>
      <c r="C3838">
        <v>-2.35</v>
      </c>
      <c r="D3838">
        <v>6.66</v>
      </c>
      <c r="E3838" t="s">
        <v>16</v>
      </c>
      <c r="F3838" t="s">
        <v>16</v>
      </c>
      <c r="H3838">
        <v>-0.14</v>
      </c>
      <c r="I3838">
        <v>1.99</v>
      </c>
      <c r="J3838">
        <v>-2.35</v>
      </c>
      <c r="L3838">
        <v>-0.44</v>
      </c>
      <c r="M3838">
        <v>86.17</v>
      </c>
      <c r="N3838">
        <v>0</v>
      </c>
      <c r="O3838">
        <v>0.51</v>
      </c>
    </row>
    <row r="3839" spans="1:15">
      <c r="A3839" t="str">
        <f>"601908"</f>
        <v>601908</v>
      </c>
      <c r="B3839" t="s">
        <v>3880</v>
      </c>
      <c r="C3839">
        <v>-5.95</v>
      </c>
      <c r="D3839">
        <v>3.16</v>
      </c>
      <c r="E3839" t="s">
        <v>16</v>
      </c>
      <c r="F3839" t="s">
        <v>16</v>
      </c>
      <c r="H3839">
        <v>-0.31</v>
      </c>
      <c r="I3839">
        <v>-16.18</v>
      </c>
      <c r="J3839">
        <v>-5.95</v>
      </c>
      <c r="L3839">
        <v>-0.3</v>
      </c>
      <c r="M3839">
        <v>30.45</v>
      </c>
      <c r="N3839">
        <v>0.01</v>
      </c>
      <c r="O3839">
        <v>0.67</v>
      </c>
    </row>
    <row r="3840" spans="1:15">
      <c r="A3840" t="str">
        <f>"601916"</f>
        <v>601916</v>
      </c>
      <c r="B3840" t="s">
        <v>3881</v>
      </c>
      <c r="C3840">
        <v>-1.64</v>
      </c>
      <c r="D3840">
        <v>2.99</v>
      </c>
      <c r="E3840" t="s">
        <v>16</v>
      </c>
      <c r="F3840" t="s">
        <v>16</v>
      </c>
      <c r="H3840">
        <v>0</v>
      </c>
      <c r="I3840">
        <v>-2.29</v>
      </c>
      <c r="J3840">
        <v>-1.97</v>
      </c>
      <c r="L3840">
        <v>0</v>
      </c>
      <c r="M3840">
        <v>122.31</v>
      </c>
      <c r="N3840">
        <v>0</v>
      </c>
      <c r="O3840">
        <v>0.85</v>
      </c>
    </row>
    <row r="3841" spans="1:15">
      <c r="A3841" t="str">
        <f>"601918"</f>
        <v>601918</v>
      </c>
      <c r="B3841" t="s">
        <v>3882</v>
      </c>
      <c r="C3841">
        <v>-5.11</v>
      </c>
      <c r="D3841">
        <v>8.91</v>
      </c>
      <c r="E3841" t="s">
        <v>16</v>
      </c>
      <c r="F3841" t="s">
        <v>16</v>
      </c>
      <c r="H3841">
        <v>0.11</v>
      </c>
      <c r="I3841">
        <v>-20.59</v>
      </c>
      <c r="J3841">
        <v>-5.71</v>
      </c>
      <c r="L3841">
        <v>-0.11</v>
      </c>
      <c r="M3841">
        <v>65.66</v>
      </c>
      <c r="N3841">
        <v>0.01</v>
      </c>
      <c r="O3841">
        <v>0.45</v>
      </c>
    </row>
    <row r="3842" spans="1:15">
      <c r="A3842" t="str">
        <f>"601919"</f>
        <v>601919</v>
      </c>
      <c r="B3842" t="s">
        <v>3883</v>
      </c>
      <c r="C3842">
        <v>-1.71</v>
      </c>
      <c r="D3842">
        <v>13.8</v>
      </c>
      <c r="E3842" t="s">
        <v>16</v>
      </c>
      <c r="F3842" t="s">
        <v>16</v>
      </c>
      <c r="H3842">
        <v>-0.21</v>
      </c>
      <c r="I3842">
        <v>-4.63</v>
      </c>
      <c r="J3842">
        <v>-2.27</v>
      </c>
      <c r="L3842">
        <v>0.07</v>
      </c>
      <c r="M3842">
        <v>1851.17</v>
      </c>
      <c r="N3842">
        <v>0.03</v>
      </c>
      <c r="O3842">
        <v>2.1</v>
      </c>
    </row>
    <row r="3843" spans="1:15">
      <c r="A3843" t="str">
        <f>"601921"</f>
        <v>601921</v>
      </c>
      <c r="B3843" t="s">
        <v>3884</v>
      </c>
      <c r="C3843">
        <v>2.18</v>
      </c>
      <c r="D3843">
        <v>7.49</v>
      </c>
      <c r="E3843" t="s">
        <v>16</v>
      </c>
      <c r="F3843" t="s">
        <v>16</v>
      </c>
      <c r="H3843">
        <v>-0.12</v>
      </c>
      <c r="I3843">
        <v>2.74</v>
      </c>
      <c r="J3843">
        <v>-1.19</v>
      </c>
      <c r="L3843">
        <v>-0.41</v>
      </c>
      <c r="M3843">
        <v>8.91</v>
      </c>
      <c r="N3843">
        <v>0</v>
      </c>
      <c r="O3843">
        <v>0.66</v>
      </c>
    </row>
    <row r="3844" spans="1:15">
      <c r="A3844" t="str">
        <f>"601928"</f>
        <v>601928</v>
      </c>
      <c r="B3844" t="s">
        <v>3885</v>
      </c>
      <c r="C3844">
        <v>-0.44</v>
      </c>
      <c r="D3844">
        <v>9.13</v>
      </c>
      <c r="E3844" t="s">
        <v>16</v>
      </c>
      <c r="F3844" t="s">
        <v>16</v>
      </c>
      <c r="H3844">
        <v>0</v>
      </c>
      <c r="I3844">
        <v>3.63</v>
      </c>
      <c r="J3844">
        <v>-0.44</v>
      </c>
      <c r="L3844">
        <v>0</v>
      </c>
      <c r="M3844">
        <v>10.91</v>
      </c>
      <c r="N3844">
        <v>0</v>
      </c>
      <c r="O3844">
        <v>0.64</v>
      </c>
    </row>
    <row r="3845" spans="1:15">
      <c r="A3845" t="str">
        <f>"601929"</f>
        <v>601929</v>
      </c>
      <c r="B3845" t="s">
        <v>3886</v>
      </c>
      <c r="C3845">
        <v>-2.88</v>
      </c>
      <c r="D3845">
        <v>2.36</v>
      </c>
      <c r="E3845" t="s">
        <v>16</v>
      </c>
      <c r="F3845" t="s">
        <v>16</v>
      </c>
      <c r="H3845">
        <v>-0.41</v>
      </c>
      <c r="I3845">
        <v>-8.53</v>
      </c>
      <c r="J3845">
        <v>-3.28</v>
      </c>
      <c r="L3845">
        <v>0</v>
      </c>
      <c r="M3845">
        <v>120.5</v>
      </c>
      <c r="N3845">
        <v>0.02</v>
      </c>
      <c r="O3845">
        <v>1.02</v>
      </c>
    </row>
    <row r="3846" spans="1:15">
      <c r="A3846" t="str">
        <f>"601933"</f>
        <v>601933</v>
      </c>
      <c r="B3846" t="s">
        <v>3887</v>
      </c>
      <c r="C3846">
        <v>-2.21</v>
      </c>
      <c r="D3846">
        <v>3.1</v>
      </c>
      <c r="E3846" t="s">
        <v>16</v>
      </c>
      <c r="F3846" t="s">
        <v>16</v>
      </c>
      <c r="H3846">
        <v>-0.31</v>
      </c>
      <c r="I3846">
        <v>-9.09</v>
      </c>
      <c r="J3846">
        <v>-2.21</v>
      </c>
      <c r="L3846">
        <v>-0.32</v>
      </c>
      <c r="M3846">
        <v>95.37</v>
      </c>
      <c r="N3846">
        <v>0.01</v>
      </c>
      <c r="O3846">
        <v>0.72</v>
      </c>
    </row>
    <row r="3847" spans="1:15">
      <c r="A3847" t="str">
        <f>"601939"</f>
        <v>601939</v>
      </c>
      <c r="B3847" t="s">
        <v>3888</v>
      </c>
      <c r="C3847">
        <v>-2.07</v>
      </c>
      <c r="D3847">
        <v>9.92</v>
      </c>
      <c r="E3847" t="s">
        <v>16</v>
      </c>
      <c r="F3847" t="s">
        <v>16</v>
      </c>
      <c r="H3847">
        <v>-0.19</v>
      </c>
      <c r="I3847">
        <v>-1.1</v>
      </c>
      <c r="J3847">
        <v>-1.98</v>
      </c>
      <c r="L3847">
        <v>-0.49</v>
      </c>
      <c r="M3847">
        <v>525.17</v>
      </c>
      <c r="N3847">
        <v>0.01</v>
      </c>
      <c r="O3847">
        <v>0.57</v>
      </c>
    </row>
    <row r="3848" spans="1:15">
      <c r="A3848" t="str">
        <f>"601949"</f>
        <v>601949</v>
      </c>
      <c r="B3848" t="s">
        <v>3889</v>
      </c>
      <c r="C3848">
        <v>-1.77</v>
      </c>
      <c r="D3848">
        <v>4.99</v>
      </c>
      <c r="E3848" t="s">
        <v>16</v>
      </c>
      <c r="F3848" t="s">
        <v>16</v>
      </c>
      <c r="H3848">
        <v>0</v>
      </c>
      <c r="I3848">
        <v>-1.38</v>
      </c>
      <c r="J3848">
        <v>-2.54</v>
      </c>
      <c r="L3848">
        <v>-0.98</v>
      </c>
      <c r="M3848">
        <v>23.19</v>
      </c>
      <c r="N3848">
        <v>0.01</v>
      </c>
      <c r="O3848">
        <v>3.14</v>
      </c>
    </row>
    <row r="3849" spans="1:15">
      <c r="A3849" t="str">
        <f>"601952"</f>
        <v>601952</v>
      </c>
      <c r="B3849" t="s">
        <v>3890</v>
      </c>
      <c r="C3849">
        <v>-2.06</v>
      </c>
      <c r="D3849">
        <v>8.07</v>
      </c>
      <c r="E3849" t="s">
        <v>16</v>
      </c>
      <c r="F3849" t="s">
        <v>16</v>
      </c>
      <c r="H3849">
        <v>0</v>
      </c>
      <c r="I3849">
        <v>-7.45</v>
      </c>
      <c r="J3849">
        <v>-2.54</v>
      </c>
      <c r="L3849">
        <v>0</v>
      </c>
      <c r="M3849">
        <v>27.69</v>
      </c>
      <c r="N3849">
        <v>0.01</v>
      </c>
      <c r="O3849">
        <v>1.33</v>
      </c>
    </row>
    <row r="3850" spans="1:15">
      <c r="A3850" t="str">
        <f>"601956"</f>
        <v>601956</v>
      </c>
      <c r="B3850" t="s">
        <v>3891</v>
      </c>
      <c r="C3850">
        <v>-0.62</v>
      </c>
      <c r="D3850">
        <v>4.78</v>
      </c>
      <c r="E3850" t="s">
        <v>16</v>
      </c>
      <c r="F3850" t="s">
        <v>16</v>
      </c>
      <c r="H3850">
        <v>0</v>
      </c>
      <c r="I3850">
        <v>-6.64</v>
      </c>
      <c r="J3850">
        <v>-1.04</v>
      </c>
      <c r="L3850">
        <v>-0.21</v>
      </c>
      <c r="M3850">
        <v>7.82</v>
      </c>
      <c r="N3850">
        <v>0</v>
      </c>
      <c r="O3850">
        <v>0.62</v>
      </c>
    </row>
    <row r="3851" spans="1:15">
      <c r="A3851" t="str">
        <f>"601958"</f>
        <v>601958</v>
      </c>
      <c r="B3851" t="s">
        <v>3892</v>
      </c>
      <c r="C3851">
        <v>-2.7</v>
      </c>
      <c r="D3851">
        <v>27.7</v>
      </c>
      <c r="E3851" t="s">
        <v>16</v>
      </c>
      <c r="F3851" t="s">
        <v>16</v>
      </c>
      <c r="H3851">
        <v>-1.2</v>
      </c>
      <c r="I3851">
        <v>19.97</v>
      </c>
      <c r="J3851">
        <v>-5.23</v>
      </c>
      <c r="K3851" t="s">
        <v>120</v>
      </c>
      <c r="L3851">
        <v>0.11</v>
      </c>
      <c r="M3851">
        <v>5827.76</v>
      </c>
      <c r="N3851">
        <v>0.23</v>
      </c>
      <c r="O3851">
        <v>0.74</v>
      </c>
    </row>
    <row r="3852" spans="1:15">
      <c r="A3852" t="str">
        <f>"601963"</f>
        <v>601963</v>
      </c>
      <c r="B3852" t="s">
        <v>3893</v>
      </c>
      <c r="C3852">
        <v>-3.64</v>
      </c>
      <c r="D3852">
        <v>10.85</v>
      </c>
      <c r="E3852" t="s">
        <v>16</v>
      </c>
      <c r="F3852" t="s">
        <v>16</v>
      </c>
      <c r="H3852">
        <v>-0.08</v>
      </c>
      <c r="I3852">
        <v>-8.75</v>
      </c>
      <c r="J3852">
        <v>-3.56</v>
      </c>
      <c r="L3852">
        <v>-0.71</v>
      </c>
      <c r="M3852">
        <v>17.44</v>
      </c>
      <c r="N3852">
        <v>0</v>
      </c>
      <c r="O3852">
        <v>0.24</v>
      </c>
    </row>
    <row r="3853" spans="1:15">
      <c r="A3853" t="str">
        <f>"601965"</f>
        <v>601965</v>
      </c>
      <c r="B3853" t="s">
        <v>3894</v>
      </c>
      <c r="C3853">
        <v>-3.81</v>
      </c>
      <c r="D3853">
        <v>12.88</v>
      </c>
      <c r="E3853" t="s">
        <v>16</v>
      </c>
      <c r="F3853" t="s">
        <v>16</v>
      </c>
      <c r="H3853">
        <v>-0.15</v>
      </c>
      <c r="I3853">
        <v>-18.07</v>
      </c>
      <c r="J3853">
        <v>-3.59</v>
      </c>
      <c r="L3853">
        <v>-0.67</v>
      </c>
      <c r="M3853">
        <v>34.58</v>
      </c>
      <c r="N3853">
        <v>0.01</v>
      </c>
      <c r="O3853">
        <v>1.01</v>
      </c>
    </row>
    <row r="3854" spans="1:15">
      <c r="A3854" t="str">
        <f>"601966"</f>
        <v>601966</v>
      </c>
      <c r="B3854" t="s">
        <v>3895</v>
      </c>
      <c r="C3854">
        <v>-2.94</v>
      </c>
      <c r="D3854">
        <v>10.91</v>
      </c>
      <c r="E3854" t="s">
        <v>16</v>
      </c>
      <c r="F3854" t="s">
        <v>16</v>
      </c>
      <c r="H3854">
        <v>-0.08</v>
      </c>
      <c r="I3854">
        <v>-9.76</v>
      </c>
      <c r="J3854">
        <v>-2.76</v>
      </c>
      <c r="L3854">
        <v>-0.53</v>
      </c>
      <c r="M3854">
        <v>82.17</v>
      </c>
      <c r="N3854">
        <v>0.01</v>
      </c>
      <c r="O3854">
        <v>0.62</v>
      </c>
    </row>
    <row r="3855" spans="1:15">
      <c r="A3855" t="str">
        <f>"601968"</f>
        <v>601968</v>
      </c>
      <c r="B3855" t="s">
        <v>3896</v>
      </c>
      <c r="C3855">
        <v>0.48</v>
      </c>
      <c r="D3855">
        <v>4.16</v>
      </c>
      <c r="E3855" t="s">
        <v>16</v>
      </c>
      <c r="F3855" t="s">
        <v>16</v>
      </c>
      <c r="H3855">
        <v>0.24</v>
      </c>
      <c r="I3855">
        <v>-5.67</v>
      </c>
      <c r="J3855">
        <v>-0.48</v>
      </c>
      <c r="L3855">
        <v>-0.72</v>
      </c>
      <c r="M3855">
        <v>13.6</v>
      </c>
      <c r="N3855">
        <v>0.01</v>
      </c>
      <c r="O3855">
        <v>0.71</v>
      </c>
    </row>
    <row r="3856" spans="1:15">
      <c r="A3856" t="str">
        <f>"601969"</f>
        <v>601969</v>
      </c>
      <c r="B3856" t="s">
        <v>3897</v>
      </c>
      <c r="C3856">
        <v>-2</v>
      </c>
      <c r="D3856">
        <v>8.82</v>
      </c>
      <c r="E3856" t="s">
        <v>16</v>
      </c>
      <c r="F3856" t="s">
        <v>16</v>
      </c>
      <c r="H3856">
        <v>-0.22</v>
      </c>
      <c r="I3856">
        <v>-6.27</v>
      </c>
      <c r="J3856">
        <v>-2</v>
      </c>
      <c r="L3856">
        <v>-0.89</v>
      </c>
      <c r="M3856">
        <v>84.74</v>
      </c>
      <c r="N3856">
        <v>0.02</v>
      </c>
      <c r="O3856">
        <v>1.14</v>
      </c>
    </row>
    <row r="3857" spans="1:15">
      <c r="A3857" t="str">
        <f>"601975"</f>
        <v>601975</v>
      </c>
      <c r="B3857" t="s">
        <v>3898</v>
      </c>
      <c r="C3857">
        <v>-3.22</v>
      </c>
      <c r="D3857">
        <v>4.51</v>
      </c>
      <c r="E3857" t="s">
        <v>16</v>
      </c>
      <c r="F3857" t="s">
        <v>16</v>
      </c>
      <c r="H3857">
        <v>0</v>
      </c>
      <c r="I3857">
        <v>2.73</v>
      </c>
      <c r="J3857">
        <v>-4.04</v>
      </c>
      <c r="K3857" t="s">
        <v>57</v>
      </c>
      <c r="L3857">
        <v>-0.21</v>
      </c>
      <c r="M3857">
        <v>1863.88</v>
      </c>
      <c r="N3857">
        <v>0.12</v>
      </c>
      <c r="O3857">
        <v>0.75</v>
      </c>
    </row>
    <row r="3858" spans="1:15">
      <c r="A3858" t="str">
        <f>"601985"</f>
        <v>601985</v>
      </c>
      <c r="B3858" t="s">
        <v>3899</v>
      </c>
      <c r="C3858">
        <v>-1.94</v>
      </c>
      <c r="D3858">
        <v>9.12</v>
      </c>
      <c r="E3858" t="s">
        <v>16</v>
      </c>
      <c r="F3858" t="s">
        <v>16</v>
      </c>
      <c r="H3858">
        <v>-0.54</v>
      </c>
      <c r="I3858">
        <v>-1.41</v>
      </c>
      <c r="J3858">
        <v>-2.98</v>
      </c>
      <c r="L3858">
        <v>-0.43</v>
      </c>
      <c r="M3858">
        <v>506.34</v>
      </c>
      <c r="N3858">
        <v>0.01</v>
      </c>
      <c r="O3858">
        <v>0.67</v>
      </c>
    </row>
    <row r="3859" spans="1:15">
      <c r="A3859" t="str">
        <f>"601988"</f>
        <v>601988</v>
      </c>
      <c r="B3859" t="s">
        <v>3900</v>
      </c>
      <c r="C3859">
        <v>-2.69</v>
      </c>
      <c r="D3859">
        <v>5.78</v>
      </c>
      <c r="E3859" t="s">
        <v>16</v>
      </c>
      <c r="F3859" t="s">
        <v>16</v>
      </c>
      <c r="H3859">
        <v>-0.16</v>
      </c>
      <c r="I3859">
        <v>-2.03</v>
      </c>
      <c r="J3859">
        <v>-2.69</v>
      </c>
      <c r="L3859">
        <v>-0.34</v>
      </c>
      <c r="M3859">
        <v>1415.65</v>
      </c>
      <c r="N3859">
        <v>0.02</v>
      </c>
      <c r="O3859">
        <v>2.18</v>
      </c>
    </row>
    <row r="3860" spans="1:15">
      <c r="A3860" t="str">
        <f>"601990"</f>
        <v>601990</v>
      </c>
      <c r="B3860" t="s">
        <v>3901</v>
      </c>
      <c r="C3860">
        <v>-2.69</v>
      </c>
      <c r="D3860">
        <v>6.5</v>
      </c>
      <c r="E3860" t="s">
        <v>16</v>
      </c>
      <c r="F3860" t="s">
        <v>16</v>
      </c>
      <c r="H3860">
        <v>-0.14</v>
      </c>
      <c r="I3860">
        <v>-0.46</v>
      </c>
      <c r="J3860">
        <v>-2.99</v>
      </c>
      <c r="L3860">
        <v>0.3</v>
      </c>
      <c r="M3860">
        <v>24.72</v>
      </c>
      <c r="N3860">
        <v>0</v>
      </c>
      <c r="O3860">
        <v>1.82</v>
      </c>
    </row>
    <row r="3861" spans="1:15">
      <c r="A3861" t="str">
        <f>"601991"</f>
        <v>601991</v>
      </c>
      <c r="B3861" t="s">
        <v>3902</v>
      </c>
      <c r="C3861">
        <v>-9.97</v>
      </c>
      <c r="D3861">
        <v>8.22</v>
      </c>
      <c r="E3861">
        <v>7372.27</v>
      </c>
      <c r="F3861" t="s">
        <v>16</v>
      </c>
      <c r="H3861">
        <v>-0.23</v>
      </c>
      <c r="I3861">
        <v>-6.7</v>
      </c>
      <c r="J3861">
        <v>-11.61</v>
      </c>
      <c r="L3861">
        <v>-2.08</v>
      </c>
      <c r="M3861">
        <v>5439.99</v>
      </c>
      <c r="N3861">
        <v>0.18</v>
      </c>
      <c r="O3861">
        <v>0.46</v>
      </c>
    </row>
    <row r="3862" spans="1:15">
      <c r="A3862" t="str">
        <f>"601992"</f>
        <v>601992</v>
      </c>
      <c r="B3862" t="s">
        <v>3903</v>
      </c>
      <c r="C3862">
        <v>-2</v>
      </c>
      <c r="D3862">
        <v>1.47</v>
      </c>
      <c r="E3862" t="s">
        <v>16</v>
      </c>
      <c r="F3862" t="s">
        <v>16</v>
      </c>
      <c r="H3862">
        <v>0</v>
      </c>
      <c r="I3862">
        <v>-6.37</v>
      </c>
      <c r="J3862">
        <v>-2</v>
      </c>
      <c r="L3862">
        <v>-0.67</v>
      </c>
      <c r="M3862">
        <v>41.08</v>
      </c>
      <c r="N3862">
        <v>0.01</v>
      </c>
      <c r="O3862">
        <v>4.82</v>
      </c>
    </row>
    <row r="3863" spans="1:15">
      <c r="A3863" t="str">
        <f>"601995"</f>
        <v>601995</v>
      </c>
      <c r="B3863" t="s">
        <v>3904</v>
      </c>
      <c r="C3863">
        <v>-2.31</v>
      </c>
      <c r="D3863">
        <v>33.4</v>
      </c>
      <c r="E3863" t="s">
        <v>16</v>
      </c>
      <c r="F3863" t="s">
        <v>16</v>
      </c>
      <c r="H3863">
        <v>-0.2</v>
      </c>
      <c r="I3863">
        <v>1.12</v>
      </c>
      <c r="J3863">
        <v>-2.77</v>
      </c>
      <c r="L3863">
        <v>-0.7</v>
      </c>
      <c r="M3863">
        <v>171.79</v>
      </c>
      <c r="N3863">
        <v>0.01</v>
      </c>
      <c r="O3863">
        <v>0.63</v>
      </c>
    </row>
    <row r="3864" spans="1:15">
      <c r="A3864" t="str">
        <f>"601996"</f>
        <v>601996</v>
      </c>
      <c r="B3864" t="s">
        <v>3905</v>
      </c>
      <c r="C3864">
        <v>-2.77</v>
      </c>
      <c r="D3864">
        <v>2.46</v>
      </c>
      <c r="E3864" t="s">
        <v>16</v>
      </c>
      <c r="F3864" t="s">
        <v>16</v>
      </c>
      <c r="H3864">
        <v>-1.19</v>
      </c>
      <c r="I3864">
        <v>-7.87</v>
      </c>
      <c r="J3864">
        <v>-4.28</v>
      </c>
      <c r="L3864">
        <v>0.79</v>
      </c>
      <c r="M3864">
        <v>48.76</v>
      </c>
      <c r="N3864">
        <v>0.03</v>
      </c>
      <c r="O3864">
        <v>0.93</v>
      </c>
    </row>
    <row r="3865" spans="1:15">
      <c r="A3865" t="str">
        <f>"601997"</f>
        <v>601997</v>
      </c>
      <c r="B3865" t="s">
        <v>3906</v>
      </c>
      <c r="C3865">
        <v>-2.69</v>
      </c>
      <c r="D3865">
        <v>5.43</v>
      </c>
      <c r="E3865" t="s">
        <v>16</v>
      </c>
      <c r="F3865" t="s">
        <v>16</v>
      </c>
      <c r="H3865">
        <v>-0.36</v>
      </c>
      <c r="I3865">
        <v>-2.51</v>
      </c>
      <c r="J3865">
        <v>-3.04</v>
      </c>
      <c r="L3865">
        <v>0.18</v>
      </c>
      <c r="M3865">
        <v>47.74</v>
      </c>
      <c r="N3865">
        <v>0</v>
      </c>
      <c r="O3865">
        <v>0.73</v>
      </c>
    </row>
    <row r="3866" spans="1:15">
      <c r="A3866" t="str">
        <f>"601998"</f>
        <v>601998</v>
      </c>
      <c r="B3866" t="s">
        <v>3907</v>
      </c>
      <c r="C3866">
        <v>-3.84</v>
      </c>
      <c r="D3866">
        <v>7.27</v>
      </c>
      <c r="E3866" t="s">
        <v>16</v>
      </c>
      <c r="F3866" t="s">
        <v>16</v>
      </c>
      <c r="H3866">
        <v>-0.26</v>
      </c>
      <c r="I3866">
        <v>1.82</v>
      </c>
      <c r="J3866">
        <v>-3.71</v>
      </c>
      <c r="L3866">
        <v>-0.53</v>
      </c>
      <c r="M3866">
        <v>105.05</v>
      </c>
      <c r="N3866">
        <v>0</v>
      </c>
      <c r="O3866">
        <v>0.4</v>
      </c>
    </row>
    <row r="3867" spans="1:15">
      <c r="A3867" t="str">
        <f>"601999"</f>
        <v>601999</v>
      </c>
      <c r="B3867" t="s">
        <v>3908</v>
      </c>
      <c r="C3867">
        <v>-1.24</v>
      </c>
      <c r="D3867">
        <v>5.57</v>
      </c>
      <c r="E3867" t="s">
        <v>16</v>
      </c>
      <c r="F3867" t="s">
        <v>16</v>
      </c>
      <c r="H3867">
        <v>-0.35</v>
      </c>
      <c r="I3867">
        <v>-5.43</v>
      </c>
      <c r="J3867">
        <v>-2.45</v>
      </c>
      <c r="L3867">
        <v>-0.53</v>
      </c>
      <c r="M3867">
        <v>9.48</v>
      </c>
      <c r="N3867">
        <v>0.01</v>
      </c>
      <c r="O3867">
        <v>0.67</v>
      </c>
    </row>
    <row r="3868" spans="1:15">
      <c r="A3868" t="str">
        <f>"603000"</f>
        <v>603000</v>
      </c>
      <c r="B3868" t="s">
        <v>3909</v>
      </c>
      <c r="C3868">
        <v>-0.43</v>
      </c>
      <c r="D3868">
        <v>16.1</v>
      </c>
      <c r="E3868" t="s">
        <v>16</v>
      </c>
      <c r="F3868" t="s">
        <v>16</v>
      </c>
      <c r="H3868">
        <v>-0.3</v>
      </c>
      <c r="I3868">
        <v>-3.77</v>
      </c>
      <c r="J3868">
        <v>-1.47</v>
      </c>
      <c r="L3868">
        <v>0</v>
      </c>
      <c r="M3868">
        <v>72.12</v>
      </c>
      <c r="N3868">
        <v>0.01</v>
      </c>
      <c r="O3868">
        <v>0.96</v>
      </c>
    </row>
    <row r="3869" spans="1:15">
      <c r="A3869" t="str">
        <f>"603001"</f>
        <v>603001</v>
      </c>
      <c r="B3869" t="s">
        <v>3910</v>
      </c>
      <c r="C3869">
        <v>9.99</v>
      </c>
      <c r="D3869">
        <v>11.89</v>
      </c>
      <c r="E3869">
        <v>398.32</v>
      </c>
      <c r="F3869">
        <v>1</v>
      </c>
      <c r="H3869">
        <v>0</v>
      </c>
      <c r="I3869">
        <v>10.4</v>
      </c>
      <c r="J3869">
        <v>0</v>
      </c>
      <c r="K3869" t="s">
        <v>140</v>
      </c>
      <c r="L3869">
        <v>0.65</v>
      </c>
      <c r="M3869">
        <v>78.34</v>
      </c>
      <c r="N3869">
        <v>0.04</v>
      </c>
      <c r="O3869">
        <v>0.42</v>
      </c>
    </row>
    <row r="3870" spans="1:15">
      <c r="A3870" t="str">
        <f>"603002"</f>
        <v>603002</v>
      </c>
      <c r="B3870" t="s">
        <v>3911</v>
      </c>
      <c r="C3870">
        <v>1.64</v>
      </c>
      <c r="D3870">
        <v>23.58</v>
      </c>
      <c r="E3870" t="s">
        <v>16</v>
      </c>
      <c r="F3870" t="s">
        <v>16</v>
      </c>
      <c r="H3870">
        <v>0.21</v>
      </c>
      <c r="I3870">
        <v>34.36</v>
      </c>
      <c r="J3870">
        <v>-4.34</v>
      </c>
      <c r="K3870" t="s">
        <v>3912</v>
      </c>
      <c r="L3870">
        <v>1.9</v>
      </c>
      <c r="M3870">
        <v>6861.16</v>
      </c>
      <c r="N3870">
        <v>0.55</v>
      </c>
      <c r="O3870">
        <v>1.09</v>
      </c>
    </row>
    <row r="3871" spans="1:15">
      <c r="A3871" t="str">
        <f>"603004"</f>
        <v>603004</v>
      </c>
      <c r="B3871" t="s">
        <v>3913</v>
      </c>
      <c r="C3871">
        <v>0.89</v>
      </c>
      <c r="D3871">
        <v>21.49</v>
      </c>
      <c r="E3871" t="s">
        <v>16</v>
      </c>
      <c r="F3871" t="s">
        <v>16</v>
      </c>
      <c r="H3871">
        <v>0</v>
      </c>
      <c r="I3871">
        <v>15.85</v>
      </c>
      <c r="J3871">
        <v>-0.88</v>
      </c>
      <c r="L3871">
        <v>-0.7</v>
      </c>
      <c r="M3871">
        <v>39.55</v>
      </c>
      <c r="N3871">
        <v>0.03</v>
      </c>
      <c r="O3871">
        <v>1.07</v>
      </c>
    </row>
    <row r="3872" spans="1:15">
      <c r="A3872" t="str">
        <f>"603005"</f>
        <v>603005</v>
      </c>
      <c r="B3872" t="s">
        <v>3914</v>
      </c>
      <c r="C3872">
        <v>-0.89</v>
      </c>
      <c r="D3872">
        <v>45.71</v>
      </c>
      <c r="E3872" t="s">
        <v>16</v>
      </c>
      <c r="F3872" t="s">
        <v>16</v>
      </c>
      <c r="H3872">
        <v>0.4</v>
      </c>
      <c r="I3872">
        <v>2.53</v>
      </c>
      <c r="J3872">
        <v>-3.85</v>
      </c>
      <c r="L3872">
        <v>-1.13</v>
      </c>
      <c r="M3872">
        <v>1896.96</v>
      </c>
      <c r="N3872">
        <v>0.08</v>
      </c>
      <c r="O3872">
        <v>0.69</v>
      </c>
    </row>
    <row r="3873" spans="1:15">
      <c r="A3873" t="str">
        <f>"603006"</f>
        <v>603006</v>
      </c>
      <c r="B3873" t="s">
        <v>3915</v>
      </c>
      <c r="C3873">
        <v>3.21</v>
      </c>
      <c r="D3873">
        <v>12.85</v>
      </c>
      <c r="E3873" t="s">
        <v>16</v>
      </c>
      <c r="F3873" t="s">
        <v>16</v>
      </c>
      <c r="H3873">
        <v>-0.22</v>
      </c>
      <c r="I3873">
        <v>-2.5</v>
      </c>
      <c r="J3873">
        <v>-0.77</v>
      </c>
      <c r="L3873">
        <v>0.16</v>
      </c>
      <c r="M3873">
        <v>13.59</v>
      </c>
      <c r="N3873">
        <v>0.02</v>
      </c>
      <c r="O3873">
        <v>0.68</v>
      </c>
    </row>
    <row r="3874" spans="1:15">
      <c r="A3874" t="str">
        <f>"603007"</f>
        <v>603007</v>
      </c>
      <c r="B3874" t="s">
        <v>3916</v>
      </c>
      <c r="C3874">
        <v>2.64</v>
      </c>
      <c r="D3874">
        <v>5.83</v>
      </c>
      <c r="E3874" t="s">
        <v>16</v>
      </c>
      <c r="F3874" t="s">
        <v>16</v>
      </c>
      <c r="H3874">
        <v>0.69</v>
      </c>
      <c r="I3874">
        <v>-3.48</v>
      </c>
      <c r="J3874">
        <v>-3.64</v>
      </c>
      <c r="K3874" t="s">
        <v>57</v>
      </c>
      <c r="L3874">
        <v>0.7</v>
      </c>
      <c r="M3874">
        <v>365.28</v>
      </c>
      <c r="N3874">
        <v>0.09</v>
      </c>
      <c r="O3874">
        <v>0.5</v>
      </c>
    </row>
    <row r="3875" spans="1:15">
      <c r="A3875" t="str">
        <f>"603008"</f>
        <v>603008</v>
      </c>
      <c r="B3875" t="s">
        <v>3917</v>
      </c>
      <c r="C3875">
        <v>-4.97</v>
      </c>
      <c r="D3875">
        <v>8.79</v>
      </c>
      <c r="E3875">
        <v>139.32</v>
      </c>
      <c r="F3875" t="s">
        <v>16</v>
      </c>
      <c r="H3875">
        <v>0</v>
      </c>
      <c r="I3875">
        <v>-2.01</v>
      </c>
      <c r="J3875">
        <v>-5.28</v>
      </c>
      <c r="L3875">
        <v>0.11</v>
      </c>
      <c r="M3875">
        <v>31.3</v>
      </c>
      <c r="N3875">
        <v>0.01</v>
      </c>
      <c r="O3875">
        <v>0.69</v>
      </c>
    </row>
    <row r="3876" spans="1:15">
      <c r="A3876" t="str">
        <f>"603009"</f>
        <v>603009</v>
      </c>
      <c r="B3876" t="s">
        <v>3918</v>
      </c>
      <c r="C3876">
        <v>-0.47</v>
      </c>
      <c r="D3876">
        <v>42.67</v>
      </c>
      <c r="E3876" t="s">
        <v>16</v>
      </c>
      <c r="F3876" t="s">
        <v>16</v>
      </c>
      <c r="H3876">
        <v>0.05</v>
      </c>
      <c r="I3876">
        <v>-15.42</v>
      </c>
      <c r="J3876">
        <v>-3.44</v>
      </c>
      <c r="L3876">
        <v>0.02</v>
      </c>
      <c r="M3876">
        <v>70.75</v>
      </c>
      <c r="N3876">
        <v>0.01</v>
      </c>
      <c r="O3876">
        <v>1.59</v>
      </c>
    </row>
    <row r="3877" spans="1:15">
      <c r="A3877" t="str">
        <f>"603010"</f>
        <v>603010</v>
      </c>
      <c r="B3877" t="s">
        <v>3919</v>
      </c>
      <c r="C3877">
        <v>-3.58</v>
      </c>
      <c r="D3877">
        <v>13.73</v>
      </c>
      <c r="E3877" t="s">
        <v>16</v>
      </c>
      <c r="F3877" t="s">
        <v>16</v>
      </c>
      <c r="H3877">
        <v>0</v>
      </c>
      <c r="I3877">
        <v>-1.01</v>
      </c>
      <c r="J3877">
        <v>-3.24</v>
      </c>
      <c r="L3877">
        <v>-0.49</v>
      </c>
      <c r="M3877">
        <v>58.38</v>
      </c>
      <c r="N3877">
        <v>0.01</v>
      </c>
      <c r="O3877">
        <v>1.21</v>
      </c>
    </row>
    <row r="3878" spans="1:15">
      <c r="A3878" t="str">
        <f>"603011"</f>
        <v>603011</v>
      </c>
      <c r="B3878" t="s">
        <v>3920</v>
      </c>
      <c r="C3878">
        <v>10.01</v>
      </c>
      <c r="D3878">
        <v>39.55</v>
      </c>
      <c r="E3878">
        <v>6351.73</v>
      </c>
      <c r="F3878">
        <v>1</v>
      </c>
      <c r="H3878">
        <v>0</v>
      </c>
      <c r="I3878">
        <v>22.6</v>
      </c>
      <c r="J3878">
        <v>0</v>
      </c>
      <c r="K3878" t="s">
        <v>3212</v>
      </c>
      <c r="L3878">
        <v>1.14</v>
      </c>
      <c r="M3878">
        <v>2321.59</v>
      </c>
      <c r="N3878">
        <v>0.18</v>
      </c>
      <c r="O3878">
        <v>1.06</v>
      </c>
    </row>
    <row r="3879" spans="1:15">
      <c r="A3879" t="str">
        <f>"603012"</f>
        <v>603012</v>
      </c>
      <c r="B3879" t="s">
        <v>3921</v>
      </c>
      <c r="C3879">
        <v>0.95</v>
      </c>
      <c r="D3879">
        <v>7.46</v>
      </c>
      <c r="E3879" t="s">
        <v>16</v>
      </c>
      <c r="F3879" t="s">
        <v>16</v>
      </c>
      <c r="H3879">
        <v>0.13</v>
      </c>
      <c r="I3879">
        <v>-15.03</v>
      </c>
      <c r="J3879">
        <v>-1.32</v>
      </c>
      <c r="L3879">
        <v>-0.14</v>
      </c>
      <c r="M3879">
        <v>1.11</v>
      </c>
      <c r="N3879">
        <v>0</v>
      </c>
      <c r="O3879">
        <v>0.11</v>
      </c>
    </row>
    <row r="3880" spans="1:15">
      <c r="A3880" t="str">
        <f>"603013"</f>
        <v>603013</v>
      </c>
      <c r="B3880" t="s">
        <v>3922</v>
      </c>
      <c r="C3880">
        <v>1.9</v>
      </c>
      <c r="D3880">
        <v>17.68</v>
      </c>
      <c r="E3880" t="s">
        <v>16</v>
      </c>
      <c r="F3880" t="s">
        <v>16</v>
      </c>
      <c r="H3880">
        <v>0</v>
      </c>
      <c r="I3880">
        <v>-4.43</v>
      </c>
      <c r="J3880">
        <v>-0.67</v>
      </c>
      <c r="L3880">
        <v>0.86</v>
      </c>
      <c r="M3880">
        <v>3.15</v>
      </c>
      <c r="N3880">
        <v>0</v>
      </c>
      <c r="O3880">
        <v>0.2</v>
      </c>
    </row>
    <row r="3881" spans="1:15">
      <c r="A3881" t="str">
        <f>"603014"</f>
        <v>603014</v>
      </c>
      <c r="B3881" t="s">
        <v>3923</v>
      </c>
      <c r="C3881">
        <v>-1.11</v>
      </c>
      <c r="D3881">
        <v>37.41</v>
      </c>
      <c r="E3881" t="s">
        <v>16</v>
      </c>
      <c r="F3881" t="s">
        <v>16</v>
      </c>
      <c r="H3881">
        <v>-0.12</v>
      </c>
      <c r="I3881">
        <v>16.18</v>
      </c>
      <c r="J3881">
        <v>-2.53</v>
      </c>
      <c r="L3881">
        <v>-0.82</v>
      </c>
      <c r="M3881">
        <v>462.25</v>
      </c>
      <c r="N3881">
        <v>0.12</v>
      </c>
      <c r="O3881">
        <v>1.14</v>
      </c>
    </row>
    <row r="3882" spans="1:15">
      <c r="A3882" t="str">
        <f>"603015"</f>
        <v>603015</v>
      </c>
      <c r="B3882" t="s">
        <v>3924</v>
      </c>
      <c r="C3882">
        <v>-0.16</v>
      </c>
      <c r="D3882">
        <v>12.25</v>
      </c>
      <c r="E3882" t="s">
        <v>16</v>
      </c>
      <c r="F3882" t="s">
        <v>16</v>
      </c>
      <c r="H3882">
        <v>-0.15</v>
      </c>
      <c r="I3882">
        <v>-1.61</v>
      </c>
      <c r="J3882">
        <v>-3.24</v>
      </c>
      <c r="L3882">
        <v>-0.57</v>
      </c>
      <c r="M3882">
        <v>86.99</v>
      </c>
      <c r="N3882">
        <v>0.04</v>
      </c>
      <c r="O3882">
        <v>1.91</v>
      </c>
    </row>
    <row r="3883" spans="1:15">
      <c r="A3883" t="str">
        <f>"603016"</f>
        <v>603016</v>
      </c>
      <c r="B3883" t="s">
        <v>3925</v>
      </c>
      <c r="C3883">
        <v>1.95</v>
      </c>
      <c r="D3883">
        <v>37.06</v>
      </c>
      <c r="E3883" t="s">
        <v>16</v>
      </c>
      <c r="F3883" t="s">
        <v>16</v>
      </c>
      <c r="H3883">
        <v>-0.18</v>
      </c>
      <c r="I3883">
        <v>-10.27</v>
      </c>
      <c r="J3883">
        <v>-2.32</v>
      </c>
      <c r="L3883">
        <v>-0.33</v>
      </c>
      <c r="M3883">
        <v>14.85</v>
      </c>
      <c r="N3883">
        <v>0.01</v>
      </c>
      <c r="O3883">
        <v>0.17</v>
      </c>
    </row>
    <row r="3884" spans="1:15">
      <c r="A3884" t="str">
        <f>"603017"</f>
        <v>603017</v>
      </c>
      <c r="B3884" t="s">
        <v>3926</v>
      </c>
      <c r="C3884">
        <v>-1.81</v>
      </c>
      <c r="D3884">
        <v>10.87</v>
      </c>
      <c r="E3884" t="s">
        <v>16</v>
      </c>
      <c r="F3884" t="s">
        <v>16</v>
      </c>
      <c r="H3884">
        <v>0</v>
      </c>
      <c r="I3884">
        <v>-4.31</v>
      </c>
      <c r="J3884">
        <v>-1.81</v>
      </c>
      <c r="L3884">
        <v>-1.36</v>
      </c>
      <c r="M3884">
        <v>43.46</v>
      </c>
      <c r="N3884">
        <v>0.03</v>
      </c>
      <c r="O3884">
        <v>2.13</v>
      </c>
    </row>
    <row r="3885" spans="1:15">
      <c r="A3885" t="str">
        <f>"603018"</f>
        <v>603018</v>
      </c>
      <c r="B3885" t="s">
        <v>3927</v>
      </c>
      <c r="C3885">
        <v>-2.53</v>
      </c>
      <c r="D3885">
        <v>6.55</v>
      </c>
      <c r="E3885" t="s">
        <v>16</v>
      </c>
      <c r="F3885" t="s">
        <v>16</v>
      </c>
      <c r="H3885">
        <v>-0.14</v>
      </c>
      <c r="I3885">
        <v>-5.62</v>
      </c>
      <c r="J3885">
        <v>-2.82</v>
      </c>
      <c r="L3885">
        <v>-0.3</v>
      </c>
      <c r="M3885">
        <v>15.48</v>
      </c>
      <c r="N3885">
        <v>0</v>
      </c>
      <c r="O3885">
        <v>2.85</v>
      </c>
    </row>
    <row r="3886" spans="1:15">
      <c r="A3886" t="str">
        <f>"603019"</f>
        <v>603019</v>
      </c>
      <c r="B3886" t="s">
        <v>3928</v>
      </c>
      <c r="C3886">
        <v>2.51</v>
      </c>
      <c r="D3886">
        <v>88.68</v>
      </c>
      <c r="E3886" t="s">
        <v>16</v>
      </c>
      <c r="F3886" t="s">
        <v>16</v>
      </c>
      <c r="H3886">
        <v>0</v>
      </c>
      <c r="I3886">
        <v>5.07</v>
      </c>
      <c r="J3886">
        <v>-1.07</v>
      </c>
      <c r="L3886">
        <v>0</v>
      </c>
      <c r="M3886">
        <v>2302.9</v>
      </c>
      <c r="N3886">
        <v>0.02</v>
      </c>
      <c r="O3886">
        <v>1.08</v>
      </c>
    </row>
    <row r="3887" spans="1:15">
      <c r="A3887" t="str">
        <f>"603020"</f>
        <v>603020</v>
      </c>
      <c r="B3887" t="s">
        <v>3929</v>
      </c>
      <c r="C3887">
        <v>0.5</v>
      </c>
      <c r="D3887">
        <v>13.96</v>
      </c>
      <c r="E3887" t="s">
        <v>16</v>
      </c>
      <c r="F3887" t="s">
        <v>16</v>
      </c>
      <c r="H3887">
        <v>-0.49</v>
      </c>
      <c r="I3887">
        <v>43.92</v>
      </c>
      <c r="J3887">
        <v>-4.25</v>
      </c>
      <c r="K3887" t="s">
        <v>3930</v>
      </c>
      <c r="L3887">
        <v>-0.86</v>
      </c>
      <c r="M3887">
        <v>721.69</v>
      </c>
      <c r="N3887">
        <v>0.22</v>
      </c>
      <c r="O3887">
        <v>2.06</v>
      </c>
    </row>
    <row r="3888" spans="1:15">
      <c r="A3888" t="str">
        <f>"603021"</f>
        <v>603021</v>
      </c>
      <c r="B3888" t="s">
        <v>3931</v>
      </c>
      <c r="C3888">
        <v>-3.54</v>
      </c>
      <c r="D3888">
        <v>5.73</v>
      </c>
      <c r="E3888" t="s">
        <v>16</v>
      </c>
      <c r="F3888" t="s">
        <v>16</v>
      </c>
      <c r="H3888">
        <v>0.53</v>
      </c>
      <c r="I3888">
        <v>-22.78</v>
      </c>
      <c r="J3888">
        <v>-4.66</v>
      </c>
      <c r="L3888">
        <v>1.18</v>
      </c>
      <c r="M3888">
        <v>161.79</v>
      </c>
      <c r="N3888">
        <v>0.14</v>
      </c>
      <c r="O3888">
        <v>2.12</v>
      </c>
    </row>
    <row r="3889" spans="1:15">
      <c r="A3889" t="str">
        <f>"603022"</f>
        <v>603022</v>
      </c>
      <c r="B3889" t="s">
        <v>3932</v>
      </c>
      <c r="C3889">
        <v>-0.9</v>
      </c>
      <c r="D3889">
        <v>8.84</v>
      </c>
      <c r="E3889" t="s">
        <v>16</v>
      </c>
      <c r="F3889" t="s">
        <v>16</v>
      </c>
      <c r="H3889">
        <v>0.34</v>
      </c>
      <c r="I3889">
        <v>-7.63</v>
      </c>
      <c r="J3889">
        <v>-1.34</v>
      </c>
      <c r="L3889">
        <v>-0.45</v>
      </c>
      <c r="M3889">
        <v>30.55</v>
      </c>
      <c r="N3889">
        <v>0.03</v>
      </c>
      <c r="O3889">
        <v>6.62</v>
      </c>
    </row>
    <row r="3890" spans="1:15">
      <c r="A3890" t="str">
        <f>"603023"</f>
        <v>603023</v>
      </c>
      <c r="B3890" t="s">
        <v>3933</v>
      </c>
      <c r="C3890">
        <v>-0.52</v>
      </c>
      <c r="D3890">
        <v>3.82</v>
      </c>
      <c r="E3890" t="s">
        <v>16</v>
      </c>
      <c r="F3890" t="s">
        <v>16</v>
      </c>
      <c r="H3890">
        <v>0</v>
      </c>
      <c r="I3890">
        <v>-9.91</v>
      </c>
      <c r="J3890">
        <v>-6.6</v>
      </c>
      <c r="L3890">
        <v>0.26</v>
      </c>
      <c r="M3890">
        <v>11.63</v>
      </c>
      <c r="N3890">
        <v>0.01</v>
      </c>
      <c r="O3890">
        <v>1.35</v>
      </c>
    </row>
    <row r="3891" spans="1:15">
      <c r="A3891" t="str">
        <f>"603025"</f>
        <v>603025</v>
      </c>
      <c r="B3891" t="s">
        <v>3934</v>
      </c>
      <c r="C3891">
        <v>0.07</v>
      </c>
      <c r="D3891">
        <v>14.93</v>
      </c>
      <c r="E3891" t="s">
        <v>16</v>
      </c>
      <c r="F3891" t="s">
        <v>16</v>
      </c>
      <c r="H3891">
        <v>0.07</v>
      </c>
      <c r="I3891">
        <v>-1.26</v>
      </c>
      <c r="J3891">
        <v>-1.13</v>
      </c>
      <c r="L3891">
        <v>-0.34</v>
      </c>
      <c r="M3891">
        <v>83.12</v>
      </c>
      <c r="N3891">
        <v>0.03</v>
      </c>
      <c r="O3891">
        <v>0.88</v>
      </c>
    </row>
    <row r="3892" spans="1:15">
      <c r="A3892" t="str">
        <f>"603026"</f>
        <v>603026</v>
      </c>
      <c r="B3892" t="s">
        <v>3935</v>
      </c>
      <c r="C3892">
        <v>-3.92</v>
      </c>
      <c r="D3892">
        <v>92.7</v>
      </c>
      <c r="E3892" t="s">
        <v>16</v>
      </c>
      <c r="F3892" t="s">
        <v>16</v>
      </c>
      <c r="H3892">
        <v>0</v>
      </c>
      <c r="I3892">
        <v>10.36</v>
      </c>
      <c r="J3892">
        <v>-4.79</v>
      </c>
      <c r="L3892">
        <v>-1.53</v>
      </c>
      <c r="M3892">
        <v>1358.5</v>
      </c>
      <c r="N3892">
        <v>0.09</v>
      </c>
      <c r="O3892">
        <v>2.09</v>
      </c>
    </row>
    <row r="3893" spans="1:15">
      <c r="A3893" t="str">
        <f>"603027"</f>
        <v>603027</v>
      </c>
      <c r="B3893" t="s">
        <v>3936</v>
      </c>
      <c r="C3893">
        <v>-2.33</v>
      </c>
      <c r="D3893">
        <v>7.56</v>
      </c>
      <c r="E3893" t="s">
        <v>16</v>
      </c>
      <c r="F3893" t="s">
        <v>16</v>
      </c>
      <c r="H3893">
        <v>-0.12</v>
      </c>
      <c r="I3893">
        <v>-1.18</v>
      </c>
      <c r="J3893">
        <v>-2.45</v>
      </c>
      <c r="L3893">
        <v>0.13</v>
      </c>
      <c r="M3893">
        <v>9.22</v>
      </c>
      <c r="N3893">
        <v>0</v>
      </c>
      <c r="O3893">
        <v>0.46</v>
      </c>
    </row>
    <row r="3894" spans="1:15">
      <c r="A3894" t="str">
        <f>"603028"</f>
        <v>603028</v>
      </c>
      <c r="B3894" t="s">
        <v>3937</v>
      </c>
      <c r="C3894">
        <v>2.05</v>
      </c>
      <c r="D3894">
        <v>7.45</v>
      </c>
      <c r="E3894" t="s">
        <v>16</v>
      </c>
      <c r="F3894" t="s">
        <v>16</v>
      </c>
      <c r="H3894">
        <v>0</v>
      </c>
      <c r="I3894">
        <v>-3.62</v>
      </c>
      <c r="J3894">
        <v>-0.67</v>
      </c>
      <c r="L3894">
        <v>0.14</v>
      </c>
      <c r="M3894">
        <v>9.58</v>
      </c>
      <c r="N3894">
        <v>0.01</v>
      </c>
      <c r="O3894">
        <v>1.49</v>
      </c>
    </row>
    <row r="3895" spans="1:15">
      <c r="A3895" t="str">
        <f>"603029"</f>
        <v>603029</v>
      </c>
      <c r="B3895" t="s">
        <v>3938</v>
      </c>
      <c r="C3895">
        <v>-0.33</v>
      </c>
      <c r="D3895">
        <v>14.94</v>
      </c>
      <c r="E3895" t="s">
        <v>16</v>
      </c>
      <c r="F3895" t="s">
        <v>16</v>
      </c>
      <c r="H3895">
        <v>0.13</v>
      </c>
      <c r="I3895">
        <v>-6.57</v>
      </c>
      <c r="J3895">
        <v>-1.19</v>
      </c>
      <c r="L3895">
        <v>-0.13</v>
      </c>
      <c r="M3895">
        <v>30.84</v>
      </c>
      <c r="N3895">
        <v>0.04</v>
      </c>
      <c r="O3895">
        <v>3.12</v>
      </c>
    </row>
    <row r="3896" spans="1:15">
      <c r="A3896" t="str">
        <f>"603030"</f>
        <v>603030</v>
      </c>
      <c r="B3896" t="s">
        <v>3939</v>
      </c>
      <c r="C3896">
        <v>-2.2</v>
      </c>
      <c r="D3896">
        <v>2.22</v>
      </c>
      <c r="E3896" t="s">
        <v>16</v>
      </c>
      <c r="F3896" t="s">
        <v>16</v>
      </c>
      <c r="H3896">
        <v>-0.44</v>
      </c>
      <c r="I3896">
        <v>-10.84</v>
      </c>
      <c r="J3896">
        <v>-2.63</v>
      </c>
      <c r="L3896">
        <v>-1.76</v>
      </c>
      <c r="M3896">
        <v>35.19</v>
      </c>
      <c r="N3896">
        <v>0.02</v>
      </c>
      <c r="O3896">
        <v>1.05</v>
      </c>
    </row>
    <row r="3897" spans="1:15">
      <c r="A3897" t="str">
        <f>"603031"</f>
        <v>603031</v>
      </c>
      <c r="B3897" t="s">
        <v>3940</v>
      </c>
      <c r="C3897">
        <v>-5.37</v>
      </c>
      <c r="D3897">
        <v>50.01</v>
      </c>
      <c r="E3897" t="s">
        <v>16</v>
      </c>
      <c r="F3897" t="s">
        <v>16</v>
      </c>
      <c r="H3897">
        <v>0.04</v>
      </c>
      <c r="I3897">
        <v>-17.95</v>
      </c>
      <c r="J3897">
        <v>-5.5</v>
      </c>
      <c r="L3897">
        <v>-0.28</v>
      </c>
      <c r="M3897">
        <v>213.44</v>
      </c>
      <c r="N3897">
        <v>0.02</v>
      </c>
      <c r="O3897">
        <v>0.59</v>
      </c>
    </row>
    <row r="3898" spans="1:15">
      <c r="A3898" t="str">
        <f>"603032"</f>
        <v>603032</v>
      </c>
      <c r="B3898" t="s">
        <v>3941</v>
      </c>
      <c r="C3898">
        <v>-2.68</v>
      </c>
      <c r="D3898">
        <v>25.03</v>
      </c>
      <c r="E3898" t="s">
        <v>16</v>
      </c>
      <c r="F3898" t="s">
        <v>16</v>
      </c>
      <c r="H3898">
        <v>-0.47</v>
      </c>
      <c r="I3898">
        <v>3.6</v>
      </c>
      <c r="J3898">
        <v>-3.55</v>
      </c>
      <c r="L3898">
        <v>-1.24</v>
      </c>
      <c r="M3898">
        <v>230.38</v>
      </c>
      <c r="N3898">
        <v>0.08</v>
      </c>
      <c r="O3898">
        <v>0.79</v>
      </c>
    </row>
    <row r="3899" spans="1:15">
      <c r="A3899" t="str">
        <f>"603033"</f>
        <v>603033</v>
      </c>
      <c r="B3899" t="s">
        <v>3942</v>
      </c>
      <c r="C3899">
        <v>-2.79</v>
      </c>
      <c r="D3899">
        <v>9.06</v>
      </c>
      <c r="E3899" t="s">
        <v>16</v>
      </c>
      <c r="F3899" t="s">
        <v>16</v>
      </c>
      <c r="H3899">
        <v>-0.21</v>
      </c>
      <c r="I3899">
        <v>-10.03</v>
      </c>
      <c r="J3899">
        <v>-4.13</v>
      </c>
      <c r="L3899">
        <v>0</v>
      </c>
      <c r="M3899">
        <v>36.53</v>
      </c>
      <c r="N3899">
        <v>0.01</v>
      </c>
      <c r="O3899">
        <v>3.27</v>
      </c>
    </row>
    <row r="3900" spans="1:15">
      <c r="A3900" t="str">
        <f>"603035"</f>
        <v>603035</v>
      </c>
      <c r="B3900" t="s">
        <v>3943</v>
      </c>
      <c r="C3900">
        <v>-0.18</v>
      </c>
      <c r="D3900">
        <v>11.06</v>
      </c>
      <c r="E3900" t="s">
        <v>16</v>
      </c>
      <c r="F3900" t="s">
        <v>16</v>
      </c>
      <c r="H3900">
        <v>-0.08</v>
      </c>
      <c r="I3900">
        <v>-7.37</v>
      </c>
      <c r="J3900">
        <v>-1.25</v>
      </c>
      <c r="L3900">
        <v>-0.18</v>
      </c>
      <c r="M3900">
        <v>4.87</v>
      </c>
      <c r="N3900">
        <v>0</v>
      </c>
      <c r="O3900">
        <v>0.66</v>
      </c>
    </row>
    <row r="3901" spans="1:15">
      <c r="A3901" t="str">
        <f>"603036"</f>
        <v>603036</v>
      </c>
      <c r="B3901" t="s">
        <v>3944</v>
      </c>
      <c r="C3901">
        <v>3.78</v>
      </c>
      <c r="D3901">
        <v>15.11</v>
      </c>
      <c r="E3901" t="s">
        <v>16</v>
      </c>
      <c r="F3901" t="s">
        <v>16</v>
      </c>
      <c r="H3901">
        <v>0.07</v>
      </c>
      <c r="I3901">
        <v>11.76</v>
      </c>
      <c r="J3901">
        <v>-1.18</v>
      </c>
      <c r="L3901">
        <v>0</v>
      </c>
      <c r="M3901">
        <v>51.4</v>
      </c>
      <c r="N3901">
        <v>0.02</v>
      </c>
      <c r="O3901">
        <v>0.89</v>
      </c>
    </row>
    <row r="3902" spans="1:15">
      <c r="A3902" t="str">
        <f>"603037"</f>
        <v>603037</v>
      </c>
      <c r="B3902" t="s">
        <v>3945</v>
      </c>
      <c r="C3902">
        <v>-0.44</v>
      </c>
      <c r="D3902">
        <v>11.35</v>
      </c>
      <c r="E3902" t="s">
        <v>16</v>
      </c>
      <c r="F3902" t="s">
        <v>16</v>
      </c>
      <c r="H3902">
        <v>0.8</v>
      </c>
      <c r="I3902">
        <v>-10.63</v>
      </c>
      <c r="J3902">
        <v>-0.87</v>
      </c>
      <c r="L3902">
        <v>0.44</v>
      </c>
      <c r="M3902">
        <v>28.28</v>
      </c>
      <c r="N3902">
        <v>0.01</v>
      </c>
      <c r="O3902">
        <v>10.74</v>
      </c>
    </row>
    <row r="3903" spans="1:15">
      <c r="A3903" t="str">
        <f>"603038"</f>
        <v>603038</v>
      </c>
      <c r="B3903" t="s">
        <v>3946</v>
      </c>
      <c r="C3903">
        <v>-5.48</v>
      </c>
      <c r="D3903">
        <v>15.18</v>
      </c>
      <c r="E3903" t="s">
        <v>16</v>
      </c>
      <c r="F3903" t="s">
        <v>16</v>
      </c>
      <c r="H3903">
        <v>-0.58</v>
      </c>
      <c r="I3903">
        <v>-1.36</v>
      </c>
      <c r="J3903">
        <v>-8</v>
      </c>
      <c r="L3903">
        <v>1.06</v>
      </c>
      <c r="M3903">
        <v>55.51</v>
      </c>
      <c r="N3903">
        <v>0.02</v>
      </c>
      <c r="O3903">
        <v>1.83</v>
      </c>
    </row>
    <row r="3904" spans="1:15">
      <c r="A3904" t="str">
        <f>"603039"</f>
        <v>603039</v>
      </c>
      <c r="B3904" t="s">
        <v>3947</v>
      </c>
      <c r="C3904">
        <v>-3.42</v>
      </c>
      <c r="D3904">
        <v>39.77</v>
      </c>
      <c r="E3904" t="s">
        <v>16</v>
      </c>
      <c r="F3904" t="s">
        <v>16</v>
      </c>
      <c r="H3904">
        <v>-0.22</v>
      </c>
      <c r="I3904">
        <v>6.17</v>
      </c>
      <c r="J3904">
        <v>-3.89</v>
      </c>
      <c r="L3904">
        <v>-1.65</v>
      </c>
      <c r="M3904">
        <v>674.08</v>
      </c>
      <c r="N3904">
        <v>0.11</v>
      </c>
      <c r="O3904">
        <v>0.49</v>
      </c>
    </row>
    <row r="3905" spans="1:15">
      <c r="A3905" t="str">
        <f>"603040"</f>
        <v>603040</v>
      </c>
      <c r="B3905" t="s">
        <v>3948</v>
      </c>
      <c r="C3905">
        <v>1</v>
      </c>
      <c r="D3905">
        <v>97.38</v>
      </c>
      <c r="E3905" t="s">
        <v>16</v>
      </c>
      <c r="F3905" t="s">
        <v>16</v>
      </c>
      <c r="H3905">
        <v>0.03</v>
      </c>
      <c r="I3905">
        <v>9.06</v>
      </c>
      <c r="J3905">
        <v>-1.02</v>
      </c>
      <c r="L3905">
        <v>-0.23</v>
      </c>
      <c r="M3905">
        <v>54.83</v>
      </c>
      <c r="N3905">
        <v>0.01</v>
      </c>
      <c r="O3905">
        <v>1.9</v>
      </c>
    </row>
    <row r="3906" spans="1:15">
      <c r="A3906" t="str">
        <f>"603041"</f>
        <v>603041</v>
      </c>
      <c r="B3906" t="s">
        <v>3949</v>
      </c>
      <c r="C3906">
        <v>-1.41</v>
      </c>
      <c r="D3906">
        <v>11.22</v>
      </c>
      <c r="E3906" t="s">
        <v>16</v>
      </c>
      <c r="F3906" t="s">
        <v>16</v>
      </c>
      <c r="H3906">
        <v>0.18</v>
      </c>
      <c r="I3906">
        <v>-6.5</v>
      </c>
      <c r="J3906">
        <v>-1.32</v>
      </c>
      <c r="L3906">
        <v>-0.62</v>
      </c>
      <c r="M3906">
        <v>3.05</v>
      </c>
      <c r="N3906">
        <v>0</v>
      </c>
      <c r="O3906">
        <v>0.32</v>
      </c>
    </row>
    <row r="3907" spans="1:15">
      <c r="A3907" t="str">
        <f>"603042"</f>
        <v>603042</v>
      </c>
      <c r="B3907" t="s">
        <v>3950</v>
      </c>
      <c r="C3907">
        <v>1.57</v>
      </c>
      <c r="D3907">
        <v>20.73</v>
      </c>
      <c r="E3907" t="s">
        <v>16</v>
      </c>
      <c r="F3907" t="s">
        <v>16</v>
      </c>
      <c r="H3907">
        <v>0.1</v>
      </c>
      <c r="I3907">
        <v>1.02</v>
      </c>
      <c r="J3907">
        <v>-2.22</v>
      </c>
      <c r="K3907" t="s">
        <v>26</v>
      </c>
      <c r="L3907">
        <v>1.42</v>
      </c>
      <c r="M3907">
        <v>264.34</v>
      </c>
      <c r="N3907">
        <v>0.1</v>
      </c>
      <c r="O3907">
        <v>0.71</v>
      </c>
    </row>
    <row r="3908" spans="1:15">
      <c r="A3908" t="str">
        <f>"603043"</f>
        <v>603043</v>
      </c>
      <c r="B3908" t="s">
        <v>3951</v>
      </c>
      <c r="C3908">
        <v>-1.19</v>
      </c>
      <c r="D3908">
        <v>13.23</v>
      </c>
      <c r="E3908" t="s">
        <v>16</v>
      </c>
      <c r="F3908" t="s">
        <v>16</v>
      </c>
      <c r="H3908">
        <v>-0.07</v>
      </c>
      <c r="I3908">
        <v>-8.63</v>
      </c>
      <c r="J3908">
        <v>-1.27</v>
      </c>
      <c r="L3908">
        <v>0</v>
      </c>
      <c r="M3908">
        <v>13.52</v>
      </c>
      <c r="N3908">
        <v>0.01</v>
      </c>
      <c r="O3908">
        <v>0.95</v>
      </c>
    </row>
    <row r="3909" spans="1:15">
      <c r="A3909" t="str">
        <f>"603045"</f>
        <v>603045</v>
      </c>
      <c r="B3909" t="s">
        <v>3952</v>
      </c>
      <c r="C3909">
        <v>1.79</v>
      </c>
      <c r="D3909">
        <v>86</v>
      </c>
      <c r="E3909" t="s">
        <v>16</v>
      </c>
      <c r="F3909" t="s">
        <v>16</v>
      </c>
      <c r="H3909">
        <v>-0.08</v>
      </c>
      <c r="I3909">
        <v>11.17</v>
      </c>
      <c r="J3909">
        <v>-2.38</v>
      </c>
      <c r="K3909" t="s">
        <v>220</v>
      </c>
      <c r="L3909">
        <v>0</v>
      </c>
      <c r="M3909">
        <v>1020.64</v>
      </c>
      <c r="N3909">
        <v>0.12</v>
      </c>
      <c r="O3909">
        <v>0.22</v>
      </c>
    </row>
    <row r="3910" spans="1:15">
      <c r="A3910" t="str">
        <f>"603048"</f>
        <v>603048</v>
      </c>
      <c r="B3910" t="s">
        <v>3953</v>
      </c>
      <c r="C3910">
        <v>-0.61</v>
      </c>
      <c r="D3910">
        <v>19.53</v>
      </c>
      <c r="E3910" t="s">
        <v>16</v>
      </c>
      <c r="F3910" t="s">
        <v>16</v>
      </c>
      <c r="H3910">
        <v>-0.19</v>
      </c>
      <c r="I3910">
        <v>3.33</v>
      </c>
      <c r="J3910">
        <v>-0.81</v>
      </c>
      <c r="L3910">
        <v>-0.1</v>
      </c>
      <c r="M3910">
        <v>2.36</v>
      </c>
      <c r="N3910">
        <v>0</v>
      </c>
      <c r="O3910">
        <v>0.15</v>
      </c>
    </row>
    <row r="3911" spans="1:15">
      <c r="A3911" t="str">
        <f>"603049"</f>
        <v>603049</v>
      </c>
      <c r="B3911" t="s">
        <v>3954</v>
      </c>
      <c r="C3911">
        <v>-2.18</v>
      </c>
      <c r="D3911">
        <v>44.37</v>
      </c>
      <c r="E3911" t="s">
        <v>16</v>
      </c>
      <c r="F3911" t="s">
        <v>16</v>
      </c>
      <c r="H3911">
        <v>0.07</v>
      </c>
      <c r="I3911">
        <v>-0.38</v>
      </c>
      <c r="J3911">
        <v>-2.83</v>
      </c>
      <c r="L3911">
        <v>0.66</v>
      </c>
      <c r="M3911">
        <v>114.61</v>
      </c>
      <c r="N3911">
        <v>0.02</v>
      </c>
      <c r="O3911">
        <v>4.4</v>
      </c>
    </row>
    <row r="3912" spans="1:15">
      <c r="A3912" t="str">
        <f>"603050"</f>
        <v>603050</v>
      </c>
      <c r="B3912" t="s">
        <v>3955</v>
      </c>
      <c r="C3912">
        <v>-1.07</v>
      </c>
      <c r="D3912">
        <v>19.34</v>
      </c>
      <c r="E3912" t="s">
        <v>16</v>
      </c>
      <c r="F3912" t="s">
        <v>16</v>
      </c>
      <c r="H3912">
        <v>0</v>
      </c>
      <c r="I3912">
        <v>-5.7</v>
      </c>
      <c r="J3912">
        <v>-2.32</v>
      </c>
      <c r="L3912">
        <v>-0.26</v>
      </c>
      <c r="M3912">
        <v>25.16</v>
      </c>
      <c r="N3912">
        <v>0.01</v>
      </c>
      <c r="O3912">
        <v>0.48</v>
      </c>
    </row>
    <row r="3913" spans="1:15">
      <c r="A3913" t="str">
        <f>"603051"</f>
        <v>603051</v>
      </c>
      <c r="B3913" t="s">
        <v>3956</v>
      </c>
      <c r="C3913">
        <v>-3.09</v>
      </c>
      <c r="D3913">
        <v>20.98</v>
      </c>
      <c r="E3913" t="s">
        <v>16</v>
      </c>
      <c r="F3913" t="s">
        <v>16</v>
      </c>
      <c r="H3913">
        <v>-0.09</v>
      </c>
      <c r="I3913">
        <v>0.29</v>
      </c>
      <c r="J3913">
        <v>-3.67</v>
      </c>
      <c r="L3913">
        <v>-1.15</v>
      </c>
      <c r="M3913">
        <v>635.58</v>
      </c>
      <c r="N3913">
        <v>0.29</v>
      </c>
      <c r="O3913">
        <v>2.36</v>
      </c>
    </row>
    <row r="3914" spans="1:15">
      <c r="A3914" t="str">
        <f>"603052"</f>
        <v>603052</v>
      </c>
      <c r="B3914" t="s">
        <v>3957</v>
      </c>
      <c r="C3914">
        <v>4.18</v>
      </c>
      <c r="D3914">
        <v>95.68</v>
      </c>
      <c r="E3914" t="s">
        <v>16</v>
      </c>
      <c r="F3914" t="s">
        <v>16</v>
      </c>
      <c r="H3914">
        <v>0.25</v>
      </c>
      <c r="I3914">
        <v>1.77</v>
      </c>
      <c r="J3914">
        <v>-2.76</v>
      </c>
      <c r="K3914" t="s">
        <v>57</v>
      </c>
      <c r="L3914">
        <v>-0.91</v>
      </c>
      <c r="M3914">
        <v>157.43</v>
      </c>
      <c r="N3914">
        <v>0.03</v>
      </c>
      <c r="O3914">
        <v>0.33</v>
      </c>
    </row>
    <row r="3915" spans="1:15">
      <c r="A3915" t="str">
        <f>"603053"</f>
        <v>603053</v>
      </c>
      <c r="B3915" t="s">
        <v>3958</v>
      </c>
      <c r="C3915">
        <v>-1.36</v>
      </c>
      <c r="D3915">
        <v>8.7</v>
      </c>
      <c r="E3915" t="s">
        <v>16</v>
      </c>
      <c r="F3915" t="s">
        <v>16</v>
      </c>
      <c r="H3915">
        <v>0.12</v>
      </c>
      <c r="I3915">
        <v>-6.65</v>
      </c>
      <c r="J3915">
        <v>-1.36</v>
      </c>
      <c r="L3915">
        <v>0</v>
      </c>
      <c r="M3915">
        <v>0.88</v>
      </c>
      <c r="N3915">
        <v>0</v>
      </c>
      <c r="O3915">
        <v>9.98</v>
      </c>
    </row>
    <row r="3916" spans="1:15">
      <c r="A3916" t="str">
        <f>"603055"</f>
        <v>603055</v>
      </c>
      <c r="B3916" t="s">
        <v>3959</v>
      </c>
      <c r="C3916">
        <v>0.25</v>
      </c>
      <c r="D3916">
        <v>7.88</v>
      </c>
      <c r="E3916" t="s">
        <v>16</v>
      </c>
      <c r="F3916" t="s">
        <v>16</v>
      </c>
      <c r="H3916">
        <v>-0.12</v>
      </c>
      <c r="I3916">
        <v>-2.48</v>
      </c>
      <c r="J3916">
        <v>-0.51</v>
      </c>
      <c r="L3916">
        <v>-0.64</v>
      </c>
      <c r="M3916">
        <v>116.53</v>
      </c>
      <c r="N3916">
        <v>0.06</v>
      </c>
      <c r="O3916">
        <v>1.97</v>
      </c>
    </row>
    <row r="3917" spans="1:15">
      <c r="A3917" t="str">
        <f>"603057"</f>
        <v>603057</v>
      </c>
      <c r="B3917" t="s">
        <v>3960</v>
      </c>
      <c r="C3917">
        <v>1.88</v>
      </c>
      <c r="D3917">
        <v>23.88</v>
      </c>
      <c r="E3917" t="s">
        <v>16</v>
      </c>
      <c r="F3917" t="s">
        <v>16</v>
      </c>
      <c r="H3917">
        <v>0.04</v>
      </c>
      <c r="I3917">
        <v>-4.06</v>
      </c>
      <c r="J3917">
        <v>-0.29</v>
      </c>
      <c r="L3917">
        <v>0.04</v>
      </c>
      <c r="M3917">
        <v>21.57</v>
      </c>
      <c r="N3917">
        <v>0.01</v>
      </c>
      <c r="O3917">
        <v>0.45</v>
      </c>
    </row>
    <row r="3918" spans="1:15">
      <c r="A3918" t="str">
        <f>"603058"</f>
        <v>603058</v>
      </c>
      <c r="B3918" t="s">
        <v>3961</v>
      </c>
      <c r="C3918">
        <v>-4.3</v>
      </c>
      <c r="D3918">
        <v>9.34</v>
      </c>
      <c r="E3918" t="s">
        <v>16</v>
      </c>
      <c r="F3918" t="s">
        <v>16</v>
      </c>
      <c r="H3918">
        <v>0</v>
      </c>
      <c r="I3918">
        <v>-1.06</v>
      </c>
      <c r="J3918">
        <v>-6.51</v>
      </c>
      <c r="L3918">
        <v>2.05</v>
      </c>
      <c r="M3918">
        <v>12.45</v>
      </c>
      <c r="N3918">
        <v>0.01</v>
      </c>
      <c r="O3918">
        <v>6.94</v>
      </c>
    </row>
    <row r="3919" spans="1:15">
      <c r="A3919" t="str">
        <f>"603059"</f>
        <v>603059</v>
      </c>
      <c r="B3919" t="s">
        <v>3962</v>
      </c>
      <c r="C3919">
        <v>1.01</v>
      </c>
      <c r="D3919">
        <v>26.01</v>
      </c>
      <c r="E3919" t="s">
        <v>16</v>
      </c>
      <c r="F3919" t="s">
        <v>16</v>
      </c>
      <c r="H3919">
        <v>0.08</v>
      </c>
      <c r="I3919">
        <v>-0.91</v>
      </c>
      <c r="J3919">
        <v>-0.46</v>
      </c>
      <c r="L3919">
        <v>-0.31</v>
      </c>
      <c r="M3919">
        <v>5.65</v>
      </c>
      <c r="N3919">
        <v>0.01</v>
      </c>
      <c r="O3919">
        <v>0.44</v>
      </c>
    </row>
    <row r="3920" spans="1:15">
      <c r="A3920" t="str">
        <f>"603060"</f>
        <v>603060</v>
      </c>
      <c r="B3920" t="s">
        <v>3963</v>
      </c>
      <c r="C3920">
        <v>-4.4</v>
      </c>
      <c r="D3920">
        <v>6.96</v>
      </c>
      <c r="E3920" t="s">
        <v>16</v>
      </c>
      <c r="F3920" t="s">
        <v>16</v>
      </c>
      <c r="H3920">
        <v>0</v>
      </c>
      <c r="I3920">
        <v>-3.47</v>
      </c>
      <c r="J3920">
        <v>-4.4</v>
      </c>
      <c r="L3920">
        <v>-0.96</v>
      </c>
      <c r="M3920">
        <v>126.9</v>
      </c>
      <c r="N3920">
        <v>0.07</v>
      </c>
      <c r="O3920">
        <v>0.4</v>
      </c>
    </row>
    <row r="3921" spans="1:15">
      <c r="A3921" t="str">
        <f>"603061"</f>
        <v>603061</v>
      </c>
      <c r="B3921" t="s">
        <v>3964</v>
      </c>
      <c r="C3921">
        <v>3.1</v>
      </c>
      <c r="D3921">
        <v>350.8</v>
      </c>
      <c r="E3921" t="s">
        <v>16</v>
      </c>
      <c r="F3921" t="s">
        <v>16</v>
      </c>
      <c r="H3921">
        <v>0.02</v>
      </c>
      <c r="I3921">
        <v>10.45</v>
      </c>
      <c r="J3921">
        <v>-3.36</v>
      </c>
      <c r="L3921">
        <v>-0.93</v>
      </c>
      <c r="M3921">
        <v>262.91</v>
      </c>
      <c r="N3921">
        <v>0.02</v>
      </c>
      <c r="O3921">
        <v>1.56</v>
      </c>
    </row>
    <row r="3922" spans="1:15">
      <c r="A3922" t="str">
        <f>"603062"</f>
        <v>603062</v>
      </c>
      <c r="B3922" t="s">
        <v>3965</v>
      </c>
      <c r="C3922">
        <v>0.51</v>
      </c>
      <c r="D3922">
        <v>41.61</v>
      </c>
      <c r="E3922" t="s">
        <v>16</v>
      </c>
      <c r="F3922" t="s">
        <v>16</v>
      </c>
      <c r="H3922">
        <v>-0.04</v>
      </c>
      <c r="I3922">
        <v>-3.21</v>
      </c>
      <c r="J3922">
        <v>-1.63</v>
      </c>
      <c r="L3922">
        <v>1.5</v>
      </c>
      <c r="M3922">
        <v>13.87</v>
      </c>
      <c r="N3922">
        <v>0.01</v>
      </c>
      <c r="O3922">
        <v>1.18</v>
      </c>
    </row>
    <row r="3923" spans="1:15">
      <c r="A3923" t="str">
        <f>"603063"</f>
        <v>603063</v>
      </c>
      <c r="B3923" t="s">
        <v>3966</v>
      </c>
      <c r="C3923">
        <v>0.21</v>
      </c>
      <c r="D3923">
        <v>52.59</v>
      </c>
      <c r="E3923" t="s">
        <v>16</v>
      </c>
      <c r="F3923" t="s">
        <v>16</v>
      </c>
      <c r="H3923">
        <v>-0.03</v>
      </c>
      <c r="I3923">
        <v>-6.09</v>
      </c>
      <c r="J3923">
        <v>-1.7</v>
      </c>
      <c r="L3923">
        <v>-1.01</v>
      </c>
      <c r="M3923">
        <v>395.34</v>
      </c>
      <c r="N3923">
        <v>0.02</v>
      </c>
      <c r="O3923">
        <v>0.64</v>
      </c>
    </row>
    <row r="3924" spans="1:15">
      <c r="A3924" t="str">
        <f>"603065"</f>
        <v>603065</v>
      </c>
      <c r="B3924" t="s">
        <v>3967</v>
      </c>
      <c r="C3924">
        <v>5.47</v>
      </c>
      <c r="D3924">
        <v>15.62</v>
      </c>
      <c r="E3924" t="s">
        <v>16</v>
      </c>
      <c r="F3924" t="s">
        <v>16</v>
      </c>
      <c r="H3924">
        <v>0.13</v>
      </c>
      <c r="I3924">
        <v>84.2</v>
      </c>
      <c r="J3924">
        <v>-3.46</v>
      </c>
      <c r="L3924">
        <v>0</v>
      </c>
      <c r="M3924">
        <v>3838.6</v>
      </c>
      <c r="N3924">
        <v>1.39</v>
      </c>
      <c r="O3924">
        <v>0.99</v>
      </c>
    </row>
    <row r="3925" spans="1:15">
      <c r="A3925" t="str">
        <f>"603066"</f>
        <v>603066</v>
      </c>
      <c r="B3925" t="s">
        <v>3968</v>
      </c>
      <c r="C3925">
        <v>0.47</v>
      </c>
      <c r="D3925">
        <v>10.6</v>
      </c>
      <c r="E3925" t="s">
        <v>16</v>
      </c>
      <c r="F3925" t="s">
        <v>16</v>
      </c>
      <c r="H3925">
        <v>-0.18</v>
      </c>
      <c r="I3925">
        <v>0.09</v>
      </c>
      <c r="J3925">
        <v>-3.81</v>
      </c>
      <c r="L3925">
        <v>-0.19</v>
      </c>
      <c r="M3925">
        <v>33.59</v>
      </c>
      <c r="N3925">
        <v>0.02</v>
      </c>
      <c r="O3925">
        <v>0.93</v>
      </c>
    </row>
    <row r="3926" spans="1:15">
      <c r="A3926" t="str">
        <f>"603067"</f>
        <v>603067</v>
      </c>
      <c r="B3926" t="s">
        <v>3969</v>
      </c>
      <c r="C3926">
        <v>-0.25</v>
      </c>
      <c r="D3926">
        <v>36.09</v>
      </c>
      <c r="E3926" t="s">
        <v>16</v>
      </c>
      <c r="F3926" t="s">
        <v>16</v>
      </c>
      <c r="H3926">
        <v>-0.16</v>
      </c>
      <c r="I3926">
        <v>-6.14</v>
      </c>
      <c r="J3926">
        <v>-4.47</v>
      </c>
      <c r="L3926">
        <v>-0.25</v>
      </c>
      <c r="M3926">
        <v>121.26</v>
      </c>
      <c r="N3926">
        <v>0.01</v>
      </c>
      <c r="O3926">
        <v>0.91</v>
      </c>
    </row>
    <row r="3927" spans="1:15">
      <c r="A3927" t="str">
        <f>"603068"</f>
        <v>603068</v>
      </c>
      <c r="B3927" t="s">
        <v>3970</v>
      </c>
      <c r="C3927">
        <v>7.72</v>
      </c>
      <c r="D3927">
        <v>37.38</v>
      </c>
      <c r="E3927" t="s">
        <v>16</v>
      </c>
      <c r="F3927" t="s">
        <v>16</v>
      </c>
      <c r="H3927">
        <v>-0.15</v>
      </c>
      <c r="I3927">
        <v>12.25</v>
      </c>
      <c r="J3927">
        <v>-1.61</v>
      </c>
      <c r="L3927">
        <v>-0.4</v>
      </c>
      <c r="M3927">
        <v>32.83</v>
      </c>
      <c r="N3927">
        <v>0.01</v>
      </c>
      <c r="O3927">
        <v>0.75</v>
      </c>
    </row>
    <row r="3928" spans="1:15">
      <c r="A3928" t="str">
        <f>"603069"</f>
        <v>603069</v>
      </c>
      <c r="B3928" t="s">
        <v>3971</v>
      </c>
      <c r="C3928">
        <v>-1.02</v>
      </c>
      <c r="D3928">
        <v>13.57</v>
      </c>
      <c r="E3928" t="s">
        <v>16</v>
      </c>
      <c r="F3928" t="s">
        <v>16</v>
      </c>
      <c r="H3928">
        <v>-0.14</v>
      </c>
      <c r="I3928">
        <v>-10.13</v>
      </c>
      <c r="J3928">
        <v>-1.88</v>
      </c>
      <c r="L3928">
        <v>0</v>
      </c>
      <c r="M3928">
        <v>15.77</v>
      </c>
      <c r="N3928">
        <v>0.01</v>
      </c>
      <c r="O3928">
        <v>5</v>
      </c>
    </row>
    <row r="3929" spans="1:15">
      <c r="A3929" t="str">
        <f>"603070"</f>
        <v>603070</v>
      </c>
      <c r="B3929" t="s">
        <v>3972</v>
      </c>
      <c r="C3929">
        <v>-9.97</v>
      </c>
      <c r="D3929">
        <v>16.34</v>
      </c>
      <c r="E3929">
        <v>2339.72</v>
      </c>
      <c r="F3929" t="s">
        <v>16</v>
      </c>
      <c r="H3929">
        <v>0</v>
      </c>
      <c r="I3929">
        <v>7.43</v>
      </c>
      <c r="J3929">
        <v>-9.07</v>
      </c>
      <c r="K3929" t="s">
        <v>57</v>
      </c>
      <c r="L3929">
        <v>-0.99</v>
      </c>
      <c r="M3929">
        <v>617.09</v>
      </c>
      <c r="N3929">
        <v>0.33</v>
      </c>
      <c r="O3929">
        <v>1.63</v>
      </c>
    </row>
    <row r="3930" spans="1:15">
      <c r="A3930" t="str">
        <f>"603071"</f>
        <v>603071</v>
      </c>
      <c r="B3930" t="s">
        <v>3973</v>
      </c>
      <c r="C3930">
        <v>-1.66</v>
      </c>
      <c r="D3930">
        <v>11.87</v>
      </c>
      <c r="E3930" t="s">
        <v>16</v>
      </c>
      <c r="F3930" t="s">
        <v>16</v>
      </c>
      <c r="H3930">
        <v>0</v>
      </c>
      <c r="I3930">
        <v>-16.64</v>
      </c>
      <c r="J3930">
        <v>-2.14</v>
      </c>
      <c r="L3930">
        <v>-0.91</v>
      </c>
      <c r="M3930">
        <v>4.9</v>
      </c>
      <c r="N3930">
        <v>0</v>
      </c>
      <c r="O3930">
        <v>4.55</v>
      </c>
    </row>
    <row r="3931" spans="1:15">
      <c r="A3931" t="str">
        <f>"603072"</f>
        <v>603072</v>
      </c>
      <c r="B3931" t="s">
        <v>3974</v>
      </c>
      <c r="C3931">
        <v>6.75</v>
      </c>
      <c r="D3931">
        <v>39.85</v>
      </c>
      <c r="E3931" t="s">
        <v>16</v>
      </c>
      <c r="F3931" t="s">
        <v>16</v>
      </c>
      <c r="H3931">
        <v>0.08</v>
      </c>
      <c r="I3931">
        <v>12.38</v>
      </c>
      <c r="J3931">
        <v>-2.73</v>
      </c>
      <c r="L3931">
        <v>-0.88</v>
      </c>
      <c r="M3931">
        <v>46.62</v>
      </c>
      <c r="N3931">
        <v>0.01</v>
      </c>
      <c r="O3931">
        <v>0.33</v>
      </c>
    </row>
    <row r="3932" spans="1:15">
      <c r="A3932" t="str">
        <f>"603073"</f>
        <v>603073</v>
      </c>
      <c r="B3932" t="s">
        <v>3975</v>
      </c>
      <c r="C3932">
        <v>-0.68</v>
      </c>
      <c r="D3932">
        <v>16.03</v>
      </c>
      <c r="E3932" t="s">
        <v>16</v>
      </c>
      <c r="F3932" t="s">
        <v>16</v>
      </c>
      <c r="H3932">
        <v>0.12</v>
      </c>
      <c r="I3932">
        <v>-7.02</v>
      </c>
      <c r="J3932">
        <v>-1.72</v>
      </c>
      <c r="L3932">
        <v>-0.37</v>
      </c>
      <c r="M3932">
        <v>19.78</v>
      </c>
      <c r="N3932">
        <v>0.03</v>
      </c>
      <c r="O3932">
        <v>1.78</v>
      </c>
    </row>
    <row r="3933" spans="1:15">
      <c r="A3933" t="str">
        <f>"603075"</f>
        <v>603075</v>
      </c>
      <c r="B3933" t="s">
        <v>3976</v>
      </c>
      <c r="C3933">
        <v>-2.24</v>
      </c>
      <c r="D3933">
        <v>22.23</v>
      </c>
      <c r="E3933" t="s">
        <v>16</v>
      </c>
      <c r="F3933" t="s">
        <v>16</v>
      </c>
      <c r="H3933">
        <v>0.18</v>
      </c>
      <c r="I3933">
        <v>-8.1</v>
      </c>
      <c r="J3933">
        <v>-2.16</v>
      </c>
      <c r="L3933">
        <v>-0.31</v>
      </c>
      <c r="M3933">
        <v>24.03</v>
      </c>
      <c r="N3933">
        <v>0.03</v>
      </c>
      <c r="O3933">
        <v>0.95</v>
      </c>
    </row>
    <row r="3934" spans="1:15">
      <c r="A3934" t="str">
        <f>"603076"</f>
        <v>603076</v>
      </c>
      <c r="B3934" t="s">
        <v>3977</v>
      </c>
      <c r="C3934">
        <v>1.52</v>
      </c>
      <c r="D3934">
        <v>22.03</v>
      </c>
      <c r="E3934" t="s">
        <v>16</v>
      </c>
      <c r="F3934" t="s">
        <v>16</v>
      </c>
      <c r="H3934">
        <v>0.05</v>
      </c>
      <c r="I3934">
        <v>-7.44</v>
      </c>
      <c r="J3934">
        <v>-4.05</v>
      </c>
      <c r="L3934">
        <v>-0.88</v>
      </c>
      <c r="M3934">
        <v>17.64</v>
      </c>
      <c r="N3934">
        <v>0.01</v>
      </c>
      <c r="O3934">
        <v>1.58</v>
      </c>
    </row>
    <row r="3935" spans="1:15">
      <c r="A3935" t="str">
        <f>"603077"</f>
        <v>603077</v>
      </c>
      <c r="B3935" t="s">
        <v>3978</v>
      </c>
      <c r="C3935">
        <v>-2.52</v>
      </c>
      <c r="D3935">
        <v>2.32</v>
      </c>
      <c r="E3935" t="s">
        <v>16</v>
      </c>
      <c r="F3935" t="s">
        <v>16</v>
      </c>
      <c r="H3935">
        <v>0</v>
      </c>
      <c r="I3935">
        <v>-3.33</v>
      </c>
      <c r="J3935">
        <v>-2.11</v>
      </c>
      <c r="L3935">
        <v>-0.84</v>
      </c>
      <c r="M3935">
        <v>74.46</v>
      </c>
      <c r="N3935">
        <v>0.01</v>
      </c>
      <c r="O3935">
        <v>0.52</v>
      </c>
    </row>
    <row r="3936" spans="1:15">
      <c r="A3936" t="str">
        <f>"603078"</f>
        <v>603078</v>
      </c>
      <c r="B3936" t="s">
        <v>3979</v>
      </c>
      <c r="C3936">
        <v>-2.2</v>
      </c>
      <c r="D3936">
        <v>46.24</v>
      </c>
      <c r="E3936" t="s">
        <v>16</v>
      </c>
      <c r="F3936" t="s">
        <v>16</v>
      </c>
      <c r="H3936">
        <v>-0.1</v>
      </c>
      <c r="I3936">
        <v>22.59</v>
      </c>
      <c r="J3936">
        <v>-2.65</v>
      </c>
      <c r="K3936" t="s">
        <v>26</v>
      </c>
      <c r="L3936">
        <v>-0.49</v>
      </c>
      <c r="M3936">
        <v>917.28</v>
      </c>
      <c r="N3936">
        <v>0.09</v>
      </c>
      <c r="O3936">
        <v>0.35</v>
      </c>
    </row>
    <row r="3937" spans="1:15">
      <c r="A3937" t="str">
        <f>"603079"</f>
        <v>603079</v>
      </c>
      <c r="B3937" t="s">
        <v>3980</v>
      </c>
      <c r="C3937">
        <v>-1.19</v>
      </c>
      <c r="D3937">
        <v>12.45</v>
      </c>
      <c r="E3937" t="s">
        <v>16</v>
      </c>
      <c r="F3937" t="s">
        <v>16</v>
      </c>
      <c r="H3937">
        <v>0.16</v>
      </c>
      <c r="I3937">
        <v>-6.53</v>
      </c>
      <c r="J3937">
        <v>-2.05</v>
      </c>
      <c r="L3937">
        <v>0.87</v>
      </c>
      <c r="M3937">
        <v>8.01</v>
      </c>
      <c r="N3937">
        <v>0.01</v>
      </c>
      <c r="O3937">
        <v>1.09</v>
      </c>
    </row>
    <row r="3938" spans="1:15">
      <c r="A3938" t="str">
        <f>"603080"</f>
        <v>603080</v>
      </c>
      <c r="B3938" t="s">
        <v>3981</v>
      </c>
      <c r="C3938">
        <v>-1.23</v>
      </c>
      <c r="D3938">
        <v>19.31</v>
      </c>
      <c r="E3938" t="s">
        <v>16</v>
      </c>
      <c r="F3938" t="s">
        <v>16</v>
      </c>
      <c r="H3938">
        <v>0.05</v>
      </c>
      <c r="I3938">
        <v>-4.36</v>
      </c>
      <c r="J3938">
        <v>-1.68</v>
      </c>
      <c r="L3938">
        <v>-0.51</v>
      </c>
      <c r="M3938">
        <v>3.31</v>
      </c>
      <c r="N3938">
        <v>0</v>
      </c>
      <c r="O3938">
        <v>0.46</v>
      </c>
    </row>
    <row r="3939" spans="1:15">
      <c r="A3939" t="str">
        <f>"603081"</f>
        <v>603081</v>
      </c>
      <c r="B3939" t="s">
        <v>3982</v>
      </c>
      <c r="C3939">
        <v>-0.11</v>
      </c>
      <c r="D3939">
        <v>9.38</v>
      </c>
      <c r="E3939" t="s">
        <v>16</v>
      </c>
      <c r="F3939" t="s">
        <v>16</v>
      </c>
      <c r="H3939">
        <v>0.11</v>
      </c>
      <c r="I3939">
        <v>-7.4</v>
      </c>
      <c r="J3939">
        <v>-0.53</v>
      </c>
      <c r="L3939">
        <v>0.43</v>
      </c>
      <c r="M3939">
        <v>5.28</v>
      </c>
      <c r="N3939">
        <v>0</v>
      </c>
      <c r="O3939">
        <v>1.04</v>
      </c>
    </row>
    <row r="3940" spans="1:15">
      <c r="A3940" t="str">
        <f>"603082"</f>
        <v>603082</v>
      </c>
      <c r="B3940" t="s">
        <v>3983</v>
      </c>
      <c r="C3940">
        <v>10</v>
      </c>
      <c r="D3940">
        <v>41.03</v>
      </c>
      <c r="E3940">
        <v>889.12</v>
      </c>
      <c r="F3940">
        <v>1</v>
      </c>
      <c r="H3940">
        <v>0</v>
      </c>
      <c r="I3940">
        <v>10.21</v>
      </c>
      <c r="J3940">
        <v>0</v>
      </c>
      <c r="K3940" t="s">
        <v>140</v>
      </c>
      <c r="L3940">
        <v>-0.99</v>
      </c>
      <c r="M3940">
        <v>111.53</v>
      </c>
      <c r="N3940">
        <v>0.07</v>
      </c>
      <c r="O3940">
        <v>1.6</v>
      </c>
    </row>
    <row r="3941" spans="1:15">
      <c r="A3941" t="str">
        <f>"603083"</f>
        <v>603083</v>
      </c>
      <c r="B3941" t="s">
        <v>3984</v>
      </c>
      <c r="C3941">
        <v>5.53</v>
      </c>
      <c r="D3941">
        <v>214.54</v>
      </c>
      <c r="E3941" t="s">
        <v>16</v>
      </c>
      <c r="F3941" t="s">
        <v>16</v>
      </c>
      <c r="H3941">
        <v>-0.08</v>
      </c>
      <c r="I3941">
        <v>5.08</v>
      </c>
      <c r="J3941">
        <v>-1.38</v>
      </c>
      <c r="K3941" t="s">
        <v>57</v>
      </c>
      <c r="L3941">
        <v>-1.62</v>
      </c>
      <c r="M3941">
        <v>1880</v>
      </c>
      <c r="N3941">
        <v>0.04</v>
      </c>
      <c r="O3941">
        <v>0.49</v>
      </c>
    </row>
    <row r="3942" spans="1:15">
      <c r="A3942" t="str">
        <f>"603085"</f>
        <v>603085</v>
      </c>
      <c r="B3942" t="s">
        <v>3985</v>
      </c>
      <c r="C3942">
        <v>-4.97</v>
      </c>
      <c r="D3942">
        <v>11.85</v>
      </c>
      <c r="E3942" t="s">
        <v>16</v>
      </c>
      <c r="F3942" t="s">
        <v>16</v>
      </c>
      <c r="H3942">
        <v>-0.74</v>
      </c>
      <c r="I3942">
        <v>-4.28</v>
      </c>
      <c r="J3942">
        <v>-5.8</v>
      </c>
      <c r="K3942" t="s">
        <v>57</v>
      </c>
      <c r="L3942">
        <v>0.88</v>
      </c>
      <c r="M3942">
        <v>103.16</v>
      </c>
      <c r="N3942">
        <v>0.04</v>
      </c>
      <c r="O3942">
        <v>0.4</v>
      </c>
    </row>
    <row r="3943" spans="1:15">
      <c r="A3943" t="str">
        <f>"603086"</f>
        <v>603086</v>
      </c>
      <c r="B3943" t="s">
        <v>3986</v>
      </c>
      <c r="C3943">
        <v>-0.54</v>
      </c>
      <c r="D3943">
        <v>5.56</v>
      </c>
      <c r="E3943" t="s">
        <v>16</v>
      </c>
      <c r="F3943" t="s">
        <v>16</v>
      </c>
      <c r="H3943">
        <v>-0.17</v>
      </c>
      <c r="I3943">
        <v>-5.6</v>
      </c>
      <c r="J3943">
        <v>-1.42</v>
      </c>
      <c r="L3943">
        <v>-0.54</v>
      </c>
      <c r="M3943">
        <v>1.95</v>
      </c>
      <c r="N3943">
        <v>0</v>
      </c>
      <c r="O3943">
        <v>0.16</v>
      </c>
    </row>
    <row r="3944" spans="1:15">
      <c r="A3944" t="str">
        <f>"603087"</f>
        <v>603087</v>
      </c>
      <c r="B3944" t="s">
        <v>3987</v>
      </c>
      <c r="C3944">
        <v>4.84</v>
      </c>
      <c r="D3944">
        <v>56.7</v>
      </c>
      <c r="E3944" t="s">
        <v>16</v>
      </c>
      <c r="F3944" t="s">
        <v>16</v>
      </c>
      <c r="H3944">
        <v>-0.24</v>
      </c>
      <c r="I3944">
        <v>5.57</v>
      </c>
      <c r="J3944">
        <v>-1.87</v>
      </c>
      <c r="L3944">
        <v>-0.2</v>
      </c>
      <c r="M3944">
        <v>174.32</v>
      </c>
      <c r="N3944">
        <v>0.01</v>
      </c>
      <c r="O3944">
        <v>0.87</v>
      </c>
    </row>
    <row r="3945" spans="1:15">
      <c r="A3945" t="str">
        <f>"603088"</f>
        <v>603088</v>
      </c>
      <c r="B3945" t="s">
        <v>3988</v>
      </c>
      <c r="C3945">
        <v>1.54</v>
      </c>
      <c r="D3945">
        <v>10.53</v>
      </c>
      <c r="E3945" t="s">
        <v>16</v>
      </c>
      <c r="F3945" t="s">
        <v>16</v>
      </c>
      <c r="H3945">
        <v>-0.08</v>
      </c>
      <c r="I3945">
        <v>2.83</v>
      </c>
      <c r="J3945">
        <v>-0.28</v>
      </c>
      <c r="L3945">
        <v>-0.68</v>
      </c>
      <c r="M3945">
        <v>33.27</v>
      </c>
      <c r="N3945">
        <v>0.01</v>
      </c>
      <c r="O3945">
        <v>0.12</v>
      </c>
    </row>
    <row r="3946" spans="1:15">
      <c r="A3946" t="str">
        <f>"603089"</f>
        <v>603089</v>
      </c>
      <c r="B3946" t="s">
        <v>3989</v>
      </c>
      <c r="C3946">
        <v>2.05</v>
      </c>
      <c r="D3946">
        <v>9.47</v>
      </c>
      <c r="E3946" t="s">
        <v>16</v>
      </c>
      <c r="F3946" t="s">
        <v>16</v>
      </c>
      <c r="H3946">
        <v>-0.1</v>
      </c>
      <c r="I3946">
        <v>-6.79</v>
      </c>
      <c r="J3946">
        <v>-1.87</v>
      </c>
      <c r="L3946">
        <v>-0.43</v>
      </c>
      <c r="M3946">
        <v>7.58</v>
      </c>
      <c r="N3946">
        <v>0.01</v>
      </c>
      <c r="O3946">
        <v>0.38</v>
      </c>
    </row>
    <row r="3947" spans="1:15">
      <c r="A3947" t="str">
        <f>"603090"</f>
        <v>603090</v>
      </c>
      <c r="B3947" t="s">
        <v>3990</v>
      </c>
      <c r="C3947">
        <v>0.77</v>
      </c>
      <c r="D3947">
        <v>62.88</v>
      </c>
      <c r="E3947" t="s">
        <v>16</v>
      </c>
      <c r="F3947" t="s">
        <v>16</v>
      </c>
      <c r="H3947">
        <v>-0.01</v>
      </c>
      <c r="I3947">
        <v>0.83</v>
      </c>
      <c r="J3947">
        <v>-2.89</v>
      </c>
      <c r="L3947">
        <v>0</v>
      </c>
      <c r="M3947">
        <v>43.68</v>
      </c>
      <c r="N3947">
        <v>0.01</v>
      </c>
      <c r="O3947">
        <v>1.21</v>
      </c>
    </row>
    <row r="3948" spans="1:15">
      <c r="A3948" t="str">
        <f>"603091"</f>
        <v>603091</v>
      </c>
      <c r="B3948" t="s">
        <v>3991</v>
      </c>
      <c r="C3948">
        <v>1.29</v>
      </c>
      <c r="D3948">
        <v>68.29</v>
      </c>
      <c r="E3948" t="s">
        <v>16</v>
      </c>
      <c r="F3948" t="s">
        <v>16</v>
      </c>
      <c r="H3948">
        <v>-0.15</v>
      </c>
      <c r="I3948">
        <v>1.17</v>
      </c>
      <c r="J3948">
        <v>-0.81</v>
      </c>
      <c r="L3948">
        <v>-0.18</v>
      </c>
      <c r="M3948">
        <v>9.42</v>
      </c>
      <c r="N3948">
        <v>0</v>
      </c>
      <c r="O3948">
        <v>0.58</v>
      </c>
    </row>
    <row r="3949" spans="1:15">
      <c r="A3949" t="str">
        <f>"603092"</f>
        <v>603092</v>
      </c>
      <c r="B3949" t="s">
        <v>3992</v>
      </c>
      <c r="C3949">
        <v>-2.68</v>
      </c>
      <c r="D3949">
        <v>57.33</v>
      </c>
      <c r="E3949" t="s">
        <v>16</v>
      </c>
      <c r="F3949" t="s">
        <v>16</v>
      </c>
      <c r="H3949">
        <v>-0.18</v>
      </c>
      <c r="I3949">
        <v>-5.47</v>
      </c>
      <c r="J3949">
        <v>-3.63</v>
      </c>
      <c r="L3949">
        <v>0.1</v>
      </c>
      <c r="M3949">
        <v>41.87</v>
      </c>
      <c r="N3949">
        <v>0.02</v>
      </c>
      <c r="O3949">
        <v>0.82</v>
      </c>
    </row>
    <row r="3950" spans="1:15">
      <c r="A3950" t="str">
        <f>"603093"</f>
        <v>603093</v>
      </c>
      <c r="B3950" t="s">
        <v>3993</v>
      </c>
      <c r="C3950">
        <v>-2.65</v>
      </c>
      <c r="D3950">
        <v>20.22</v>
      </c>
      <c r="E3950" t="s">
        <v>16</v>
      </c>
      <c r="F3950" t="s">
        <v>16</v>
      </c>
      <c r="H3950">
        <v>-0.19</v>
      </c>
      <c r="I3950">
        <v>5.09</v>
      </c>
      <c r="J3950">
        <v>-3.67</v>
      </c>
      <c r="K3950" t="s">
        <v>57</v>
      </c>
      <c r="L3950">
        <v>0.96</v>
      </c>
      <c r="M3950">
        <v>316.44</v>
      </c>
      <c r="N3950">
        <v>0.11</v>
      </c>
      <c r="O3950">
        <v>1.65</v>
      </c>
    </row>
    <row r="3951" spans="1:15">
      <c r="A3951" t="str">
        <f>"603095"</f>
        <v>603095</v>
      </c>
      <c r="B3951" t="s">
        <v>3994</v>
      </c>
      <c r="C3951">
        <v>-1.88</v>
      </c>
      <c r="D3951">
        <v>16.66</v>
      </c>
      <c r="E3951" t="s">
        <v>16</v>
      </c>
      <c r="F3951" t="s">
        <v>16</v>
      </c>
      <c r="H3951">
        <v>-0.76</v>
      </c>
      <c r="I3951">
        <v>-12.96</v>
      </c>
      <c r="J3951">
        <v>-3.48</v>
      </c>
      <c r="L3951">
        <v>0.65</v>
      </c>
      <c r="M3951">
        <v>36.91</v>
      </c>
      <c r="N3951">
        <v>0.03</v>
      </c>
      <c r="O3951">
        <v>4.41</v>
      </c>
    </row>
    <row r="3952" spans="1:15">
      <c r="A3952" t="str">
        <f>"603096"</f>
        <v>603096</v>
      </c>
      <c r="B3952" t="s">
        <v>3995</v>
      </c>
      <c r="C3952">
        <v>0.14</v>
      </c>
      <c r="D3952">
        <v>14.44</v>
      </c>
      <c r="E3952" t="s">
        <v>16</v>
      </c>
      <c r="F3952" t="s">
        <v>16</v>
      </c>
      <c r="H3952">
        <v>0.14</v>
      </c>
      <c r="I3952">
        <v>-4.43</v>
      </c>
      <c r="J3952">
        <v>-0.96</v>
      </c>
      <c r="L3952">
        <v>-0.9</v>
      </c>
      <c r="M3952">
        <v>47.44</v>
      </c>
      <c r="N3952">
        <v>0.05</v>
      </c>
      <c r="O3952">
        <v>2.79</v>
      </c>
    </row>
    <row r="3953" spans="1:15">
      <c r="A3953" t="str">
        <f>"603097"</f>
        <v>603097</v>
      </c>
      <c r="B3953" t="s">
        <v>3996</v>
      </c>
      <c r="C3953">
        <v>2.76</v>
      </c>
      <c r="D3953">
        <v>27.6</v>
      </c>
      <c r="E3953" t="s">
        <v>16</v>
      </c>
      <c r="F3953" t="s">
        <v>16</v>
      </c>
      <c r="H3953">
        <v>-0.28</v>
      </c>
      <c r="I3953">
        <v>4.7</v>
      </c>
      <c r="J3953">
        <v>-1.32</v>
      </c>
      <c r="L3953">
        <v>0</v>
      </c>
      <c r="M3953">
        <v>10.74</v>
      </c>
      <c r="N3953">
        <v>0.01</v>
      </c>
      <c r="O3953">
        <v>0.6</v>
      </c>
    </row>
    <row r="3954" spans="1:15">
      <c r="A3954" t="str">
        <f>"603098"</f>
        <v>603098</v>
      </c>
      <c r="B3954" t="s">
        <v>3997</v>
      </c>
      <c r="C3954">
        <v>1.3</v>
      </c>
      <c r="D3954">
        <v>11.71</v>
      </c>
      <c r="E3954" t="s">
        <v>16</v>
      </c>
      <c r="F3954" t="s">
        <v>16</v>
      </c>
      <c r="H3954">
        <v>-0.16</v>
      </c>
      <c r="I3954">
        <v>-6.17</v>
      </c>
      <c r="J3954">
        <v>-2.01</v>
      </c>
      <c r="L3954">
        <v>-0.52</v>
      </c>
      <c r="M3954">
        <v>18.29</v>
      </c>
      <c r="N3954">
        <v>0.01</v>
      </c>
      <c r="O3954">
        <v>1.14</v>
      </c>
    </row>
    <row r="3955" spans="1:15">
      <c r="A3955" t="str">
        <f>"603099"</f>
        <v>603099</v>
      </c>
      <c r="B3955" t="s">
        <v>3998</v>
      </c>
      <c r="C3955">
        <v>-0.35</v>
      </c>
      <c r="D3955">
        <v>36.7</v>
      </c>
      <c r="E3955" t="s">
        <v>16</v>
      </c>
      <c r="F3955" t="s">
        <v>16</v>
      </c>
      <c r="H3955">
        <v>0.03</v>
      </c>
      <c r="I3955">
        <v>-3.52</v>
      </c>
      <c r="J3955">
        <v>-1.29</v>
      </c>
      <c r="L3955">
        <v>-0.52</v>
      </c>
      <c r="M3955">
        <v>210.68</v>
      </c>
      <c r="N3955">
        <v>0.05</v>
      </c>
      <c r="O3955">
        <v>3.99</v>
      </c>
    </row>
    <row r="3956" spans="1:15">
      <c r="A3956" t="str">
        <f>"603100"</f>
        <v>603100</v>
      </c>
      <c r="B3956" t="s">
        <v>3999</v>
      </c>
      <c r="C3956">
        <v>-0.17</v>
      </c>
      <c r="D3956">
        <v>17.37</v>
      </c>
      <c r="E3956" t="s">
        <v>16</v>
      </c>
      <c r="F3956" t="s">
        <v>16</v>
      </c>
      <c r="H3956">
        <v>-0.16</v>
      </c>
      <c r="I3956">
        <v>-6.61</v>
      </c>
      <c r="J3956">
        <v>-1.03</v>
      </c>
      <c r="L3956">
        <v>0.57</v>
      </c>
      <c r="M3956">
        <v>20.65</v>
      </c>
      <c r="N3956">
        <v>0.01</v>
      </c>
      <c r="O3956">
        <v>1.42</v>
      </c>
    </row>
    <row r="3957" spans="1:15">
      <c r="A3957" t="str">
        <f>"603101"</f>
        <v>603101</v>
      </c>
      <c r="B3957" t="s">
        <v>4000</v>
      </c>
      <c r="C3957">
        <v>-1.19</v>
      </c>
      <c r="D3957">
        <v>6.66</v>
      </c>
      <c r="E3957" t="s">
        <v>16</v>
      </c>
      <c r="F3957" t="s">
        <v>16</v>
      </c>
      <c r="H3957">
        <v>0</v>
      </c>
      <c r="I3957">
        <v>-6.72</v>
      </c>
      <c r="J3957">
        <v>-1.33</v>
      </c>
      <c r="L3957">
        <v>-0.45</v>
      </c>
      <c r="M3957">
        <v>3.15</v>
      </c>
      <c r="N3957">
        <v>0</v>
      </c>
      <c r="O3957">
        <v>0.12</v>
      </c>
    </row>
    <row r="3958" spans="1:15">
      <c r="A3958" t="str">
        <f>"603102"</f>
        <v>603102</v>
      </c>
      <c r="B3958" t="s">
        <v>4001</v>
      </c>
      <c r="C3958">
        <v>-1.46</v>
      </c>
      <c r="D3958">
        <v>33.08</v>
      </c>
      <c r="E3958" t="s">
        <v>16</v>
      </c>
      <c r="F3958" t="s">
        <v>16</v>
      </c>
      <c r="H3958">
        <v>-0.41</v>
      </c>
      <c r="I3958">
        <v>-4.92</v>
      </c>
      <c r="J3958">
        <v>-1.58</v>
      </c>
      <c r="L3958">
        <v>-0.77</v>
      </c>
      <c r="M3958">
        <v>6.66</v>
      </c>
      <c r="N3958">
        <v>0.01</v>
      </c>
      <c r="O3958">
        <v>0.69</v>
      </c>
    </row>
    <row r="3959" spans="1:15">
      <c r="A3959" t="str">
        <f>"603103"</f>
        <v>603103</v>
      </c>
      <c r="B3959" t="s">
        <v>4002</v>
      </c>
      <c r="C3959">
        <v>-1.94</v>
      </c>
      <c r="D3959">
        <v>15.69</v>
      </c>
      <c r="E3959" t="s">
        <v>16</v>
      </c>
      <c r="F3959" t="s">
        <v>16</v>
      </c>
      <c r="H3959">
        <v>-0.12</v>
      </c>
      <c r="I3959">
        <v>-28.39</v>
      </c>
      <c r="J3959">
        <v>-2.55</v>
      </c>
      <c r="L3959">
        <v>0.56</v>
      </c>
      <c r="M3959">
        <v>324.31</v>
      </c>
      <c r="N3959">
        <v>0.27</v>
      </c>
      <c r="O3959">
        <v>1.78</v>
      </c>
    </row>
    <row r="3960" spans="1:15">
      <c r="A3960" t="str">
        <f>"603105"</f>
        <v>603105</v>
      </c>
      <c r="B3960" t="s">
        <v>4003</v>
      </c>
      <c r="C3960">
        <v>-2.89</v>
      </c>
      <c r="D3960">
        <v>7.39</v>
      </c>
      <c r="E3960" t="s">
        <v>16</v>
      </c>
      <c r="F3960" t="s">
        <v>16</v>
      </c>
      <c r="H3960">
        <v>-0.13</v>
      </c>
      <c r="I3960">
        <v>-14.47</v>
      </c>
      <c r="J3960">
        <v>-4.65</v>
      </c>
      <c r="L3960">
        <v>-0.66</v>
      </c>
      <c r="M3960">
        <v>8.32</v>
      </c>
      <c r="N3960">
        <v>0</v>
      </c>
      <c r="O3960">
        <v>1.12</v>
      </c>
    </row>
    <row r="3961" spans="1:15">
      <c r="A3961" t="str">
        <f>"603106"</f>
        <v>603106</v>
      </c>
      <c r="B3961" t="s">
        <v>4004</v>
      </c>
      <c r="C3961">
        <v>-1.53</v>
      </c>
      <c r="D3961">
        <v>7.1</v>
      </c>
      <c r="E3961" t="s">
        <v>16</v>
      </c>
      <c r="F3961" t="s">
        <v>16</v>
      </c>
      <c r="H3961">
        <v>-0.13</v>
      </c>
      <c r="I3961">
        <v>-4.31</v>
      </c>
      <c r="J3961">
        <v>-2.34</v>
      </c>
      <c r="L3961">
        <v>-0.42</v>
      </c>
      <c r="M3961">
        <v>41.43</v>
      </c>
      <c r="N3961">
        <v>0.02</v>
      </c>
      <c r="O3961">
        <v>2.55</v>
      </c>
    </row>
    <row r="3962" spans="1:15">
      <c r="A3962" t="str">
        <f>"603107"</f>
        <v>603107</v>
      </c>
      <c r="B3962" t="s">
        <v>4005</v>
      </c>
      <c r="C3962">
        <v>-0.16</v>
      </c>
      <c r="D3962">
        <v>12.11</v>
      </c>
      <c r="E3962" t="s">
        <v>16</v>
      </c>
      <c r="F3962" t="s">
        <v>16</v>
      </c>
      <c r="H3962">
        <v>-0.24</v>
      </c>
      <c r="I3962">
        <v>-5.32</v>
      </c>
      <c r="J3962">
        <v>-0.57</v>
      </c>
      <c r="L3962">
        <v>0</v>
      </c>
      <c r="M3962">
        <v>4.37</v>
      </c>
      <c r="N3962">
        <v>0</v>
      </c>
      <c r="O3962">
        <v>1.33</v>
      </c>
    </row>
    <row r="3963" spans="1:15">
      <c r="A3963" t="str">
        <f>"603108"</f>
        <v>603108</v>
      </c>
      <c r="B3963" t="s">
        <v>4006</v>
      </c>
      <c r="C3963">
        <v>2.26</v>
      </c>
      <c r="D3963">
        <v>10.39</v>
      </c>
      <c r="E3963" t="s">
        <v>16</v>
      </c>
      <c r="F3963" t="s">
        <v>16</v>
      </c>
      <c r="H3963">
        <v>-0.18</v>
      </c>
      <c r="I3963">
        <v>-12.84</v>
      </c>
      <c r="J3963">
        <v>-1.14</v>
      </c>
      <c r="L3963">
        <v>-0.49</v>
      </c>
      <c r="M3963">
        <v>44.08</v>
      </c>
      <c r="N3963">
        <v>0.01</v>
      </c>
      <c r="O3963">
        <v>3.28</v>
      </c>
    </row>
    <row r="3964" spans="1:15">
      <c r="A3964" t="str">
        <f>"603109"</f>
        <v>603109</v>
      </c>
      <c r="B3964" t="s">
        <v>4007</v>
      </c>
      <c r="C3964">
        <v>-0.68</v>
      </c>
      <c r="D3964">
        <v>17.52</v>
      </c>
      <c r="E3964" t="s">
        <v>16</v>
      </c>
      <c r="F3964" t="s">
        <v>16</v>
      </c>
      <c r="H3964">
        <v>-0.05</v>
      </c>
      <c r="I3964">
        <v>-18.93</v>
      </c>
      <c r="J3964">
        <v>-1.52</v>
      </c>
      <c r="L3964">
        <v>0.4</v>
      </c>
      <c r="M3964">
        <v>6.38</v>
      </c>
      <c r="N3964">
        <v>0</v>
      </c>
      <c r="O3964">
        <v>1.29</v>
      </c>
    </row>
    <row r="3965" spans="1:15">
      <c r="A3965" t="str">
        <f>"603110"</f>
        <v>603110</v>
      </c>
      <c r="B3965" t="s">
        <v>4008</v>
      </c>
      <c r="C3965">
        <v>6.4</v>
      </c>
      <c r="D3965">
        <v>24.11</v>
      </c>
      <c r="E3965" t="s">
        <v>16</v>
      </c>
      <c r="F3965" t="s">
        <v>16</v>
      </c>
      <c r="H3965">
        <v>-0.07</v>
      </c>
      <c r="I3965">
        <v>16.93</v>
      </c>
      <c r="J3965">
        <v>-0.78</v>
      </c>
      <c r="L3965">
        <v>-0.04</v>
      </c>
      <c r="M3965">
        <v>118.01</v>
      </c>
      <c r="N3965">
        <v>0.03</v>
      </c>
      <c r="O3965">
        <v>0.74</v>
      </c>
    </row>
    <row r="3966" spans="1:15">
      <c r="A3966" t="str">
        <f>"603111"</f>
        <v>603111</v>
      </c>
      <c r="B3966" t="s">
        <v>4009</v>
      </c>
      <c r="C3966">
        <v>1.02</v>
      </c>
      <c r="D3966">
        <v>5.93</v>
      </c>
      <c r="E3966" t="s">
        <v>16</v>
      </c>
      <c r="F3966" t="s">
        <v>16</v>
      </c>
      <c r="H3966">
        <v>-0.16</v>
      </c>
      <c r="I3966">
        <v>0.34</v>
      </c>
      <c r="J3966">
        <v>-1.33</v>
      </c>
      <c r="L3966">
        <v>0.51</v>
      </c>
      <c r="M3966">
        <v>67.73</v>
      </c>
      <c r="N3966">
        <v>0.02</v>
      </c>
      <c r="O3966">
        <v>9.33</v>
      </c>
    </row>
    <row r="3967" spans="1:15">
      <c r="A3967" t="str">
        <f>"603112"</f>
        <v>603112</v>
      </c>
      <c r="B3967" t="s">
        <v>4010</v>
      </c>
      <c r="C3967">
        <v>0.11</v>
      </c>
      <c r="D3967">
        <v>18.5</v>
      </c>
      <c r="E3967" t="s">
        <v>16</v>
      </c>
      <c r="F3967" t="s">
        <v>16</v>
      </c>
      <c r="H3967">
        <v>0.11</v>
      </c>
      <c r="I3967">
        <v>-9.8</v>
      </c>
      <c r="J3967">
        <v>-1.33</v>
      </c>
      <c r="L3967">
        <v>-0.16</v>
      </c>
      <c r="M3967">
        <v>3.51</v>
      </c>
      <c r="N3967">
        <v>0</v>
      </c>
      <c r="O3967">
        <v>0.36</v>
      </c>
    </row>
    <row r="3968" spans="1:15">
      <c r="A3968" t="str">
        <f>"603113"</f>
        <v>603113</v>
      </c>
      <c r="B3968" t="s">
        <v>4011</v>
      </c>
      <c r="C3968">
        <v>-1.07</v>
      </c>
      <c r="D3968">
        <v>4.63</v>
      </c>
      <c r="E3968" t="s">
        <v>16</v>
      </c>
      <c r="F3968" t="s">
        <v>16</v>
      </c>
      <c r="H3968">
        <v>-0.42</v>
      </c>
      <c r="I3968">
        <v>-7.4</v>
      </c>
      <c r="J3968">
        <v>-1.49</v>
      </c>
      <c r="L3968">
        <v>-0.21</v>
      </c>
      <c r="M3968">
        <v>2.8</v>
      </c>
      <c r="N3968">
        <v>0</v>
      </c>
      <c r="O3968">
        <v>0.64</v>
      </c>
    </row>
    <row r="3969" spans="1:15">
      <c r="A3969" t="str">
        <f>"603115"</f>
        <v>603115</v>
      </c>
      <c r="B3969" t="s">
        <v>4012</v>
      </c>
      <c r="C3969">
        <v>-4.37</v>
      </c>
      <c r="D3969">
        <v>114.7</v>
      </c>
      <c r="E3969" t="s">
        <v>16</v>
      </c>
      <c r="F3969" t="s">
        <v>16</v>
      </c>
      <c r="H3969">
        <v>-0.7</v>
      </c>
      <c r="I3969">
        <v>6.65</v>
      </c>
      <c r="J3969">
        <v>-10.67</v>
      </c>
      <c r="K3969" t="s">
        <v>296</v>
      </c>
      <c r="L3969">
        <v>5.05</v>
      </c>
      <c r="M3969">
        <v>1798.02</v>
      </c>
      <c r="N3969">
        <v>0.17</v>
      </c>
      <c r="O3969">
        <v>1.33</v>
      </c>
    </row>
    <row r="3970" spans="1:15">
      <c r="A3970" t="str">
        <f>"603116"</f>
        <v>603116</v>
      </c>
      <c r="B3970" t="s">
        <v>4013</v>
      </c>
      <c r="C3970">
        <v>-2.39</v>
      </c>
      <c r="D3970">
        <v>6.54</v>
      </c>
      <c r="E3970" t="s">
        <v>16</v>
      </c>
      <c r="F3970" t="s">
        <v>16</v>
      </c>
      <c r="H3970">
        <v>-0.14</v>
      </c>
      <c r="I3970">
        <v>-7.1</v>
      </c>
      <c r="J3970">
        <v>-3.82</v>
      </c>
      <c r="L3970">
        <v>1.49</v>
      </c>
      <c r="M3970">
        <v>25.84</v>
      </c>
      <c r="N3970">
        <v>0.01</v>
      </c>
      <c r="O3970">
        <v>10</v>
      </c>
    </row>
    <row r="3971" spans="1:15">
      <c r="A3971" t="str">
        <f>"603117"</f>
        <v>603117</v>
      </c>
      <c r="B3971" t="s">
        <v>4014</v>
      </c>
      <c r="C3971">
        <v>-0.81</v>
      </c>
      <c r="D3971">
        <v>3.66</v>
      </c>
      <c r="E3971" t="s">
        <v>16</v>
      </c>
      <c r="F3971" t="s">
        <v>16</v>
      </c>
      <c r="H3971">
        <v>-0.53</v>
      </c>
      <c r="I3971">
        <v>-12.65</v>
      </c>
      <c r="J3971">
        <v>-0.81</v>
      </c>
      <c r="L3971">
        <v>-1.08</v>
      </c>
      <c r="M3971">
        <v>12.78</v>
      </c>
      <c r="N3971">
        <v>0.01</v>
      </c>
      <c r="O3971">
        <v>1.92</v>
      </c>
    </row>
    <row r="3972" spans="1:15">
      <c r="A3972" t="str">
        <f>"603118"</f>
        <v>603118</v>
      </c>
      <c r="B3972" t="s">
        <v>4015</v>
      </c>
      <c r="C3972">
        <v>-0.9</v>
      </c>
      <c r="D3972">
        <v>13.2</v>
      </c>
      <c r="E3972" t="s">
        <v>16</v>
      </c>
      <c r="F3972" t="s">
        <v>16</v>
      </c>
      <c r="H3972">
        <v>0</v>
      </c>
      <c r="I3972">
        <v>-0.38</v>
      </c>
      <c r="J3972">
        <v>-1.79</v>
      </c>
      <c r="L3972">
        <v>0.9</v>
      </c>
      <c r="M3972">
        <v>325.25</v>
      </c>
      <c r="N3972">
        <v>0.05</v>
      </c>
      <c r="O3972">
        <v>2.44</v>
      </c>
    </row>
    <row r="3973" spans="1:15">
      <c r="A3973" t="str">
        <f>"603119"</f>
        <v>603119</v>
      </c>
      <c r="B3973" t="s">
        <v>4016</v>
      </c>
      <c r="C3973">
        <v>5.6</v>
      </c>
      <c r="D3973">
        <v>75.4</v>
      </c>
      <c r="E3973" t="s">
        <v>16</v>
      </c>
      <c r="F3973" t="s">
        <v>16</v>
      </c>
      <c r="H3973">
        <v>0.01</v>
      </c>
      <c r="I3973">
        <v>2.86</v>
      </c>
      <c r="J3973">
        <v>-1.44</v>
      </c>
      <c r="L3973">
        <v>0.67</v>
      </c>
      <c r="M3973">
        <v>370.9</v>
      </c>
      <c r="N3973">
        <v>0.02</v>
      </c>
      <c r="O3973">
        <v>0.4</v>
      </c>
    </row>
    <row r="3974" spans="1:15">
      <c r="A3974" t="str">
        <f>"603120"</f>
        <v>603120</v>
      </c>
      <c r="B3974" t="s">
        <v>4017</v>
      </c>
      <c r="C3974">
        <v>-2</v>
      </c>
      <c r="D3974">
        <v>50.41</v>
      </c>
      <c r="E3974" t="s">
        <v>16</v>
      </c>
      <c r="F3974" t="s">
        <v>16</v>
      </c>
      <c r="H3974">
        <v>-0.09</v>
      </c>
      <c r="I3974">
        <v>-9.76</v>
      </c>
      <c r="J3974">
        <v>-1.29</v>
      </c>
      <c r="L3974">
        <v>-0.72</v>
      </c>
      <c r="M3974">
        <v>120.53</v>
      </c>
      <c r="N3974">
        <v>0.07</v>
      </c>
      <c r="O3974">
        <v>0.56</v>
      </c>
    </row>
    <row r="3975" spans="1:15">
      <c r="A3975" t="str">
        <f>"603121"</f>
        <v>603121</v>
      </c>
      <c r="B3975" t="s">
        <v>4018</v>
      </c>
      <c r="C3975">
        <v>-4.51</v>
      </c>
      <c r="D3975">
        <v>14.18</v>
      </c>
      <c r="E3975" t="s">
        <v>16</v>
      </c>
      <c r="F3975" t="s">
        <v>16</v>
      </c>
      <c r="H3975">
        <v>1.65</v>
      </c>
      <c r="I3975">
        <v>-12.47</v>
      </c>
      <c r="J3975">
        <v>-4.06</v>
      </c>
      <c r="L3975">
        <v>-0.94</v>
      </c>
      <c r="M3975">
        <v>14.86</v>
      </c>
      <c r="N3975">
        <v>0.01</v>
      </c>
      <c r="O3975">
        <v>0.68</v>
      </c>
    </row>
    <row r="3976" spans="1:15">
      <c r="A3976" t="str">
        <f>"603122"</f>
        <v>603122</v>
      </c>
      <c r="B3976" t="s">
        <v>4019</v>
      </c>
      <c r="C3976">
        <v>-1.35</v>
      </c>
      <c r="D3976">
        <v>11.66</v>
      </c>
      <c r="E3976" t="s">
        <v>16</v>
      </c>
      <c r="F3976" t="s">
        <v>16</v>
      </c>
      <c r="H3976">
        <v>0.26</v>
      </c>
      <c r="I3976">
        <v>-5.59</v>
      </c>
      <c r="J3976">
        <v>-1.6</v>
      </c>
      <c r="L3976">
        <v>-0.34</v>
      </c>
      <c r="M3976">
        <v>8.48</v>
      </c>
      <c r="N3976">
        <v>0</v>
      </c>
      <c r="O3976">
        <v>0.35</v>
      </c>
    </row>
    <row r="3977" spans="1:15">
      <c r="A3977" t="str">
        <f>"603123"</f>
        <v>603123</v>
      </c>
      <c r="B3977" t="s">
        <v>4020</v>
      </c>
      <c r="C3977">
        <v>-7.16</v>
      </c>
      <c r="D3977">
        <v>9.08</v>
      </c>
      <c r="E3977" t="s">
        <v>16</v>
      </c>
      <c r="F3977" t="s">
        <v>16</v>
      </c>
      <c r="H3977">
        <v>-0.1</v>
      </c>
      <c r="I3977">
        <v>-6</v>
      </c>
      <c r="J3977">
        <v>-6.2</v>
      </c>
      <c r="L3977">
        <v>-1.84</v>
      </c>
      <c r="M3977">
        <v>789.5</v>
      </c>
      <c r="N3977">
        <v>0.25</v>
      </c>
      <c r="O3977">
        <v>43.98</v>
      </c>
    </row>
    <row r="3978" spans="1:15">
      <c r="A3978" t="str">
        <f>"603124"</f>
        <v>603124</v>
      </c>
      <c r="B3978" t="s">
        <v>4021</v>
      </c>
      <c r="C3978">
        <v>10</v>
      </c>
      <c r="D3978">
        <v>211.31</v>
      </c>
      <c r="E3978">
        <v>4152.24</v>
      </c>
      <c r="F3978">
        <v>1</v>
      </c>
      <c r="H3978">
        <v>0</v>
      </c>
      <c r="I3978">
        <v>38.36</v>
      </c>
      <c r="J3978">
        <v>0</v>
      </c>
      <c r="K3978" t="s">
        <v>140</v>
      </c>
      <c r="L3978">
        <v>0</v>
      </c>
      <c r="M3978">
        <v>535.96</v>
      </c>
      <c r="N3978">
        <v>0.04</v>
      </c>
      <c r="O3978">
        <v>1.14</v>
      </c>
    </row>
    <row r="3979" spans="1:15">
      <c r="A3979" t="str">
        <f>"603125"</f>
        <v>603125</v>
      </c>
      <c r="B3979" t="s">
        <v>4022</v>
      </c>
      <c r="C3979">
        <v>1.13</v>
      </c>
      <c r="D3979">
        <v>28.72</v>
      </c>
      <c r="E3979" t="s">
        <v>16</v>
      </c>
      <c r="F3979" t="s">
        <v>16</v>
      </c>
      <c r="H3979">
        <v>0.1</v>
      </c>
      <c r="I3979">
        <v>18.43</v>
      </c>
      <c r="J3979">
        <v>-0.9</v>
      </c>
      <c r="K3979" t="s">
        <v>26</v>
      </c>
      <c r="L3979">
        <v>-0.49</v>
      </c>
      <c r="M3979">
        <v>194.99</v>
      </c>
      <c r="N3979">
        <v>0.06</v>
      </c>
      <c r="O3979">
        <v>0.34</v>
      </c>
    </row>
    <row r="3980" spans="1:15">
      <c r="A3980" t="str">
        <f>"603126"</f>
        <v>603126</v>
      </c>
      <c r="B3980" t="s">
        <v>4023</v>
      </c>
      <c r="C3980">
        <v>-2.86</v>
      </c>
      <c r="D3980">
        <v>7.13</v>
      </c>
      <c r="E3980" t="s">
        <v>16</v>
      </c>
      <c r="F3980" t="s">
        <v>16</v>
      </c>
      <c r="H3980">
        <v>-0.13</v>
      </c>
      <c r="I3980">
        <v>-9.86</v>
      </c>
      <c r="J3980">
        <v>-2.73</v>
      </c>
      <c r="L3980">
        <v>-0.95</v>
      </c>
      <c r="M3980">
        <v>14.83</v>
      </c>
      <c r="N3980">
        <v>0.01</v>
      </c>
      <c r="O3980">
        <v>0.23</v>
      </c>
    </row>
    <row r="3981" spans="1:15">
      <c r="A3981" t="str">
        <f>"603127"</f>
        <v>603127</v>
      </c>
      <c r="B3981" t="s">
        <v>4024</v>
      </c>
      <c r="C3981">
        <v>9.99</v>
      </c>
      <c r="D3981">
        <v>35.66</v>
      </c>
      <c r="E3981">
        <v>8716.73</v>
      </c>
      <c r="F3981">
        <v>1</v>
      </c>
      <c r="H3981">
        <v>0</v>
      </c>
      <c r="I3981">
        <v>6.7</v>
      </c>
      <c r="J3981">
        <v>0</v>
      </c>
      <c r="K3981" t="s">
        <v>140</v>
      </c>
      <c r="L3981">
        <v>-0.37</v>
      </c>
      <c r="M3981">
        <v>130.17</v>
      </c>
      <c r="N3981">
        <v>0.01</v>
      </c>
      <c r="O3981">
        <v>2.04</v>
      </c>
    </row>
    <row r="3982" spans="1:15">
      <c r="A3982" t="str">
        <f>"603128"</f>
        <v>603128</v>
      </c>
      <c r="B3982" t="s">
        <v>4025</v>
      </c>
      <c r="C3982">
        <v>0</v>
      </c>
      <c r="D3982">
        <v>5.16</v>
      </c>
      <c r="E3982" t="s">
        <v>16</v>
      </c>
      <c r="F3982" t="s">
        <v>16</v>
      </c>
      <c r="H3982">
        <v>0</v>
      </c>
      <c r="I3982">
        <v>-3.01</v>
      </c>
      <c r="J3982">
        <v>-0.58</v>
      </c>
      <c r="L3982">
        <v>-0.39</v>
      </c>
      <c r="M3982">
        <v>11.87</v>
      </c>
      <c r="N3982">
        <v>0</v>
      </c>
      <c r="O3982">
        <v>0.6</v>
      </c>
    </row>
    <row r="3983" spans="1:15">
      <c r="A3983" t="str">
        <f>"603129"</f>
        <v>603129</v>
      </c>
      <c r="B3983" t="s">
        <v>4026</v>
      </c>
      <c r="C3983">
        <v>-1.32</v>
      </c>
      <c r="D3983">
        <v>221.02</v>
      </c>
      <c r="E3983" t="s">
        <v>16</v>
      </c>
      <c r="F3983" t="s">
        <v>16</v>
      </c>
      <c r="H3983">
        <v>0.01</v>
      </c>
      <c r="I3983">
        <v>-2.79</v>
      </c>
      <c r="J3983">
        <v>-2.21</v>
      </c>
      <c r="L3983">
        <v>-0.78</v>
      </c>
      <c r="M3983">
        <v>86.67</v>
      </c>
      <c r="N3983">
        <v>0</v>
      </c>
      <c r="O3983">
        <v>0.31</v>
      </c>
    </row>
    <row r="3984" spans="1:15">
      <c r="A3984" t="str">
        <f>"603130"</f>
        <v>603130</v>
      </c>
      <c r="B3984" t="s">
        <v>4027</v>
      </c>
      <c r="C3984">
        <v>-2.12</v>
      </c>
      <c r="D3984">
        <v>43.35</v>
      </c>
      <c r="E3984" t="s">
        <v>16</v>
      </c>
      <c r="F3984" t="s">
        <v>16</v>
      </c>
      <c r="H3984">
        <v>-0.33</v>
      </c>
      <c r="I3984">
        <v>-1.52</v>
      </c>
      <c r="J3984">
        <v>-5.74</v>
      </c>
      <c r="L3984">
        <v>-0.29</v>
      </c>
      <c r="M3984">
        <v>1.32</v>
      </c>
      <c r="N3984">
        <v>0</v>
      </c>
      <c r="O3984">
        <v>0.25</v>
      </c>
    </row>
    <row r="3985" spans="1:15">
      <c r="A3985" t="str">
        <f>"603131"</f>
        <v>603131</v>
      </c>
      <c r="B3985" t="s">
        <v>4028</v>
      </c>
      <c r="C3985">
        <v>1.15</v>
      </c>
      <c r="D3985">
        <v>18.5</v>
      </c>
      <c r="E3985" t="s">
        <v>16</v>
      </c>
      <c r="F3985" t="s">
        <v>16</v>
      </c>
      <c r="H3985">
        <v>-0.04</v>
      </c>
      <c r="I3985">
        <v>-1.18</v>
      </c>
      <c r="J3985">
        <v>-0.7</v>
      </c>
      <c r="L3985">
        <v>-0.77</v>
      </c>
      <c r="M3985">
        <v>65.88</v>
      </c>
      <c r="N3985">
        <v>0.02</v>
      </c>
      <c r="O3985">
        <v>3.33</v>
      </c>
    </row>
    <row r="3986" spans="1:15">
      <c r="A3986" t="str">
        <f>"603132"</f>
        <v>603132</v>
      </c>
      <c r="B3986" t="s">
        <v>4029</v>
      </c>
      <c r="C3986">
        <v>-3.56</v>
      </c>
      <c r="D3986">
        <v>16.8</v>
      </c>
      <c r="E3986" t="s">
        <v>16</v>
      </c>
      <c r="F3986" t="s">
        <v>16</v>
      </c>
      <c r="H3986">
        <v>0</v>
      </c>
      <c r="I3986">
        <v>-1.87</v>
      </c>
      <c r="J3986">
        <v>-4</v>
      </c>
      <c r="L3986">
        <v>-0.69</v>
      </c>
      <c r="M3986">
        <v>30.28</v>
      </c>
      <c r="N3986">
        <v>0.01</v>
      </c>
      <c r="O3986">
        <v>0.71</v>
      </c>
    </row>
    <row r="3987" spans="1:15">
      <c r="A3987" t="str">
        <f>"603135"</f>
        <v>603135</v>
      </c>
      <c r="B3987" t="s">
        <v>4030</v>
      </c>
      <c r="C3987">
        <v>1.49</v>
      </c>
      <c r="D3987">
        <v>12.93</v>
      </c>
      <c r="E3987" t="s">
        <v>16</v>
      </c>
      <c r="F3987" t="s">
        <v>16</v>
      </c>
      <c r="H3987">
        <v>-0.07</v>
      </c>
      <c r="I3987">
        <v>1.41</v>
      </c>
      <c r="J3987">
        <v>-1.97</v>
      </c>
      <c r="L3987">
        <v>-1.1</v>
      </c>
      <c r="M3987">
        <v>128.39</v>
      </c>
      <c r="N3987">
        <v>0.06</v>
      </c>
      <c r="O3987">
        <v>0.86</v>
      </c>
    </row>
    <row r="3988" spans="1:15">
      <c r="A3988" t="str">
        <f>"603136"</f>
        <v>603136</v>
      </c>
      <c r="B3988" t="s">
        <v>4031</v>
      </c>
      <c r="C3988">
        <v>-0.46</v>
      </c>
      <c r="D3988">
        <v>8.6</v>
      </c>
      <c r="E3988" t="s">
        <v>16</v>
      </c>
      <c r="F3988" t="s">
        <v>16</v>
      </c>
      <c r="H3988">
        <v>-0.11</v>
      </c>
      <c r="I3988">
        <v>-5.18</v>
      </c>
      <c r="J3988">
        <v>-0.92</v>
      </c>
      <c r="L3988">
        <v>-0.23</v>
      </c>
      <c r="M3988">
        <v>4.83</v>
      </c>
      <c r="N3988">
        <v>0</v>
      </c>
      <c r="O3988">
        <v>2.24</v>
      </c>
    </row>
    <row r="3989" spans="1:15">
      <c r="A3989" t="str">
        <f>"603137"</f>
        <v>603137</v>
      </c>
      <c r="B3989" t="s">
        <v>4032</v>
      </c>
      <c r="C3989">
        <v>0</v>
      </c>
      <c r="D3989">
        <v>12.94</v>
      </c>
      <c r="E3989" t="s">
        <v>16</v>
      </c>
      <c r="F3989" t="s">
        <v>16</v>
      </c>
      <c r="H3989">
        <v>0</v>
      </c>
      <c r="I3989">
        <v>6.5</v>
      </c>
      <c r="J3989" t="s">
        <v>16</v>
      </c>
      <c r="K3989" t="s">
        <v>140</v>
      </c>
      <c r="L3989" t="s">
        <v>16</v>
      </c>
      <c r="M3989">
        <v>0</v>
      </c>
      <c r="N3989" t="s">
        <v>16</v>
      </c>
      <c r="O3989" t="s">
        <v>16</v>
      </c>
    </row>
    <row r="3990" spans="1:15">
      <c r="A3990" t="str">
        <f>"603138"</f>
        <v>603138</v>
      </c>
      <c r="B3990" t="s">
        <v>4033</v>
      </c>
      <c r="C3990">
        <v>-0.38</v>
      </c>
      <c r="D3990">
        <v>15.87</v>
      </c>
      <c r="E3990" t="s">
        <v>16</v>
      </c>
      <c r="F3990" t="s">
        <v>16</v>
      </c>
      <c r="H3990">
        <v>0.13</v>
      </c>
      <c r="I3990">
        <v>-11.88</v>
      </c>
      <c r="J3990">
        <v>-1.86</v>
      </c>
      <c r="L3990">
        <v>-0.13</v>
      </c>
      <c r="M3990">
        <v>15.91</v>
      </c>
      <c r="N3990">
        <v>0.01</v>
      </c>
      <c r="O3990">
        <v>0.85</v>
      </c>
    </row>
    <row r="3991" spans="1:15">
      <c r="A3991" t="str">
        <f>"603139"</f>
        <v>603139</v>
      </c>
      <c r="B3991" t="s">
        <v>4034</v>
      </c>
      <c r="C3991">
        <v>2.45</v>
      </c>
      <c r="D3991">
        <v>45.21</v>
      </c>
      <c r="E3991" t="s">
        <v>16</v>
      </c>
      <c r="F3991" t="s">
        <v>16</v>
      </c>
      <c r="H3991">
        <v>-0.43</v>
      </c>
      <c r="I3991">
        <v>17.49</v>
      </c>
      <c r="J3991">
        <v>-3.64</v>
      </c>
      <c r="K3991" t="s">
        <v>54</v>
      </c>
      <c r="L3991">
        <v>4.24</v>
      </c>
      <c r="M3991">
        <v>820.18</v>
      </c>
      <c r="N3991">
        <v>0.35</v>
      </c>
      <c r="O3991">
        <v>5.21</v>
      </c>
    </row>
    <row r="3992" spans="1:15">
      <c r="A3992" t="str">
        <f>"603150"</f>
        <v>603150</v>
      </c>
      <c r="B3992" t="s">
        <v>4035</v>
      </c>
      <c r="C3992">
        <v>0.46</v>
      </c>
      <c r="D3992">
        <v>78.72</v>
      </c>
      <c r="E3992" t="s">
        <v>16</v>
      </c>
      <c r="F3992" t="s">
        <v>16</v>
      </c>
      <c r="H3992">
        <v>-0.02</v>
      </c>
      <c r="I3992">
        <v>18.11</v>
      </c>
      <c r="J3992">
        <v>-1.94</v>
      </c>
      <c r="L3992">
        <v>0.18</v>
      </c>
      <c r="M3992">
        <v>36.9</v>
      </c>
      <c r="N3992">
        <v>0.01</v>
      </c>
      <c r="O3992">
        <v>0.6</v>
      </c>
    </row>
    <row r="3993" spans="1:15">
      <c r="A3993" t="str">
        <f>"603151"</f>
        <v>603151</v>
      </c>
      <c r="B3993" t="s">
        <v>4036</v>
      </c>
      <c r="C3993">
        <v>-1.01</v>
      </c>
      <c r="D3993">
        <v>11.76</v>
      </c>
      <c r="E3993" t="s">
        <v>16</v>
      </c>
      <c r="F3993" t="s">
        <v>16</v>
      </c>
      <c r="H3993">
        <v>-0.24</v>
      </c>
      <c r="I3993">
        <v>-5.24</v>
      </c>
      <c r="J3993">
        <v>-1.92</v>
      </c>
      <c r="L3993">
        <v>-0.42</v>
      </c>
      <c r="M3993">
        <v>9.11</v>
      </c>
      <c r="N3993">
        <v>0.01</v>
      </c>
      <c r="O3993">
        <v>0.25</v>
      </c>
    </row>
    <row r="3994" spans="1:15">
      <c r="A3994" t="str">
        <f>"603153"</f>
        <v>603153</v>
      </c>
      <c r="B3994" t="s">
        <v>4037</v>
      </c>
      <c r="C3994">
        <v>0.07</v>
      </c>
      <c r="D3994">
        <v>13.56</v>
      </c>
      <c r="E3994" t="s">
        <v>16</v>
      </c>
      <c r="F3994" t="s">
        <v>16</v>
      </c>
      <c r="H3994">
        <v>0.15</v>
      </c>
      <c r="I3994">
        <v>-3.62</v>
      </c>
      <c r="J3994">
        <v>-0.37</v>
      </c>
      <c r="L3994">
        <v>-1.18</v>
      </c>
      <c r="M3994">
        <v>2.28</v>
      </c>
      <c r="N3994">
        <v>0</v>
      </c>
      <c r="O3994">
        <v>1.22</v>
      </c>
    </row>
    <row r="3995" spans="1:15">
      <c r="A3995" t="str">
        <f>"603155"</f>
        <v>603155</v>
      </c>
      <c r="B3995" t="s">
        <v>4038</v>
      </c>
      <c r="C3995">
        <v>-7.24</v>
      </c>
      <c r="D3995">
        <v>23.06</v>
      </c>
      <c r="E3995" t="s">
        <v>16</v>
      </c>
      <c r="F3995" t="s">
        <v>16</v>
      </c>
      <c r="H3995">
        <v>0.48</v>
      </c>
      <c r="I3995">
        <v>17.06</v>
      </c>
      <c r="J3995">
        <v>-3.96</v>
      </c>
      <c r="L3995">
        <v>-3.46</v>
      </c>
      <c r="M3995">
        <v>588.72</v>
      </c>
      <c r="N3995">
        <v>0.29</v>
      </c>
      <c r="O3995">
        <v>1.47</v>
      </c>
    </row>
    <row r="3996" spans="1:15">
      <c r="A3996" t="str">
        <f>"603156"</f>
        <v>603156</v>
      </c>
      <c r="B3996" t="s">
        <v>4039</v>
      </c>
      <c r="C3996">
        <v>4.08</v>
      </c>
      <c r="D3996">
        <v>45.68</v>
      </c>
      <c r="E3996" t="s">
        <v>16</v>
      </c>
      <c r="F3996" t="s">
        <v>16</v>
      </c>
      <c r="H3996">
        <v>-0.03</v>
      </c>
      <c r="I3996">
        <v>10.39</v>
      </c>
      <c r="J3996">
        <v>-0.67</v>
      </c>
      <c r="L3996">
        <v>0</v>
      </c>
      <c r="M3996">
        <v>513.51</v>
      </c>
      <c r="N3996">
        <v>0.02</v>
      </c>
      <c r="O3996">
        <v>3.09</v>
      </c>
    </row>
    <row r="3997" spans="1:15">
      <c r="A3997" t="str">
        <f>"603158"</f>
        <v>603158</v>
      </c>
      <c r="B3997" t="s">
        <v>4040</v>
      </c>
      <c r="C3997">
        <v>-1.38</v>
      </c>
      <c r="D3997">
        <v>13.54</v>
      </c>
      <c r="E3997" t="s">
        <v>16</v>
      </c>
      <c r="F3997" t="s">
        <v>16</v>
      </c>
      <c r="H3997">
        <v>-0.06</v>
      </c>
      <c r="I3997">
        <v>-13.98</v>
      </c>
      <c r="J3997">
        <v>-3.84</v>
      </c>
      <c r="L3997">
        <v>0.95</v>
      </c>
      <c r="M3997">
        <v>93.69</v>
      </c>
      <c r="N3997">
        <v>0.02</v>
      </c>
      <c r="O3997">
        <v>0.53</v>
      </c>
    </row>
    <row r="3998" spans="1:15">
      <c r="A3998" t="str">
        <f>"603159"</f>
        <v>603159</v>
      </c>
      <c r="B3998" t="s">
        <v>4041</v>
      </c>
      <c r="C3998">
        <v>0</v>
      </c>
      <c r="D3998">
        <v>26</v>
      </c>
      <c r="E3998" t="s">
        <v>16</v>
      </c>
      <c r="F3998" t="s">
        <v>16</v>
      </c>
      <c r="H3998">
        <v>0</v>
      </c>
      <c r="I3998">
        <v>-3.99</v>
      </c>
      <c r="J3998" t="s">
        <v>16</v>
      </c>
      <c r="L3998" t="s">
        <v>16</v>
      </c>
      <c r="M3998">
        <v>0</v>
      </c>
      <c r="N3998" t="s">
        <v>16</v>
      </c>
      <c r="O3998" t="s">
        <v>16</v>
      </c>
    </row>
    <row r="3999" spans="1:15">
      <c r="A3999" t="str">
        <f>"603160"</f>
        <v>603160</v>
      </c>
      <c r="B3999" t="s">
        <v>4042</v>
      </c>
      <c r="C3999">
        <v>-1.17</v>
      </c>
      <c r="D3999">
        <v>59.04</v>
      </c>
      <c r="E3999" t="s">
        <v>16</v>
      </c>
      <c r="F3999" t="s">
        <v>16</v>
      </c>
      <c r="H3999">
        <v>-0.07</v>
      </c>
      <c r="I3999">
        <v>6.19</v>
      </c>
      <c r="J3999">
        <v>-1.17</v>
      </c>
      <c r="L3999">
        <v>-0.49</v>
      </c>
      <c r="M3999">
        <v>148.63</v>
      </c>
      <c r="N3999">
        <v>0.01</v>
      </c>
      <c r="O3999">
        <v>1.21</v>
      </c>
    </row>
    <row r="4000" spans="1:15">
      <c r="A4000" t="str">
        <f>"603161"</f>
        <v>603161</v>
      </c>
      <c r="B4000" t="s">
        <v>4043</v>
      </c>
      <c r="C4000">
        <v>-0.54</v>
      </c>
      <c r="D4000">
        <v>14.66</v>
      </c>
      <c r="E4000" t="s">
        <v>16</v>
      </c>
      <c r="F4000" t="s">
        <v>16</v>
      </c>
      <c r="H4000">
        <v>0.41</v>
      </c>
      <c r="I4000">
        <v>-1.08</v>
      </c>
      <c r="J4000">
        <v>-2.66</v>
      </c>
      <c r="L4000">
        <v>-0.07</v>
      </c>
      <c r="M4000">
        <v>9.72</v>
      </c>
      <c r="N4000">
        <v>0.01</v>
      </c>
      <c r="O4000">
        <v>0.24</v>
      </c>
    </row>
    <row r="4001" spans="1:15">
      <c r="A4001" t="str">
        <f>"603162"</f>
        <v>603162</v>
      </c>
      <c r="B4001" t="s">
        <v>4044</v>
      </c>
      <c r="C4001">
        <v>-2.06</v>
      </c>
      <c r="D4001">
        <v>9.53</v>
      </c>
      <c r="E4001" t="s">
        <v>16</v>
      </c>
      <c r="F4001" t="s">
        <v>16</v>
      </c>
      <c r="H4001">
        <v>0</v>
      </c>
      <c r="I4001">
        <v>-13.05</v>
      </c>
      <c r="J4001">
        <v>-2.06</v>
      </c>
      <c r="L4001">
        <v>-0.92</v>
      </c>
      <c r="M4001">
        <v>62.18</v>
      </c>
      <c r="N4001">
        <v>0.02</v>
      </c>
      <c r="O4001">
        <v>2.74</v>
      </c>
    </row>
    <row r="4002" spans="1:15">
      <c r="A4002" t="str">
        <f>"603163"</f>
        <v>603163</v>
      </c>
      <c r="B4002" t="s">
        <v>4045</v>
      </c>
      <c r="C4002">
        <v>-6.09</v>
      </c>
      <c r="D4002">
        <v>112.84</v>
      </c>
      <c r="E4002" t="s">
        <v>16</v>
      </c>
      <c r="F4002" t="s">
        <v>16</v>
      </c>
      <c r="H4002">
        <v>0.31</v>
      </c>
      <c r="I4002">
        <v>13.46</v>
      </c>
      <c r="J4002">
        <v>-5.87</v>
      </c>
      <c r="L4002">
        <v>-2.63</v>
      </c>
      <c r="M4002">
        <v>265.59</v>
      </c>
      <c r="N4002">
        <v>0.08</v>
      </c>
      <c r="O4002">
        <v>1.5</v>
      </c>
    </row>
    <row r="4003" spans="1:15">
      <c r="A4003" t="str">
        <f>"603165"</f>
        <v>603165</v>
      </c>
      <c r="B4003" t="s">
        <v>4046</v>
      </c>
      <c r="C4003">
        <v>-0.64</v>
      </c>
      <c r="D4003">
        <v>15.6</v>
      </c>
      <c r="E4003" t="s">
        <v>16</v>
      </c>
      <c r="F4003" t="s">
        <v>16</v>
      </c>
      <c r="H4003">
        <v>0.26</v>
      </c>
      <c r="I4003">
        <v>0.71</v>
      </c>
      <c r="J4003">
        <v>-1.89</v>
      </c>
      <c r="L4003">
        <v>0.13</v>
      </c>
      <c r="M4003">
        <v>31.6</v>
      </c>
      <c r="N4003">
        <v>0.01</v>
      </c>
      <c r="O4003">
        <v>2.58</v>
      </c>
    </row>
    <row r="4004" spans="1:15">
      <c r="A4004" t="str">
        <f>"603166"</f>
        <v>603166</v>
      </c>
      <c r="B4004" t="s">
        <v>4047</v>
      </c>
      <c r="C4004">
        <v>4.3</v>
      </c>
      <c r="D4004">
        <v>16.49</v>
      </c>
      <c r="E4004" t="s">
        <v>16</v>
      </c>
      <c r="F4004" t="s">
        <v>16</v>
      </c>
      <c r="H4004">
        <v>-0.11</v>
      </c>
      <c r="I4004">
        <v>34.83</v>
      </c>
      <c r="J4004">
        <v>-2.83</v>
      </c>
      <c r="K4004" t="s">
        <v>26</v>
      </c>
      <c r="L4004">
        <v>0.19</v>
      </c>
      <c r="M4004">
        <v>902.09</v>
      </c>
      <c r="N4004">
        <v>0.22</v>
      </c>
      <c r="O4004">
        <v>0.86</v>
      </c>
    </row>
    <row r="4005" spans="1:15">
      <c r="A4005" t="str">
        <f>"603167"</f>
        <v>603167</v>
      </c>
      <c r="B4005" t="s">
        <v>4048</v>
      </c>
      <c r="C4005">
        <v>-0.55</v>
      </c>
      <c r="D4005">
        <v>9.01</v>
      </c>
      <c r="E4005" t="s">
        <v>16</v>
      </c>
      <c r="F4005" t="s">
        <v>16</v>
      </c>
      <c r="H4005">
        <v>0.22</v>
      </c>
      <c r="I4005">
        <v>0</v>
      </c>
      <c r="J4005">
        <v>-0.44</v>
      </c>
      <c r="L4005">
        <v>-0.22</v>
      </c>
      <c r="M4005">
        <v>6.06</v>
      </c>
      <c r="N4005">
        <v>0</v>
      </c>
      <c r="O4005">
        <v>0.53</v>
      </c>
    </row>
    <row r="4006" spans="1:15">
      <c r="A4006" t="str">
        <f>"603168"</f>
        <v>603168</v>
      </c>
      <c r="B4006" t="s">
        <v>4049</v>
      </c>
      <c r="C4006">
        <v>0.2</v>
      </c>
      <c r="D4006">
        <v>5.09</v>
      </c>
      <c r="E4006" t="s">
        <v>16</v>
      </c>
      <c r="F4006" t="s">
        <v>16</v>
      </c>
      <c r="H4006">
        <v>-0.19</v>
      </c>
      <c r="I4006">
        <v>-7.96</v>
      </c>
      <c r="J4006">
        <v>-1.93</v>
      </c>
      <c r="L4006">
        <v>-0.39</v>
      </c>
      <c r="M4006">
        <v>14.37</v>
      </c>
      <c r="N4006">
        <v>0.01</v>
      </c>
      <c r="O4006">
        <v>0.6</v>
      </c>
    </row>
    <row r="4007" spans="1:15">
      <c r="A4007" t="str">
        <f>"603169"</f>
        <v>603169</v>
      </c>
      <c r="B4007" t="s">
        <v>4050</v>
      </c>
      <c r="C4007">
        <v>-6.38</v>
      </c>
      <c r="D4007">
        <v>7.92</v>
      </c>
      <c r="E4007" t="s">
        <v>16</v>
      </c>
      <c r="F4007" t="s">
        <v>16</v>
      </c>
      <c r="H4007">
        <v>-0.24</v>
      </c>
      <c r="I4007">
        <v>2.72</v>
      </c>
      <c r="J4007">
        <v>-3.3</v>
      </c>
      <c r="K4007" t="s">
        <v>26</v>
      </c>
      <c r="L4007">
        <v>-4.26</v>
      </c>
      <c r="M4007">
        <v>738.72</v>
      </c>
      <c r="N4007">
        <v>0.13</v>
      </c>
      <c r="O4007">
        <v>0.64</v>
      </c>
    </row>
    <row r="4008" spans="1:15">
      <c r="A4008" t="str">
        <f>"603170"</f>
        <v>603170</v>
      </c>
      <c r="B4008" t="s">
        <v>4051</v>
      </c>
      <c r="C4008">
        <v>0</v>
      </c>
      <c r="D4008">
        <v>11.76</v>
      </c>
      <c r="E4008" t="s">
        <v>16</v>
      </c>
      <c r="F4008" t="s">
        <v>16</v>
      </c>
      <c r="H4008">
        <v>-0.33</v>
      </c>
      <c r="I4008">
        <v>-1.67</v>
      </c>
      <c r="J4008">
        <v>-0.59</v>
      </c>
      <c r="L4008">
        <v>0</v>
      </c>
      <c r="M4008">
        <v>1.18</v>
      </c>
      <c r="N4008">
        <v>0</v>
      </c>
      <c r="O4008" t="s">
        <v>16</v>
      </c>
    </row>
    <row r="4009" spans="1:15">
      <c r="A4009" t="str">
        <f>"603171"</f>
        <v>603171</v>
      </c>
      <c r="B4009" t="s">
        <v>4052</v>
      </c>
      <c r="C4009">
        <v>3.19</v>
      </c>
      <c r="D4009">
        <v>45.31</v>
      </c>
      <c r="E4009" t="s">
        <v>16</v>
      </c>
      <c r="F4009" t="s">
        <v>16</v>
      </c>
      <c r="H4009">
        <v>-0.1</v>
      </c>
      <c r="I4009">
        <v>-6.35</v>
      </c>
      <c r="J4009">
        <v>-1.18</v>
      </c>
      <c r="L4009">
        <v>0.23</v>
      </c>
      <c r="M4009">
        <v>37.45</v>
      </c>
      <c r="N4009">
        <v>0.01</v>
      </c>
      <c r="O4009">
        <v>0.98</v>
      </c>
    </row>
    <row r="4010" spans="1:15">
      <c r="A4010" t="str">
        <f>"603172"</f>
        <v>603172</v>
      </c>
      <c r="B4010" t="s">
        <v>4053</v>
      </c>
      <c r="C4010">
        <v>-2.26</v>
      </c>
      <c r="D4010">
        <v>17.76</v>
      </c>
      <c r="E4010" t="s">
        <v>16</v>
      </c>
      <c r="F4010" t="s">
        <v>16</v>
      </c>
      <c r="H4010">
        <v>-0.21</v>
      </c>
      <c r="I4010">
        <v>-6.18</v>
      </c>
      <c r="J4010">
        <v>-2.31</v>
      </c>
      <c r="L4010">
        <v>-1.21</v>
      </c>
      <c r="M4010">
        <v>18.85</v>
      </c>
      <c r="N4010">
        <v>0.02</v>
      </c>
      <c r="O4010">
        <v>1.67</v>
      </c>
    </row>
    <row r="4011" spans="1:15">
      <c r="A4011" t="str">
        <f>"603173"</f>
        <v>603173</v>
      </c>
      <c r="B4011" t="s">
        <v>4054</v>
      </c>
      <c r="C4011">
        <v>5.33</v>
      </c>
      <c r="D4011">
        <v>35.59</v>
      </c>
      <c r="E4011" t="s">
        <v>16</v>
      </c>
      <c r="F4011" t="s">
        <v>16</v>
      </c>
      <c r="H4011">
        <v>0.03</v>
      </c>
      <c r="I4011">
        <v>3.67</v>
      </c>
      <c r="J4011">
        <v>-2.49</v>
      </c>
      <c r="L4011">
        <v>0</v>
      </c>
      <c r="M4011">
        <v>6.42</v>
      </c>
      <c r="N4011">
        <v>0</v>
      </c>
      <c r="O4011">
        <v>0.5</v>
      </c>
    </row>
    <row r="4012" spans="1:15">
      <c r="A4012" t="str">
        <f>"603175"</f>
        <v>603175</v>
      </c>
      <c r="B4012" t="s">
        <v>4055</v>
      </c>
      <c r="C4012">
        <v>-1.74</v>
      </c>
      <c r="D4012">
        <v>101.18</v>
      </c>
      <c r="E4012" t="s">
        <v>16</v>
      </c>
      <c r="F4012" t="s">
        <v>16</v>
      </c>
      <c r="H4012">
        <v>-0.08</v>
      </c>
      <c r="I4012">
        <v>20.48</v>
      </c>
      <c r="J4012">
        <v>-2.3</v>
      </c>
      <c r="K4012" t="s">
        <v>26</v>
      </c>
      <c r="L4012">
        <v>-1.8</v>
      </c>
      <c r="M4012">
        <v>799.86</v>
      </c>
      <c r="N4012">
        <v>0.17</v>
      </c>
      <c r="O4012">
        <v>0.59</v>
      </c>
    </row>
    <row r="4013" spans="1:15">
      <c r="A4013" t="str">
        <f>"603176"</f>
        <v>603176</v>
      </c>
      <c r="B4013" t="s">
        <v>4056</v>
      </c>
      <c r="C4013">
        <v>-1.52</v>
      </c>
      <c r="D4013">
        <v>4.53</v>
      </c>
      <c r="E4013" t="s">
        <v>16</v>
      </c>
      <c r="F4013" t="s">
        <v>16</v>
      </c>
      <c r="H4013">
        <v>-0.21</v>
      </c>
      <c r="I4013">
        <v>-7.93</v>
      </c>
      <c r="J4013">
        <v>-1.74</v>
      </c>
      <c r="L4013">
        <v>-0.65</v>
      </c>
      <c r="M4013">
        <v>16.27</v>
      </c>
      <c r="N4013">
        <v>0.02</v>
      </c>
      <c r="O4013">
        <v>0.54</v>
      </c>
    </row>
    <row r="4014" spans="1:15">
      <c r="A4014" t="str">
        <f>"603177"</f>
        <v>603177</v>
      </c>
      <c r="B4014" t="s">
        <v>4057</v>
      </c>
      <c r="C4014">
        <v>10.01</v>
      </c>
      <c r="D4014">
        <v>10.88</v>
      </c>
      <c r="E4014">
        <v>725.04</v>
      </c>
      <c r="F4014">
        <v>1</v>
      </c>
      <c r="H4014">
        <v>0</v>
      </c>
      <c r="I4014">
        <v>10.01</v>
      </c>
      <c r="J4014">
        <v>0</v>
      </c>
      <c r="K4014" t="s">
        <v>140</v>
      </c>
      <c r="L4014">
        <v>-0.91</v>
      </c>
      <c r="M4014">
        <v>149.25</v>
      </c>
      <c r="N4014">
        <v>0.18</v>
      </c>
      <c r="O4014">
        <v>1.53</v>
      </c>
    </row>
    <row r="4015" spans="1:15">
      <c r="A4015" t="str">
        <f>"603178"</f>
        <v>603178</v>
      </c>
      <c r="B4015" t="s">
        <v>4058</v>
      </c>
      <c r="C4015">
        <v>-0.67</v>
      </c>
      <c r="D4015">
        <v>16.25</v>
      </c>
      <c r="E4015" t="s">
        <v>16</v>
      </c>
      <c r="F4015" t="s">
        <v>16</v>
      </c>
      <c r="H4015">
        <v>-0.11</v>
      </c>
      <c r="I4015">
        <v>-4.58</v>
      </c>
      <c r="J4015">
        <v>-1.4</v>
      </c>
      <c r="L4015">
        <v>-0.98</v>
      </c>
      <c r="M4015">
        <v>211.25</v>
      </c>
      <c r="N4015">
        <v>0.14</v>
      </c>
      <c r="O4015">
        <v>2.09</v>
      </c>
    </row>
    <row r="4016" spans="1:15">
      <c r="A4016" t="str">
        <f>"603179"</f>
        <v>603179</v>
      </c>
      <c r="B4016" t="s">
        <v>4059</v>
      </c>
      <c r="C4016">
        <v>4.45</v>
      </c>
      <c r="D4016">
        <v>52.6</v>
      </c>
      <c r="E4016" t="s">
        <v>16</v>
      </c>
      <c r="F4016" t="s">
        <v>16</v>
      </c>
      <c r="H4016">
        <v>0.38</v>
      </c>
      <c r="I4016">
        <v>-0.96</v>
      </c>
      <c r="J4016">
        <v>-2.28</v>
      </c>
      <c r="L4016">
        <v>0.44</v>
      </c>
      <c r="M4016">
        <v>284.26</v>
      </c>
      <c r="N4016">
        <v>0.01</v>
      </c>
      <c r="O4016">
        <v>1.69</v>
      </c>
    </row>
    <row r="4017" spans="1:15">
      <c r="A4017" t="str">
        <f>"603180"</f>
        <v>603180</v>
      </c>
      <c r="B4017" t="s">
        <v>4060</v>
      </c>
      <c r="C4017">
        <v>-0.74</v>
      </c>
      <c r="D4017">
        <v>14.69</v>
      </c>
      <c r="E4017" t="s">
        <v>16</v>
      </c>
      <c r="F4017" t="s">
        <v>16</v>
      </c>
      <c r="H4017">
        <v>-0.87</v>
      </c>
      <c r="I4017">
        <v>-8.7</v>
      </c>
      <c r="J4017">
        <v>-1.94</v>
      </c>
      <c r="L4017">
        <v>-0.14</v>
      </c>
      <c r="M4017">
        <v>48.63</v>
      </c>
      <c r="N4017">
        <v>0.07</v>
      </c>
      <c r="O4017">
        <v>0.37</v>
      </c>
    </row>
    <row r="4018" spans="1:15">
      <c r="A4018" t="str">
        <f>"603181"</f>
        <v>603181</v>
      </c>
      <c r="B4018" t="s">
        <v>4061</v>
      </c>
      <c r="C4018">
        <v>-2.1</v>
      </c>
      <c r="D4018">
        <v>15.39</v>
      </c>
      <c r="E4018" t="s">
        <v>16</v>
      </c>
      <c r="F4018" t="s">
        <v>16</v>
      </c>
      <c r="H4018">
        <v>0</v>
      </c>
      <c r="I4018">
        <v>17.93</v>
      </c>
      <c r="J4018">
        <v>-4.17</v>
      </c>
      <c r="L4018">
        <v>0.25</v>
      </c>
      <c r="M4018">
        <v>72.02</v>
      </c>
      <c r="N4018">
        <v>0.01</v>
      </c>
      <c r="O4018">
        <v>0.7</v>
      </c>
    </row>
    <row r="4019" spans="1:15">
      <c r="A4019" t="str">
        <f>"603182"</f>
        <v>603182</v>
      </c>
      <c r="B4019" t="s">
        <v>4062</v>
      </c>
      <c r="C4019">
        <v>2.56</v>
      </c>
      <c r="D4019">
        <v>12.41</v>
      </c>
      <c r="E4019" t="s">
        <v>16</v>
      </c>
      <c r="F4019" t="s">
        <v>16</v>
      </c>
      <c r="H4019">
        <v>-0.39</v>
      </c>
      <c r="I4019">
        <v>-2.28</v>
      </c>
      <c r="J4019">
        <v>-1.82</v>
      </c>
      <c r="L4019">
        <v>0</v>
      </c>
      <c r="M4019">
        <v>19.72</v>
      </c>
      <c r="N4019">
        <v>0.02</v>
      </c>
      <c r="O4019">
        <v>1.39</v>
      </c>
    </row>
    <row r="4020" spans="1:15">
      <c r="A4020" t="str">
        <f>"603183"</f>
        <v>603183</v>
      </c>
      <c r="B4020" t="s">
        <v>4063</v>
      </c>
      <c r="C4020">
        <v>-0.82</v>
      </c>
      <c r="D4020">
        <v>3.64</v>
      </c>
      <c r="E4020" t="s">
        <v>16</v>
      </c>
      <c r="F4020" t="s">
        <v>16</v>
      </c>
      <c r="H4020">
        <v>0</v>
      </c>
      <c r="I4020">
        <v>-6.91</v>
      </c>
      <c r="J4020">
        <v>-1.36</v>
      </c>
      <c r="L4020">
        <v>-0.54</v>
      </c>
      <c r="M4020">
        <v>30.26</v>
      </c>
      <c r="N4020">
        <v>0.02</v>
      </c>
      <c r="O4020">
        <v>2.4</v>
      </c>
    </row>
    <row r="4021" spans="1:15">
      <c r="A4021" t="str">
        <f>"603185"</f>
        <v>603185</v>
      </c>
      <c r="B4021" t="s">
        <v>4064</v>
      </c>
      <c r="C4021">
        <v>-2.95</v>
      </c>
      <c r="D4021">
        <v>17.08</v>
      </c>
      <c r="E4021" t="s">
        <v>16</v>
      </c>
      <c r="F4021" t="s">
        <v>16</v>
      </c>
      <c r="H4021">
        <v>-0.11</v>
      </c>
      <c r="I4021">
        <v>-3.01</v>
      </c>
      <c r="J4021">
        <v>-3.99</v>
      </c>
      <c r="L4021">
        <v>-0.06</v>
      </c>
      <c r="M4021">
        <v>183.11</v>
      </c>
      <c r="N4021">
        <v>0.03</v>
      </c>
      <c r="O4021">
        <v>2.69</v>
      </c>
    </row>
    <row r="4022" spans="1:15">
      <c r="A4022" t="str">
        <f>"603186"</f>
        <v>603186</v>
      </c>
      <c r="B4022" t="s">
        <v>4065</v>
      </c>
      <c r="C4022">
        <v>5.05</v>
      </c>
      <c r="D4022">
        <v>238.11</v>
      </c>
      <c r="E4022" t="s">
        <v>16</v>
      </c>
      <c r="F4022" t="s">
        <v>16</v>
      </c>
      <c r="H4022">
        <v>0.31</v>
      </c>
      <c r="I4022">
        <v>92.69</v>
      </c>
      <c r="J4022">
        <v>-0.78</v>
      </c>
      <c r="K4022" t="s">
        <v>4066</v>
      </c>
      <c r="L4022">
        <v>-1.45</v>
      </c>
      <c r="M4022">
        <v>7737.88</v>
      </c>
      <c r="N4022">
        <v>0.35</v>
      </c>
      <c r="O4022">
        <v>1.05</v>
      </c>
    </row>
    <row r="4023" spans="1:15">
      <c r="A4023" t="str">
        <f>"603187"</f>
        <v>603187</v>
      </c>
      <c r="B4023" t="s">
        <v>4067</v>
      </c>
      <c r="C4023">
        <v>-0.9</v>
      </c>
      <c r="D4023">
        <v>12.09</v>
      </c>
      <c r="E4023" t="s">
        <v>16</v>
      </c>
      <c r="F4023" t="s">
        <v>16</v>
      </c>
      <c r="H4023">
        <v>-0.16</v>
      </c>
      <c r="I4023">
        <v>-3.28</v>
      </c>
      <c r="J4023">
        <v>-0.98</v>
      </c>
      <c r="L4023">
        <v>-0.74</v>
      </c>
      <c r="M4023">
        <v>7.14</v>
      </c>
      <c r="N4023">
        <v>0</v>
      </c>
      <c r="O4023">
        <v>1.18</v>
      </c>
    </row>
    <row r="4024" spans="1:15">
      <c r="A4024" t="str">
        <f>"603188"</f>
        <v>603188</v>
      </c>
      <c r="B4024" t="s">
        <v>4068</v>
      </c>
      <c r="C4024">
        <v>-1.19</v>
      </c>
      <c r="D4024">
        <v>4.15</v>
      </c>
      <c r="E4024" t="s">
        <v>16</v>
      </c>
      <c r="F4024" t="s">
        <v>16</v>
      </c>
      <c r="H4024">
        <v>0</v>
      </c>
      <c r="I4024">
        <v>-5.9</v>
      </c>
      <c r="J4024">
        <v>-1.89</v>
      </c>
      <c r="L4024">
        <v>-0.95</v>
      </c>
      <c r="M4024">
        <v>15.72</v>
      </c>
      <c r="N4024">
        <v>0.01</v>
      </c>
      <c r="O4024">
        <v>0.24</v>
      </c>
    </row>
    <row r="4025" spans="1:15">
      <c r="A4025" t="str">
        <f>"603189"</f>
        <v>603189</v>
      </c>
      <c r="B4025" t="s">
        <v>4069</v>
      </c>
      <c r="C4025">
        <v>-3.69</v>
      </c>
      <c r="D4025">
        <v>10.7</v>
      </c>
      <c r="E4025" t="s">
        <v>16</v>
      </c>
      <c r="F4025" t="s">
        <v>16</v>
      </c>
      <c r="H4025">
        <v>0</v>
      </c>
      <c r="I4025">
        <v>-15.08</v>
      </c>
      <c r="J4025">
        <v>-3.69</v>
      </c>
      <c r="L4025">
        <v>0</v>
      </c>
      <c r="M4025">
        <v>18.11</v>
      </c>
      <c r="N4025">
        <v>0.01</v>
      </c>
      <c r="O4025">
        <v>0.16</v>
      </c>
    </row>
    <row r="4026" spans="1:15">
      <c r="A4026" t="str">
        <f>"603190"</f>
        <v>603190</v>
      </c>
      <c r="B4026" t="s">
        <v>4070</v>
      </c>
      <c r="C4026">
        <v>-1.06</v>
      </c>
      <c r="D4026">
        <v>25.31</v>
      </c>
      <c r="E4026" t="s">
        <v>16</v>
      </c>
      <c r="F4026" t="s">
        <v>16</v>
      </c>
      <c r="H4026">
        <v>-0.03</v>
      </c>
      <c r="I4026">
        <v>-1.36</v>
      </c>
      <c r="J4026">
        <v>-1.44</v>
      </c>
      <c r="L4026">
        <v>-0.66</v>
      </c>
      <c r="M4026">
        <v>2.54</v>
      </c>
      <c r="N4026">
        <v>0</v>
      </c>
      <c r="O4026">
        <v>0.4</v>
      </c>
    </row>
    <row r="4027" spans="1:15">
      <c r="A4027" t="str">
        <f>"603191"</f>
        <v>603191</v>
      </c>
      <c r="B4027" t="s">
        <v>4071</v>
      </c>
      <c r="C4027">
        <v>-1.78</v>
      </c>
      <c r="D4027">
        <v>17.61</v>
      </c>
      <c r="E4027" t="s">
        <v>16</v>
      </c>
      <c r="F4027" t="s">
        <v>16</v>
      </c>
      <c r="H4027">
        <v>0</v>
      </c>
      <c r="I4027">
        <v>-4.19</v>
      </c>
      <c r="J4027">
        <v>-4.76</v>
      </c>
      <c r="K4027" t="s">
        <v>26</v>
      </c>
      <c r="L4027">
        <v>-0.78</v>
      </c>
      <c r="M4027">
        <v>246.21</v>
      </c>
      <c r="N4027">
        <v>0.07</v>
      </c>
      <c r="O4027">
        <v>0.45</v>
      </c>
    </row>
    <row r="4028" spans="1:15">
      <c r="A4028" t="str">
        <f>"603192"</f>
        <v>603192</v>
      </c>
      <c r="B4028" t="s">
        <v>4072</v>
      </c>
      <c r="C4028">
        <v>-1.92</v>
      </c>
      <c r="D4028">
        <v>17.88</v>
      </c>
      <c r="E4028" t="s">
        <v>16</v>
      </c>
      <c r="F4028" t="s">
        <v>16</v>
      </c>
      <c r="H4028">
        <v>-0.1</v>
      </c>
      <c r="I4028">
        <v>-7.12</v>
      </c>
      <c r="J4028">
        <v>-1.6</v>
      </c>
      <c r="L4028">
        <v>-0.33</v>
      </c>
      <c r="M4028">
        <v>4</v>
      </c>
      <c r="N4028">
        <v>0.01</v>
      </c>
      <c r="O4028">
        <v>5.5</v>
      </c>
    </row>
    <row r="4029" spans="1:15">
      <c r="A4029" t="str">
        <f>"603193"</f>
        <v>603193</v>
      </c>
      <c r="B4029" t="s">
        <v>4073</v>
      </c>
      <c r="C4029">
        <v>0.29</v>
      </c>
      <c r="D4029">
        <v>20.71</v>
      </c>
      <c r="E4029" t="s">
        <v>16</v>
      </c>
      <c r="F4029" t="s">
        <v>16</v>
      </c>
      <c r="H4029">
        <v>-0.09</v>
      </c>
      <c r="I4029">
        <v>-7.87</v>
      </c>
      <c r="J4029">
        <v>-2.13</v>
      </c>
      <c r="L4029">
        <v>0</v>
      </c>
      <c r="M4029">
        <v>8.26</v>
      </c>
      <c r="N4029">
        <v>0</v>
      </c>
      <c r="O4029">
        <v>1.54</v>
      </c>
    </row>
    <row r="4030" spans="1:15">
      <c r="A4030" t="str">
        <f>"603194"</f>
        <v>603194</v>
      </c>
      <c r="B4030" t="s">
        <v>4074</v>
      </c>
      <c r="C4030">
        <v>0.46</v>
      </c>
      <c r="D4030">
        <v>37.21</v>
      </c>
      <c r="E4030" t="s">
        <v>16</v>
      </c>
      <c r="F4030" t="s">
        <v>16</v>
      </c>
      <c r="H4030">
        <v>0.13</v>
      </c>
      <c r="I4030">
        <v>4.67</v>
      </c>
      <c r="J4030">
        <v>-1.12</v>
      </c>
      <c r="L4030">
        <v>-0.11</v>
      </c>
      <c r="M4030">
        <v>13.32</v>
      </c>
      <c r="N4030">
        <v>0</v>
      </c>
      <c r="O4030">
        <v>0.6</v>
      </c>
    </row>
    <row r="4031" spans="1:15">
      <c r="A4031" t="str">
        <f>"603195"</f>
        <v>603195</v>
      </c>
      <c r="B4031" t="s">
        <v>4075</v>
      </c>
      <c r="C4031">
        <v>0.38</v>
      </c>
      <c r="D4031">
        <v>39.35</v>
      </c>
      <c r="E4031" t="s">
        <v>16</v>
      </c>
      <c r="F4031" t="s">
        <v>16</v>
      </c>
      <c r="H4031">
        <v>-0.32</v>
      </c>
      <c r="I4031">
        <v>1.47</v>
      </c>
      <c r="J4031">
        <v>-1.35</v>
      </c>
      <c r="L4031">
        <v>-0.03</v>
      </c>
      <c r="M4031">
        <v>11.37</v>
      </c>
      <c r="N4031">
        <v>0</v>
      </c>
      <c r="O4031">
        <v>1.21</v>
      </c>
    </row>
    <row r="4032" spans="1:15">
      <c r="A4032" t="str">
        <f>"603196"</f>
        <v>603196</v>
      </c>
      <c r="B4032" t="s">
        <v>4076</v>
      </c>
      <c r="C4032">
        <v>2.21</v>
      </c>
      <c r="D4032">
        <v>26.36</v>
      </c>
      <c r="E4032" t="s">
        <v>16</v>
      </c>
      <c r="F4032" t="s">
        <v>16</v>
      </c>
      <c r="H4032">
        <v>-0.1</v>
      </c>
      <c r="I4032">
        <v>8.08</v>
      </c>
      <c r="J4032">
        <v>-3.09</v>
      </c>
      <c r="K4032" t="s">
        <v>26</v>
      </c>
      <c r="L4032">
        <v>-0.78</v>
      </c>
      <c r="M4032">
        <v>264.86</v>
      </c>
      <c r="N4032">
        <v>0.08</v>
      </c>
      <c r="O4032">
        <v>0.27</v>
      </c>
    </row>
    <row r="4033" spans="1:15">
      <c r="A4033" t="str">
        <f>"603197"</f>
        <v>603197</v>
      </c>
      <c r="B4033" t="s">
        <v>4077</v>
      </c>
      <c r="C4033">
        <v>0.07</v>
      </c>
      <c r="D4033">
        <v>29.32</v>
      </c>
      <c r="E4033" t="s">
        <v>16</v>
      </c>
      <c r="F4033" t="s">
        <v>16</v>
      </c>
      <c r="H4033">
        <v>-0.06</v>
      </c>
      <c r="I4033">
        <v>-1.97</v>
      </c>
      <c r="J4033">
        <v>-1.15</v>
      </c>
      <c r="L4033">
        <v>-0.07</v>
      </c>
      <c r="M4033">
        <v>18.45</v>
      </c>
      <c r="N4033">
        <v>0</v>
      </c>
      <c r="O4033">
        <v>0.62</v>
      </c>
    </row>
    <row r="4034" spans="1:15">
      <c r="A4034" t="str">
        <f>"603198"</f>
        <v>603198</v>
      </c>
      <c r="B4034" t="s">
        <v>4078</v>
      </c>
      <c r="C4034">
        <v>-3.04</v>
      </c>
      <c r="D4034">
        <v>31.91</v>
      </c>
      <c r="E4034" t="s">
        <v>16</v>
      </c>
      <c r="F4034" t="s">
        <v>16</v>
      </c>
      <c r="H4034">
        <v>-0.55</v>
      </c>
      <c r="I4034">
        <v>-4.77</v>
      </c>
      <c r="J4034">
        <v>-2.95</v>
      </c>
      <c r="L4034">
        <v>-0.09</v>
      </c>
      <c r="M4034">
        <v>12.49</v>
      </c>
      <c r="N4034">
        <v>0</v>
      </c>
      <c r="O4034">
        <v>0.78</v>
      </c>
    </row>
    <row r="4035" spans="1:15">
      <c r="A4035" t="str">
        <f>"603199"</f>
        <v>603199</v>
      </c>
      <c r="B4035" t="s">
        <v>4079</v>
      </c>
      <c r="C4035">
        <v>-0.76</v>
      </c>
      <c r="D4035">
        <v>31.4</v>
      </c>
      <c r="E4035" t="s">
        <v>16</v>
      </c>
      <c r="F4035" t="s">
        <v>16</v>
      </c>
      <c r="H4035">
        <v>0.03</v>
      </c>
      <c r="I4035">
        <v>-2.58</v>
      </c>
      <c r="J4035">
        <v>-0.54</v>
      </c>
      <c r="L4035">
        <v>-1.04</v>
      </c>
      <c r="M4035">
        <v>18.47</v>
      </c>
      <c r="N4035">
        <v>0.01</v>
      </c>
      <c r="O4035">
        <v>6.55</v>
      </c>
    </row>
    <row r="4036" spans="1:15">
      <c r="A4036" t="str">
        <f>"603200"</f>
        <v>603200</v>
      </c>
      <c r="B4036" t="s">
        <v>4080</v>
      </c>
      <c r="C4036">
        <v>-2.65</v>
      </c>
      <c r="D4036">
        <v>46.31</v>
      </c>
      <c r="E4036" t="s">
        <v>16</v>
      </c>
      <c r="F4036" t="s">
        <v>16</v>
      </c>
      <c r="H4036">
        <v>-0.03</v>
      </c>
      <c r="I4036">
        <v>-2.53</v>
      </c>
      <c r="J4036">
        <v>-3.48</v>
      </c>
      <c r="L4036">
        <v>0.13</v>
      </c>
      <c r="M4036">
        <v>43.82</v>
      </c>
      <c r="N4036">
        <v>0.01</v>
      </c>
      <c r="O4036">
        <v>0.48</v>
      </c>
    </row>
    <row r="4037" spans="1:15">
      <c r="A4037" t="str">
        <f>"603201"</f>
        <v>603201</v>
      </c>
      <c r="B4037" t="s">
        <v>4081</v>
      </c>
      <c r="C4037">
        <v>9.98</v>
      </c>
      <c r="D4037">
        <v>19.28</v>
      </c>
      <c r="E4037">
        <v>2157.24</v>
      </c>
      <c r="F4037">
        <v>1</v>
      </c>
      <c r="H4037">
        <v>0</v>
      </c>
      <c r="I4037">
        <v>7.41</v>
      </c>
      <c r="J4037">
        <v>0</v>
      </c>
      <c r="K4037" t="s">
        <v>140</v>
      </c>
      <c r="L4037">
        <v>-0.63</v>
      </c>
      <c r="M4037">
        <v>47.38</v>
      </c>
      <c r="N4037">
        <v>0.05</v>
      </c>
      <c r="O4037">
        <v>4.61</v>
      </c>
    </row>
    <row r="4038" spans="1:15">
      <c r="A4038" t="str">
        <f>"603202"</f>
        <v>603202</v>
      </c>
      <c r="B4038" t="s">
        <v>4082</v>
      </c>
      <c r="C4038">
        <v>0.64</v>
      </c>
      <c r="D4038">
        <v>63.36</v>
      </c>
      <c r="E4038" t="s">
        <v>16</v>
      </c>
      <c r="F4038" t="s">
        <v>16</v>
      </c>
      <c r="H4038">
        <v>0</v>
      </c>
      <c r="I4038">
        <v>0.57</v>
      </c>
      <c r="J4038">
        <v>-1.87</v>
      </c>
      <c r="L4038">
        <v>-0.43</v>
      </c>
      <c r="M4038">
        <v>13.16</v>
      </c>
      <c r="N4038">
        <v>0</v>
      </c>
      <c r="O4038">
        <v>0.25</v>
      </c>
    </row>
    <row r="4039" spans="1:15">
      <c r="A4039" t="str">
        <f>"603203"</f>
        <v>603203</v>
      </c>
      <c r="B4039" t="s">
        <v>4083</v>
      </c>
      <c r="C4039">
        <v>-2.28</v>
      </c>
      <c r="D4039">
        <v>60.98</v>
      </c>
      <c r="E4039" t="s">
        <v>16</v>
      </c>
      <c r="F4039" t="s">
        <v>16</v>
      </c>
      <c r="H4039">
        <v>-0.09</v>
      </c>
      <c r="I4039">
        <v>17.29</v>
      </c>
      <c r="J4039">
        <v>-5.13</v>
      </c>
      <c r="L4039">
        <v>-2.24</v>
      </c>
      <c r="M4039">
        <v>1336.63</v>
      </c>
      <c r="N4039">
        <v>0.19</v>
      </c>
      <c r="O4039">
        <v>2.35</v>
      </c>
    </row>
    <row r="4040" spans="1:15">
      <c r="A4040" t="str">
        <f>"603205"</f>
        <v>603205</v>
      </c>
      <c r="B4040" t="s">
        <v>4084</v>
      </c>
      <c r="C4040">
        <v>-2.12</v>
      </c>
      <c r="D4040">
        <v>21.21</v>
      </c>
      <c r="E4040" t="s">
        <v>16</v>
      </c>
      <c r="F4040" t="s">
        <v>16</v>
      </c>
      <c r="H4040">
        <v>0.14</v>
      </c>
      <c r="I4040">
        <v>-7.58</v>
      </c>
      <c r="J4040">
        <v>-3.33</v>
      </c>
      <c r="L4040">
        <v>-1.2</v>
      </c>
      <c r="M4040">
        <v>27.62</v>
      </c>
      <c r="N4040">
        <v>0.03</v>
      </c>
      <c r="O4040">
        <v>25.8</v>
      </c>
    </row>
    <row r="4041" spans="1:15">
      <c r="A4041" t="str">
        <f>"603206"</f>
        <v>603206</v>
      </c>
      <c r="B4041" t="s">
        <v>4085</v>
      </c>
      <c r="C4041">
        <v>4.69</v>
      </c>
      <c r="D4041">
        <v>18.97</v>
      </c>
      <c r="E4041" t="s">
        <v>16</v>
      </c>
      <c r="F4041" t="s">
        <v>16</v>
      </c>
      <c r="H4041">
        <v>0.21</v>
      </c>
      <c r="I4041">
        <v>25.38</v>
      </c>
      <c r="J4041">
        <v>-0.84</v>
      </c>
      <c r="L4041">
        <v>-0.55</v>
      </c>
      <c r="M4041">
        <v>140.2</v>
      </c>
      <c r="N4041">
        <v>0.08</v>
      </c>
      <c r="O4041">
        <v>1.15</v>
      </c>
    </row>
    <row r="4042" spans="1:15">
      <c r="A4042" t="str">
        <f>"603207"</f>
        <v>603207</v>
      </c>
      <c r="B4042" t="s">
        <v>4086</v>
      </c>
      <c r="C4042">
        <v>1.44</v>
      </c>
      <c r="D4042">
        <v>22.49</v>
      </c>
      <c r="E4042" t="s">
        <v>16</v>
      </c>
      <c r="F4042" t="s">
        <v>16</v>
      </c>
      <c r="H4042">
        <v>-0.08</v>
      </c>
      <c r="I4042">
        <v>0</v>
      </c>
      <c r="J4042">
        <v>-1.06</v>
      </c>
      <c r="L4042">
        <v>0.32</v>
      </c>
      <c r="M4042">
        <v>4.67</v>
      </c>
      <c r="N4042">
        <v>0</v>
      </c>
      <c r="O4042">
        <v>0.27</v>
      </c>
    </row>
    <row r="4043" spans="1:15">
      <c r="A4043" t="str">
        <f>"603208"</f>
        <v>603208</v>
      </c>
      <c r="B4043" t="s">
        <v>4087</v>
      </c>
      <c r="C4043">
        <v>1.83</v>
      </c>
      <c r="D4043">
        <v>11.1</v>
      </c>
      <c r="E4043" t="s">
        <v>16</v>
      </c>
      <c r="F4043" t="s">
        <v>16</v>
      </c>
      <c r="H4043">
        <v>-0.17</v>
      </c>
      <c r="I4043">
        <v>-8.87</v>
      </c>
      <c r="J4043">
        <v>-2.12</v>
      </c>
      <c r="L4043">
        <v>-0.37</v>
      </c>
      <c r="M4043">
        <v>4.56</v>
      </c>
      <c r="N4043">
        <v>0.01</v>
      </c>
      <c r="O4043">
        <v>0.24</v>
      </c>
    </row>
    <row r="4044" spans="1:15">
      <c r="A4044" t="str">
        <f>"603209"</f>
        <v>603209</v>
      </c>
      <c r="B4044" t="s">
        <v>4088</v>
      </c>
      <c r="C4044">
        <v>-0.15</v>
      </c>
      <c r="D4044">
        <v>13.16</v>
      </c>
      <c r="E4044" t="s">
        <v>16</v>
      </c>
      <c r="F4044" t="s">
        <v>16</v>
      </c>
      <c r="H4044">
        <v>0.23</v>
      </c>
      <c r="I4044">
        <v>0.08</v>
      </c>
      <c r="J4044">
        <v>-1.2</v>
      </c>
      <c r="L4044">
        <v>1.06</v>
      </c>
      <c r="M4044">
        <v>12.12</v>
      </c>
      <c r="N4044">
        <v>0.01</v>
      </c>
      <c r="O4044">
        <v>0.24</v>
      </c>
    </row>
    <row r="4045" spans="1:15">
      <c r="A4045" t="str">
        <f>"603210"</f>
        <v>603210</v>
      </c>
      <c r="B4045" t="s">
        <v>4089</v>
      </c>
      <c r="C4045">
        <v>-3.05</v>
      </c>
      <c r="D4045">
        <v>13.36</v>
      </c>
      <c r="E4045" t="s">
        <v>16</v>
      </c>
      <c r="F4045" t="s">
        <v>16</v>
      </c>
      <c r="H4045">
        <v>-0.14</v>
      </c>
      <c r="I4045">
        <v>-10.15</v>
      </c>
      <c r="J4045">
        <v>-3.19</v>
      </c>
      <c r="L4045">
        <v>-0.58</v>
      </c>
      <c r="M4045">
        <v>11.92</v>
      </c>
      <c r="N4045">
        <v>0.01</v>
      </c>
      <c r="O4045">
        <v>0.24</v>
      </c>
    </row>
    <row r="4046" spans="1:15">
      <c r="A4046" t="str">
        <f>"603211"</f>
        <v>603211</v>
      </c>
      <c r="B4046" t="s">
        <v>4090</v>
      </c>
      <c r="C4046">
        <v>9.99</v>
      </c>
      <c r="D4046">
        <v>36.44</v>
      </c>
      <c r="E4046">
        <v>10905.76</v>
      </c>
      <c r="F4046">
        <v>1</v>
      </c>
      <c r="H4046">
        <v>0</v>
      </c>
      <c r="I4046">
        <v>32.03</v>
      </c>
      <c r="J4046">
        <v>0</v>
      </c>
      <c r="K4046" t="s">
        <v>140</v>
      </c>
      <c r="L4046">
        <v>1.99</v>
      </c>
      <c r="M4046">
        <v>389.6</v>
      </c>
      <c r="N4046">
        <v>0.15</v>
      </c>
      <c r="O4046">
        <v>2.53</v>
      </c>
    </row>
    <row r="4047" spans="1:15">
      <c r="A4047" t="str">
        <f>"603212"</f>
        <v>603212</v>
      </c>
      <c r="B4047" t="s">
        <v>4091</v>
      </c>
      <c r="C4047">
        <v>-10.03</v>
      </c>
      <c r="D4047">
        <v>14.27</v>
      </c>
      <c r="E4047">
        <v>2920.5</v>
      </c>
      <c r="F4047" t="s">
        <v>16</v>
      </c>
      <c r="H4047">
        <v>0</v>
      </c>
      <c r="I4047">
        <v>-9.8</v>
      </c>
      <c r="J4047">
        <v>-9.63</v>
      </c>
      <c r="L4047">
        <v>-1.64</v>
      </c>
      <c r="M4047">
        <v>388.6</v>
      </c>
      <c r="N4047">
        <v>0.09</v>
      </c>
      <c r="O4047">
        <v>1.18</v>
      </c>
    </row>
    <row r="4048" spans="1:15">
      <c r="A4048" t="str">
        <f>"603213"</f>
        <v>603213</v>
      </c>
      <c r="B4048" t="s">
        <v>4092</v>
      </c>
      <c r="C4048">
        <v>-0.7</v>
      </c>
      <c r="D4048">
        <v>14.1</v>
      </c>
      <c r="E4048" t="s">
        <v>16</v>
      </c>
      <c r="F4048" t="s">
        <v>16</v>
      </c>
      <c r="H4048">
        <v>0.14</v>
      </c>
      <c r="I4048">
        <v>1.59</v>
      </c>
      <c r="J4048">
        <v>-0.98</v>
      </c>
      <c r="L4048">
        <v>0.21</v>
      </c>
      <c r="M4048">
        <v>55.35</v>
      </c>
      <c r="N4048">
        <v>0.04</v>
      </c>
      <c r="O4048">
        <v>0.93</v>
      </c>
    </row>
    <row r="4049" spans="1:15">
      <c r="A4049" t="str">
        <f>"603214"</f>
        <v>603214</v>
      </c>
      <c r="B4049" t="s">
        <v>4093</v>
      </c>
      <c r="C4049">
        <v>-0.84</v>
      </c>
      <c r="D4049">
        <v>12.93</v>
      </c>
      <c r="E4049" t="s">
        <v>16</v>
      </c>
      <c r="F4049" t="s">
        <v>16</v>
      </c>
      <c r="H4049">
        <v>0.08</v>
      </c>
      <c r="I4049">
        <v>-6.64</v>
      </c>
      <c r="J4049">
        <v>-1.07</v>
      </c>
      <c r="L4049">
        <v>-0.92</v>
      </c>
      <c r="M4049">
        <v>31.01</v>
      </c>
      <c r="N4049">
        <v>0.03</v>
      </c>
      <c r="O4049">
        <v>3.08</v>
      </c>
    </row>
    <row r="4050" spans="1:15">
      <c r="A4050" t="str">
        <f>"603215"</f>
        <v>603215</v>
      </c>
      <c r="B4050" t="s">
        <v>4094</v>
      </c>
      <c r="C4050">
        <v>0</v>
      </c>
      <c r="D4050">
        <v>15.48</v>
      </c>
      <c r="E4050" t="s">
        <v>16</v>
      </c>
      <c r="F4050" t="s">
        <v>16</v>
      </c>
      <c r="H4050">
        <v>-0.05</v>
      </c>
      <c r="I4050">
        <v>-0.64</v>
      </c>
      <c r="J4050">
        <v>-3.61</v>
      </c>
      <c r="L4050">
        <v>2.58</v>
      </c>
      <c r="M4050">
        <v>155.47</v>
      </c>
      <c r="N4050">
        <v>0.14</v>
      </c>
      <c r="O4050">
        <v>1.65</v>
      </c>
    </row>
    <row r="4051" spans="1:15">
      <c r="A4051" t="str">
        <f>"603216"</f>
        <v>603216</v>
      </c>
      <c r="B4051" t="s">
        <v>4095</v>
      </c>
      <c r="C4051">
        <v>1.96</v>
      </c>
      <c r="D4051">
        <v>22.38</v>
      </c>
      <c r="E4051" t="s">
        <v>16</v>
      </c>
      <c r="F4051" t="s">
        <v>16</v>
      </c>
      <c r="H4051">
        <v>-0.43</v>
      </c>
      <c r="I4051">
        <v>-3.78</v>
      </c>
      <c r="J4051">
        <v>-3.95</v>
      </c>
      <c r="L4051">
        <v>0</v>
      </c>
      <c r="M4051">
        <v>21.07</v>
      </c>
      <c r="N4051">
        <v>0.02</v>
      </c>
      <c r="O4051">
        <v>0.83</v>
      </c>
    </row>
    <row r="4052" spans="1:15">
      <c r="A4052" t="str">
        <f>"603217"</f>
        <v>603217</v>
      </c>
      <c r="B4052" t="s">
        <v>4096</v>
      </c>
      <c r="C4052">
        <v>0.29</v>
      </c>
      <c r="D4052">
        <v>23.99</v>
      </c>
      <c r="E4052" t="s">
        <v>16</v>
      </c>
      <c r="F4052" t="s">
        <v>16</v>
      </c>
      <c r="H4052">
        <v>0.04</v>
      </c>
      <c r="I4052">
        <v>-2.2</v>
      </c>
      <c r="J4052">
        <v>-0.46</v>
      </c>
      <c r="L4052">
        <v>0</v>
      </c>
      <c r="M4052">
        <v>3.83</v>
      </c>
      <c r="N4052">
        <v>0</v>
      </c>
      <c r="O4052">
        <v>0.36</v>
      </c>
    </row>
    <row r="4053" spans="1:15">
      <c r="A4053" t="str">
        <f>"603218"</f>
        <v>603218</v>
      </c>
      <c r="B4053" t="s">
        <v>4097</v>
      </c>
      <c r="C4053">
        <v>-1.64</v>
      </c>
      <c r="D4053">
        <v>10.81</v>
      </c>
      <c r="E4053" t="s">
        <v>16</v>
      </c>
      <c r="F4053" t="s">
        <v>16</v>
      </c>
      <c r="H4053">
        <v>0.09</v>
      </c>
      <c r="I4053">
        <v>-3.4</v>
      </c>
      <c r="J4053">
        <v>-1.46</v>
      </c>
      <c r="L4053">
        <v>-0.64</v>
      </c>
      <c r="M4053">
        <v>13.87</v>
      </c>
      <c r="N4053">
        <v>0</v>
      </c>
      <c r="O4053">
        <v>0.45</v>
      </c>
    </row>
    <row r="4054" spans="1:15">
      <c r="A4054" t="str">
        <f>"603219"</f>
        <v>603219</v>
      </c>
      <c r="B4054" t="s">
        <v>4098</v>
      </c>
      <c r="C4054">
        <v>0.72</v>
      </c>
      <c r="D4054">
        <v>15.38</v>
      </c>
      <c r="E4054" t="s">
        <v>16</v>
      </c>
      <c r="F4054" t="s">
        <v>16</v>
      </c>
      <c r="H4054">
        <v>-0.05</v>
      </c>
      <c r="I4054">
        <v>-5.64</v>
      </c>
      <c r="J4054">
        <v>-1.41</v>
      </c>
      <c r="L4054">
        <v>-0.39</v>
      </c>
      <c r="M4054">
        <v>53.69</v>
      </c>
      <c r="N4054">
        <v>0.03</v>
      </c>
      <c r="O4054">
        <v>0.54</v>
      </c>
    </row>
    <row r="4055" spans="1:15">
      <c r="A4055" t="str">
        <f>"603220"</f>
        <v>603220</v>
      </c>
      <c r="B4055" t="s">
        <v>4099</v>
      </c>
      <c r="C4055">
        <v>3.91</v>
      </c>
      <c r="D4055">
        <v>25.22</v>
      </c>
      <c r="E4055" t="s">
        <v>16</v>
      </c>
      <c r="F4055" t="s">
        <v>16</v>
      </c>
      <c r="H4055">
        <v>0.44</v>
      </c>
      <c r="I4055">
        <v>10.28</v>
      </c>
      <c r="J4055">
        <v>-1.1</v>
      </c>
      <c r="L4055">
        <v>0.16</v>
      </c>
      <c r="M4055">
        <v>356.77</v>
      </c>
      <c r="N4055">
        <v>0.05</v>
      </c>
      <c r="O4055">
        <v>0.78</v>
      </c>
    </row>
    <row r="4056" spans="1:15">
      <c r="A4056" t="str">
        <f>"603221"</f>
        <v>603221</v>
      </c>
      <c r="B4056" t="s">
        <v>4100</v>
      </c>
      <c r="C4056">
        <v>-0.87</v>
      </c>
      <c r="D4056">
        <v>11.43</v>
      </c>
      <c r="E4056" t="s">
        <v>16</v>
      </c>
      <c r="F4056" t="s">
        <v>16</v>
      </c>
      <c r="H4056">
        <v>-0.25</v>
      </c>
      <c r="I4056">
        <v>-9.29</v>
      </c>
      <c r="J4056">
        <v>-0.87</v>
      </c>
      <c r="L4056">
        <v>-0.26</v>
      </c>
      <c r="M4056">
        <v>5.64</v>
      </c>
      <c r="N4056">
        <v>0.01</v>
      </c>
      <c r="O4056">
        <v>3.27</v>
      </c>
    </row>
    <row r="4057" spans="1:15">
      <c r="A4057" t="str">
        <f>"603222"</f>
        <v>603222</v>
      </c>
      <c r="B4057" t="s">
        <v>4101</v>
      </c>
      <c r="C4057">
        <v>-0.13</v>
      </c>
      <c r="D4057">
        <v>7.98</v>
      </c>
      <c r="E4057" t="s">
        <v>16</v>
      </c>
      <c r="F4057" t="s">
        <v>16</v>
      </c>
      <c r="H4057">
        <v>-0.49</v>
      </c>
      <c r="I4057">
        <v>-7.42</v>
      </c>
      <c r="J4057">
        <v>-1.97</v>
      </c>
      <c r="L4057">
        <v>-1.5</v>
      </c>
      <c r="M4057">
        <v>16.21</v>
      </c>
      <c r="N4057">
        <v>0.01</v>
      </c>
      <c r="O4057">
        <v>0.2</v>
      </c>
    </row>
    <row r="4058" spans="1:15">
      <c r="A4058" t="str">
        <f>"603223"</f>
        <v>603223</v>
      </c>
      <c r="B4058" t="s">
        <v>4102</v>
      </c>
      <c r="C4058">
        <v>9.96</v>
      </c>
      <c r="D4058">
        <v>10.16</v>
      </c>
      <c r="E4058">
        <v>4995.98</v>
      </c>
      <c r="F4058">
        <v>1</v>
      </c>
      <c r="H4058">
        <v>0</v>
      </c>
      <c r="I4058">
        <v>6.28</v>
      </c>
      <c r="J4058">
        <v>0</v>
      </c>
      <c r="K4058" t="s">
        <v>140</v>
      </c>
      <c r="L4058">
        <v>-0.43</v>
      </c>
      <c r="M4058">
        <v>4.51</v>
      </c>
      <c r="N4058">
        <v>0</v>
      </c>
      <c r="O4058">
        <v>0.44</v>
      </c>
    </row>
    <row r="4059" spans="1:15">
      <c r="A4059" t="str">
        <f>"603225"</f>
        <v>603225</v>
      </c>
      <c r="B4059" t="s">
        <v>4103</v>
      </c>
      <c r="C4059">
        <v>-2.86</v>
      </c>
      <c r="D4059">
        <v>20.01</v>
      </c>
      <c r="E4059" t="s">
        <v>16</v>
      </c>
      <c r="F4059" t="s">
        <v>16</v>
      </c>
      <c r="H4059">
        <v>-0.49</v>
      </c>
      <c r="I4059">
        <v>2.56</v>
      </c>
      <c r="J4059">
        <v>-3.84</v>
      </c>
      <c r="L4059">
        <v>-0.97</v>
      </c>
      <c r="M4059">
        <v>634.64</v>
      </c>
      <c r="N4059">
        <v>0.04</v>
      </c>
      <c r="O4059">
        <v>0.95</v>
      </c>
    </row>
    <row r="4060" spans="1:15">
      <c r="A4060" t="str">
        <f>"603226"</f>
        <v>603226</v>
      </c>
      <c r="B4060" t="s">
        <v>4104</v>
      </c>
      <c r="C4060">
        <v>2.2</v>
      </c>
      <c r="D4060">
        <v>57.03</v>
      </c>
      <c r="E4060" t="s">
        <v>16</v>
      </c>
      <c r="F4060" t="s">
        <v>16</v>
      </c>
      <c r="H4060">
        <v>0.09</v>
      </c>
      <c r="I4060">
        <v>10.78</v>
      </c>
      <c r="J4060">
        <v>-0.52</v>
      </c>
      <c r="L4060">
        <v>-0.88</v>
      </c>
      <c r="M4060">
        <v>49.23</v>
      </c>
      <c r="N4060">
        <v>0.01</v>
      </c>
      <c r="O4060">
        <v>0.08</v>
      </c>
    </row>
    <row r="4061" spans="1:15">
      <c r="A4061" t="str">
        <f>"603227"</f>
        <v>603227</v>
      </c>
      <c r="B4061" t="s">
        <v>4105</v>
      </c>
      <c r="C4061">
        <v>-2.42</v>
      </c>
      <c r="D4061">
        <v>7.65</v>
      </c>
      <c r="E4061" t="s">
        <v>16</v>
      </c>
      <c r="F4061" t="s">
        <v>16</v>
      </c>
      <c r="H4061">
        <v>0</v>
      </c>
      <c r="I4061">
        <v>-7.94</v>
      </c>
      <c r="J4061">
        <v>-2.3</v>
      </c>
      <c r="L4061">
        <v>-0.26</v>
      </c>
      <c r="M4061">
        <v>21.51</v>
      </c>
      <c r="N4061">
        <v>0</v>
      </c>
      <c r="O4061">
        <v>0.45</v>
      </c>
    </row>
    <row r="4062" spans="1:15">
      <c r="A4062" t="str">
        <f>"603228"</f>
        <v>603228</v>
      </c>
      <c r="B4062" t="s">
        <v>4106</v>
      </c>
      <c r="C4062">
        <v>0.37</v>
      </c>
      <c r="D4062">
        <v>81.06</v>
      </c>
      <c r="E4062" t="s">
        <v>16</v>
      </c>
      <c r="F4062" t="s">
        <v>16</v>
      </c>
      <c r="H4062">
        <v>0.07</v>
      </c>
      <c r="I4062">
        <v>7.65</v>
      </c>
      <c r="J4062">
        <v>-1.67</v>
      </c>
      <c r="L4062">
        <v>-1.89</v>
      </c>
      <c r="M4062">
        <v>2168.53</v>
      </c>
      <c r="N4062">
        <v>0.07</v>
      </c>
      <c r="O4062">
        <v>1.59</v>
      </c>
    </row>
    <row r="4063" spans="1:15">
      <c r="A4063" t="str">
        <f>"603229"</f>
        <v>603229</v>
      </c>
      <c r="B4063" t="s">
        <v>4107</v>
      </c>
      <c r="C4063">
        <v>-2.17</v>
      </c>
      <c r="D4063">
        <v>8.12</v>
      </c>
      <c r="E4063" t="s">
        <v>16</v>
      </c>
      <c r="F4063" t="s">
        <v>16</v>
      </c>
      <c r="H4063">
        <v>-0.24</v>
      </c>
      <c r="I4063">
        <v>-13.16</v>
      </c>
      <c r="J4063">
        <v>-3.56</v>
      </c>
      <c r="L4063">
        <v>-0.36</v>
      </c>
      <c r="M4063">
        <v>19.77</v>
      </c>
      <c r="N4063">
        <v>0.01</v>
      </c>
      <c r="O4063">
        <v>0.69</v>
      </c>
    </row>
    <row r="4064" spans="1:15">
      <c r="A4064" t="str">
        <f>"603230"</f>
        <v>603230</v>
      </c>
      <c r="B4064" t="s">
        <v>4108</v>
      </c>
      <c r="C4064">
        <v>0.22</v>
      </c>
      <c r="D4064">
        <v>9.23</v>
      </c>
      <c r="E4064" t="s">
        <v>16</v>
      </c>
      <c r="F4064" t="s">
        <v>16</v>
      </c>
      <c r="H4064">
        <v>0.33</v>
      </c>
      <c r="I4064">
        <v>-3.35</v>
      </c>
      <c r="J4064">
        <v>-0.75</v>
      </c>
      <c r="L4064">
        <v>0.33</v>
      </c>
      <c r="M4064">
        <v>10.44</v>
      </c>
      <c r="N4064">
        <v>0.01</v>
      </c>
      <c r="O4064">
        <v>16.14</v>
      </c>
    </row>
    <row r="4065" spans="1:15">
      <c r="A4065" t="str">
        <f>"603231"</f>
        <v>603231</v>
      </c>
      <c r="B4065" t="s">
        <v>4109</v>
      </c>
      <c r="C4065">
        <v>0.54</v>
      </c>
      <c r="D4065">
        <v>14.81</v>
      </c>
      <c r="E4065" t="s">
        <v>16</v>
      </c>
      <c r="F4065" t="s">
        <v>16</v>
      </c>
      <c r="H4065">
        <v>-0.26</v>
      </c>
      <c r="I4065">
        <v>-5.91</v>
      </c>
      <c r="J4065">
        <v>-0.47</v>
      </c>
      <c r="L4065">
        <v>-0.54</v>
      </c>
      <c r="M4065">
        <v>4.1</v>
      </c>
      <c r="N4065">
        <v>0</v>
      </c>
      <c r="O4065">
        <v>2.33</v>
      </c>
    </row>
    <row r="4066" spans="1:15">
      <c r="A4066" t="str">
        <f>"603232"</f>
        <v>603232</v>
      </c>
      <c r="B4066" t="s">
        <v>4110</v>
      </c>
      <c r="C4066">
        <v>1</v>
      </c>
      <c r="D4066">
        <v>16.21</v>
      </c>
      <c r="E4066" t="s">
        <v>16</v>
      </c>
      <c r="F4066" t="s">
        <v>16</v>
      </c>
      <c r="H4066">
        <v>-0.3</v>
      </c>
      <c r="I4066">
        <v>-21.27</v>
      </c>
      <c r="J4066">
        <v>-2.82</v>
      </c>
      <c r="L4066">
        <v>-0.31</v>
      </c>
      <c r="M4066">
        <v>36.64</v>
      </c>
      <c r="N4066">
        <v>0.01</v>
      </c>
      <c r="O4066">
        <v>0.49</v>
      </c>
    </row>
    <row r="4067" spans="1:15">
      <c r="A4067" t="str">
        <f>"603233"</f>
        <v>603233</v>
      </c>
      <c r="B4067" t="s">
        <v>4111</v>
      </c>
      <c r="C4067">
        <v>0.5</v>
      </c>
      <c r="D4067">
        <v>16.15</v>
      </c>
      <c r="E4067" t="s">
        <v>16</v>
      </c>
      <c r="F4067" t="s">
        <v>16</v>
      </c>
      <c r="H4067">
        <v>0.12</v>
      </c>
      <c r="I4067">
        <v>0.44</v>
      </c>
      <c r="J4067">
        <v>-0.62</v>
      </c>
      <c r="L4067">
        <v>-0.81</v>
      </c>
      <c r="M4067">
        <v>59.46</v>
      </c>
      <c r="N4067">
        <v>0.01</v>
      </c>
      <c r="O4067">
        <v>4.97</v>
      </c>
    </row>
    <row r="4068" spans="1:15">
      <c r="A4068" t="str">
        <f>"603235"</f>
        <v>603235</v>
      </c>
      <c r="B4068" t="s">
        <v>4112</v>
      </c>
      <c r="C4068">
        <v>-1.33</v>
      </c>
      <c r="D4068">
        <v>22.93</v>
      </c>
      <c r="E4068" t="s">
        <v>16</v>
      </c>
      <c r="F4068" t="s">
        <v>16</v>
      </c>
      <c r="H4068">
        <v>-0.47</v>
      </c>
      <c r="I4068">
        <v>-1.76</v>
      </c>
      <c r="J4068">
        <v>-1.38</v>
      </c>
      <c r="L4068">
        <v>0</v>
      </c>
      <c r="M4068">
        <v>4.65</v>
      </c>
      <c r="N4068">
        <v>0</v>
      </c>
      <c r="O4068">
        <v>0.5</v>
      </c>
    </row>
    <row r="4069" spans="1:15">
      <c r="A4069" t="str">
        <f>"603236"</f>
        <v>603236</v>
      </c>
      <c r="B4069" t="s">
        <v>4113</v>
      </c>
      <c r="C4069">
        <v>-4.12</v>
      </c>
      <c r="D4069">
        <v>52.81</v>
      </c>
      <c r="E4069" t="s">
        <v>16</v>
      </c>
      <c r="F4069" t="s">
        <v>16</v>
      </c>
      <c r="H4069">
        <v>-0.01</v>
      </c>
      <c r="I4069">
        <v>-6.15</v>
      </c>
      <c r="J4069">
        <v>-3.98</v>
      </c>
      <c r="L4069">
        <v>-1.05</v>
      </c>
      <c r="M4069">
        <v>275.66</v>
      </c>
      <c r="N4069">
        <v>0.02</v>
      </c>
      <c r="O4069">
        <v>1.01</v>
      </c>
    </row>
    <row r="4070" spans="1:15">
      <c r="A4070" t="str">
        <f>"603237"</f>
        <v>603237</v>
      </c>
      <c r="B4070" t="s">
        <v>4114</v>
      </c>
      <c r="C4070">
        <v>-3.04</v>
      </c>
      <c r="D4070">
        <v>13.4</v>
      </c>
      <c r="E4070" t="s">
        <v>16</v>
      </c>
      <c r="F4070" t="s">
        <v>16</v>
      </c>
      <c r="H4070">
        <v>-0.06</v>
      </c>
      <c r="I4070">
        <v>-12.76</v>
      </c>
      <c r="J4070">
        <v>-1.83</v>
      </c>
      <c r="L4070">
        <v>-1.23</v>
      </c>
      <c r="M4070">
        <v>25.94</v>
      </c>
      <c r="N4070">
        <v>0.02</v>
      </c>
      <c r="O4070">
        <v>1.67</v>
      </c>
    </row>
    <row r="4071" spans="1:15">
      <c r="A4071" t="str">
        <f>"603238"</f>
        <v>603238</v>
      </c>
      <c r="B4071" t="s">
        <v>4115</v>
      </c>
      <c r="C4071">
        <v>0.33</v>
      </c>
      <c r="D4071">
        <v>12.08</v>
      </c>
      <c r="E4071" t="s">
        <v>16</v>
      </c>
      <c r="F4071" t="s">
        <v>16</v>
      </c>
      <c r="H4071">
        <v>0</v>
      </c>
      <c r="I4071">
        <v>-4.35</v>
      </c>
      <c r="J4071">
        <v>-6.21</v>
      </c>
      <c r="L4071">
        <v>0</v>
      </c>
      <c r="M4071">
        <v>4.58</v>
      </c>
      <c r="N4071">
        <v>0.01</v>
      </c>
      <c r="O4071">
        <v>0.57</v>
      </c>
    </row>
    <row r="4072" spans="1:15">
      <c r="A4072" t="str">
        <f>"603239"</f>
        <v>603239</v>
      </c>
      <c r="B4072" t="s">
        <v>4116</v>
      </c>
      <c r="C4072">
        <v>0</v>
      </c>
      <c r="D4072">
        <v>16.47</v>
      </c>
      <c r="E4072" t="s">
        <v>16</v>
      </c>
      <c r="F4072" t="s">
        <v>16</v>
      </c>
      <c r="H4072">
        <v>-0.05</v>
      </c>
      <c r="I4072">
        <v>-11.59</v>
      </c>
      <c r="J4072">
        <v>-1.5</v>
      </c>
      <c r="L4072">
        <v>-0.43</v>
      </c>
      <c r="M4072">
        <v>25.91</v>
      </c>
      <c r="N4072">
        <v>0.01</v>
      </c>
      <c r="O4072">
        <v>0.44</v>
      </c>
    </row>
    <row r="4073" spans="1:15">
      <c r="A4073" t="str">
        <f>"603248"</f>
        <v>603248</v>
      </c>
      <c r="B4073" t="s">
        <v>4117</v>
      </c>
      <c r="C4073">
        <v>-1.19</v>
      </c>
      <c r="D4073">
        <v>23.3</v>
      </c>
      <c r="E4073" t="s">
        <v>16</v>
      </c>
      <c r="F4073" t="s">
        <v>16</v>
      </c>
      <c r="H4073">
        <v>-0.08</v>
      </c>
      <c r="I4073">
        <v>-11.17</v>
      </c>
      <c r="J4073">
        <v>-1.31</v>
      </c>
      <c r="L4073">
        <v>0</v>
      </c>
      <c r="M4073">
        <v>35.61</v>
      </c>
      <c r="N4073">
        <v>0.02</v>
      </c>
      <c r="O4073">
        <v>2.4</v>
      </c>
    </row>
    <row r="4074" spans="1:15">
      <c r="A4074" t="str">
        <f>"603255"</f>
        <v>603255</v>
      </c>
      <c r="B4074" t="s">
        <v>4118</v>
      </c>
      <c r="C4074">
        <v>-2.82</v>
      </c>
      <c r="D4074">
        <v>32</v>
      </c>
      <c r="E4074" t="s">
        <v>16</v>
      </c>
      <c r="F4074" t="s">
        <v>16</v>
      </c>
      <c r="H4074">
        <v>0.79</v>
      </c>
      <c r="I4074">
        <v>7.06</v>
      </c>
      <c r="J4074">
        <v>-3.73</v>
      </c>
      <c r="L4074">
        <v>-0.97</v>
      </c>
      <c r="M4074">
        <v>19.24</v>
      </c>
      <c r="N4074">
        <v>0.02</v>
      </c>
      <c r="O4074">
        <v>0.39</v>
      </c>
    </row>
    <row r="4075" spans="1:15">
      <c r="A4075" t="str">
        <f>"603256"</f>
        <v>603256</v>
      </c>
      <c r="B4075" t="s">
        <v>4119</v>
      </c>
      <c r="C4075">
        <v>-0.42</v>
      </c>
      <c r="D4075">
        <v>257.8</v>
      </c>
      <c r="E4075" t="s">
        <v>16</v>
      </c>
      <c r="F4075" t="s">
        <v>16</v>
      </c>
      <c r="H4075">
        <v>-0.06</v>
      </c>
      <c r="I4075">
        <v>32.25</v>
      </c>
      <c r="J4075">
        <v>-2.46</v>
      </c>
      <c r="K4075" t="s">
        <v>38</v>
      </c>
      <c r="L4075">
        <v>-5.48</v>
      </c>
      <c r="M4075">
        <v>9533.51</v>
      </c>
      <c r="N4075">
        <v>0.27</v>
      </c>
      <c r="O4075">
        <v>1.88</v>
      </c>
    </row>
    <row r="4076" spans="1:15">
      <c r="A4076" t="str">
        <f>"603257"</f>
        <v>603257</v>
      </c>
      <c r="B4076" t="s">
        <v>4120</v>
      </c>
      <c r="C4076">
        <v>-0.07</v>
      </c>
      <c r="D4076">
        <v>70.45</v>
      </c>
      <c r="E4076" t="s">
        <v>16</v>
      </c>
      <c r="F4076" t="s">
        <v>16</v>
      </c>
      <c r="H4076">
        <v>0.36</v>
      </c>
      <c r="I4076">
        <v>10.46</v>
      </c>
      <c r="J4076">
        <v>-0.42</v>
      </c>
      <c r="L4076">
        <v>-0.85</v>
      </c>
      <c r="M4076">
        <v>36.35</v>
      </c>
      <c r="N4076">
        <v>0.02</v>
      </c>
      <c r="O4076">
        <v>0.96</v>
      </c>
    </row>
    <row r="4077" spans="1:15">
      <c r="A4077" t="str">
        <f>"603258"</f>
        <v>603258</v>
      </c>
      <c r="B4077" t="s">
        <v>4121</v>
      </c>
      <c r="C4077">
        <v>1.12</v>
      </c>
      <c r="D4077">
        <v>12.67</v>
      </c>
      <c r="E4077" t="s">
        <v>16</v>
      </c>
      <c r="F4077" t="s">
        <v>16</v>
      </c>
      <c r="H4077">
        <v>-0.38</v>
      </c>
      <c r="I4077">
        <v>-7.92</v>
      </c>
      <c r="J4077">
        <v>-1.4</v>
      </c>
      <c r="L4077">
        <v>0.16</v>
      </c>
      <c r="M4077">
        <v>20.46</v>
      </c>
      <c r="N4077">
        <v>0.01</v>
      </c>
      <c r="O4077">
        <v>1.24</v>
      </c>
    </row>
    <row r="4078" spans="1:15">
      <c r="A4078" t="str">
        <f>"603259"</f>
        <v>603259</v>
      </c>
      <c r="B4078" t="s">
        <v>4122</v>
      </c>
      <c r="C4078">
        <v>4.6</v>
      </c>
      <c r="D4078">
        <v>102.72</v>
      </c>
      <c r="E4078" t="s">
        <v>16</v>
      </c>
      <c r="F4078" t="s">
        <v>16</v>
      </c>
      <c r="H4078">
        <v>-0.3</v>
      </c>
      <c r="I4078">
        <v>6.17</v>
      </c>
      <c r="J4078">
        <v>-1.54</v>
      </c>
      <c r="L4078">
        <v>-0.41</v>
      </c>
      <c r="M4078">
        <v>1138.78</v>
      </c>
      <c r="N4078">
        <v>0.01</v>
      </c>
      <c r="O4078">
        <v>1.08</v>
      </c>
    </row>
    <row r="4079" spans="1:15">
      <c r="A4079" t="str">
        <f>"603260"</f>
        <v>603260</v>
      </c>
      <c r="B4079" t="s">
        <v>4123</v>
      </c>
      <c r="C4079">
        <v>-3.26</v>
      </c>
      <c r="D4079">
        <v>48.4</v>
      </c>
      <c r="E4079" t="s">
        <v>16</v>
      </c>
      <c r="F4079" t="s">
        <v>16</v>
      </c>
      <c r="H4079">
        <v>-0.38</v>
      </c>
      <c r="I4079">
        <v>25.81</v>
      </c>
      <c r="J4079">
        <v>-3.85</v>
      </c>
      <c r="K4079" t="s">
        <v>26</v>
      </c>
      <c r="L4079">
        <v>-2.6</v>
      </c>
      <c r="M4079">
        <v>1490.06</v>
      </c>
      <c r="N4079">
        <v>0.11</v>
      </c>
      <c r="O4079">
        <v>0.33</v>
      </c>
    </row>
    <row r="4080" spans="1:15">
      <c r="A4080" t="str">
        <f>"603261"</f>
        <v>603261</v>
      </c>
      <c r="B4080" t="s">
        <v>4124</v>
      </c>
      <c r="C4080">
        <v>10</v>
      </c>
      <c r="D4080">
        <v>44.77</v>
      </c>
      <c r="E4080">
        <v>1619.78</v>
      </c>
      <c r="F4080">
        <v>2</v>
      </c>
      <c r="H4080">
        <v>0</v>
      </c>
      <c r="I4080">
        <v>35.67</v>
      </c>
      <c r="J4080">
        <v>0</v>
      </c>
      <c r="K4080" t="s">
        <v>296</v>
      </c>
      <c r="L4080">
        <v>4.74</v>
      </c>
      <c r="M4080">
        <v>809.12</v>
      </c>
      <c r="N4080">
        <v>0.72</v>
      </c>
      <c r="O4080">
        <v>6.22</v>
      </c>
    </row>
    <row r="4081" spans="1:15">
      <c r="A4081" t="str">
        <f>"603262"</f>
        <v>603262</v>
      </c>
      <c r="B4081" t="s">
        <v>4125</v>
      </c>
      <c r="C4081">
        <v>5.55</v>
      </c>
      <c r="D4081">
        <v>28.51</v>
      </c>
      <c r="E4081" t="s">
        <v>16</v>
      </c>
      <c r="F4081" t="s">
        <v>16</v>
      </c>
      <c r="H4081">
        <v>-0.2</v>
      </c>
      <c r="I4081">
        <v>4.59</v>
      </c>
      <c r="J4081">
        <v>-1.35</v>
      </c>
      <c r="L4081">
        <v>-0.07</v>
      </c>
      <c r="M4081">
        <v>3.24</v>
      </c>
      <c r="N4081">
        <v>0</v>
      </c>
      <c r="O4081">
        <v>0.5</v>
      </c>
    </row>
    <row r="4082" spans="1:15">
      <c r="A4082" t="str">
        <f>"603266"</f>
        <v>603266</v>
      </c>
      <c r="B4082" t="s">
        <v>4126</v>
      </c>
      <c r="C4082">
        <v>7.31</v>
      </c>
      <c r="D4082">
        <v>18.36</v>
      </c>
      <c r="E4082" t="s">
        <v>16</v>
      </c>
      <c r="F4082" t="s">
        <v>16</v>
      </c>
      <c r="H4082">
        <v>-0.69</v>
      </c>
      <c r="I4082">
        <v>-1.55</v>
      </c>
      <c r="J4082">
        <v>-0.92</v>
      </c>
      <c r="L4082">
        <v>-0.06</v>
      </c>
      <c r="M4082">
        <v>4.28</v>
      </c>
      <c r="N4082">
        <v>0</v>
      </c>
      <c r="O4082">
        <v>0.56</v>
      </c>
    </row>
    <row r="4083" spans="1:15">
      <c r="A4083" t="str">
        <f>"603267"</f>
        <v>603267</v>
      </c>
      <c r="B4083" t="s">
        <v>4127</v>
      </c>
      <c r="C4083">
        <v>1.83</v>
      </c>
      <c r="D4083">
        <v>76.37</v>
      </c>
      <c r="E4083" t="s">
        <v>16</v>
      </c>
      <c r="F4083" t="s">
        <v>16</v>
      </c>
      <c r="H4083">
        <v>0.08</v>
      </c>
      <c r="I4083">
        <v>-5.84</v>
      </c>
      <c r="J4083">
        <v>-1.1</v>
      </c>
      <c r="K4083" t="s">
        <v>57</v>
      </c>
      <c r="L4083">
        <v>-1.33</v>
      </c>
      <c r="M4083">
        <v>1162.54</v>
      </c>
      <c r="N4083">
        <v>0.11</v>
      </c>
      <c r="O4083">
        <v>0.54</v>
      </c>
    </row>
    <row r="4084" spans="1:15">
      <c r="A4084" t="str">
        <f>"603268"</f>
        <v>603268</v>
      </c>
      <c r="B4084" t="s">
        <v>4128</v>
      </c>
      <c r="C4084">
        <v>-3.33</v>
      </c>
      <c r="D4084">
        <v>146.3</v>
      </c>
      <c r="E4084" t="s">
        <v>16</v>
      </c>
      <c r="F4084" t="s">
        <v>16</v>
      </c>
      <c r="H4084">
        <v>0.21</v>
      </c>
      <c r="I4084">
        <v>5.34</v>
      </c>
      <c r="J4084">
        <v>-8.08</v>
      </c>
      <c r="L4084">
        <v>0.05</v>
      </c>
      <c r="M4084">
        <v>264.99</v>
      </c>
      <c r="N4084">
        <v>0.01</v>
      </c>
      <c r="O4084">
        <v>0.38</v>
      </c>
    </row>
    <row r="4085" spans="1:15">
      <c r="A4085" t="str">
        <f>"603269"</f>
        <v>603269</v>
      </c>
      <c r="B4085" t="s">
        <v>4129</v>
      </c>
      <c r="C4085">
        <v>3.19</v>
      </c>
      <c r="D4085">
        <v>24.28</v>
      </c>
      <c r="E4085" t="s">
        <v>16</v>
      </c>
      <c r="F4085" t="s">
        <v>16</v>
      </c>
      <c r="H4085">
        <v>0.58</v>
      </c>
      <c r="I4085">
        <v>12.36</v>
      </c>
      <c r="J4085">
        <v>-6.18</v>
      </c>
      <c r="L4085">
        <v>-1.02</v>
      </c>
      <c r="M4085">
        <v>450.49</v>
      </c>
      <c r="N4085">
        <v>0.08</v>
      </c>
      <c r="O4085">
        <v>1.22</v>
      </c>
    </row>
    <row r="4086" spans="1:15">
      <c r="A4086" t="str">
        <f>"603270"</f>
        <v>603270</v>
      </c>
      <c r="B4086" t="s">
        <v>4130</v>
      </c>
      <c r="C4086">
        <v>5.07</v>
      </c>
      <c r="D4086">
        <v>31.73</v>
      </c>
      <c r="E4086" t="s">
        <v>16</v>
      </c>
      <c r="F4086" t="s">
        <v>16</v>
      </c>
      <c r="H4086">
        <v>0.32</v>
      </c>
      <c r="I4086">
        <v>17.26</v>
      </c>
      <c r="J4086">
        <v>-0.78</v>
      </c>
      <c r="L4086">
        <v>0.17</v>
      </c>
      <c r="M4086">
        <v>145.5</v>
      </c>
      <c r="N4086">
        <v>0.07</v>
      </c>
      <c r="O4086">
        <v>1.24</v>
      </c>
    </row>
    <row r="4087" spans="1:15">
      <c r="A4087" t="str">
        <f>"603271"</f>
        <v>603271</v>
      </c>
      <c r="B4087" t="s">
        <v>4131</v>
      </c>
      <c r="C4087">
        <v>-10</v>
      </c>
      <c r="D4087">
        <v>48.96</v>
      </c>
      <c r="E4087" t="s">
        <v>16</v>
      </c>
      <c r="F4087" t="s">
        <v>16</v>
      </c>
      <c r="H4087">
        <v>0</v>
      </c>
      <c r="I4087">
        <v>10.87</v>
      </c>
      <c r="J4087">
        <v>-9.33</v>
      </c>
      <c r="K4087" t="s">
        <v>26</v>
      </c>
      <c r="L4087">
        <v>-1.88</v>
      </c>
      <c r="M4087">
        <v>753.19</v>
      </c>
      <c r="N4087">
        <v>0.17</v>
      </c>
      <c r="O4087">
        <v>0.99</v>
      </c>
    </row>
    <row r="4088" spans="1:15">
      <c r="A4088" t="str">
        <f>"603272"</f>
        <v>603272</v>
      </c>
      <c r="B4088" t="s">
        <v>4132</v>
      </c>
      <c r="C4088">
        <v>-4.99</v>
      </c>
      <c r="D4088">
        <v>31.04</v>
      </c>
      <c r="E4088">
        <v>1416.67</v>
      </c>
      <c r="F4088" t="s">
        <v>16</v>
      </c>
      <c r="H4088">
        <v>0</v>
      </c>
      <c r="I4088">
        <v>-25.24</v>
      </c>
      <c r="J4088">
        <v>-2.85</v>
      </c>
      <c r="L4088">
        <v>-3.58</v>
      </c>
      <c r="M4088">
        <v>1066.91</v>
      </c>
      <c r="N4088">
        <v>0.75</v>
      </c>
      <c r="O4088">
        <v>1.3</v>
      </c>
    </row>
    <row r="4089" spans="1:15">
      <c r="A4089" t="str">
        <f>"603273"</f>
        <v>603273</v>
      </c>
      <c r="B4089" t="s">
        <v>4133</v>
      </c>
      <c r="C4089">
        <v>-2.04</v>
      </c>
      <c r="D4089">
        <v>13.94</v>
      </c>
      <c r="E4089" t="s">
        <v>16</v>
      </c>
      <c r="F4089" t="s">
        <v>16</v>
      </c>
      <c r="H4089">
        <v>-0.35</v>
      </c>
      <c r="I4089">
        <v>-3.6</v>
      </c>
      <c r="J4089">
        <v>-2.04</v>
      </c>
      <c r="L4089">
        <v>-1.48</v>
      </c>
      <c r="M4089">
        <v>53.56</v>
      </c>
      <c r="N4089">
        <v>0.07</v>
      </c>
      <c r="O4089">
        <v>4.24</v>
      </c>
    </row>
    <row r="4090" spans="1:15">
      <c r="A4090" t="str">
        <f>"603275"</f>
        <v>603275</v>
      </c>
      <c r="B4090" t="s">
        <v>4134</v>
      </c>
      <c r="C4090">
        <v>0.1</v>
      </c>
      <c r="D4090">
        <v>41.9</v>
      </c>
      <c r="E4090" t="s">
        <v>16</v>
      </c>
      <c r="F4090" t="s">
        <v>16</v>
      </c>
      <c r="H4090">
        <v>-0.06</v>
      </c>
      <c r="I4090">
        <v>1.45</v>
      </c>
      <c r="J4090">
        <v>-1.13</v>
      </c>
      <c r="L4090">
        <v>0.1</v>
      </c>
      <c r="M4090">
        <v>2.93</v>
      </c>
      <c r="N4090">
        <v>0</v>
      </c>
      <c r="O4090">
        <v>0.04</v>
      </c>
    </row>
    <row r="4091" spans="1:15">
      <c r="A4091" t="str">
        <f>"603276"</f>
        <v>603276</v>
      </c>
      <c r="B4091" t="s">
        <v>4135</v>
      </c>
      <c r="C4091">
        <v>-3.28</v>
      </c>
      <c r="D4091">
        <v>16.2</v>
      </c>
      <c r="E4091" t="s">
        <v>16</v>
      </c>
      <c r="F4091" t="s">
        <v>16</v>
      </c>
      <c r="H4091">
        <v>-0.6</v>
      </c>
      <c r="I4091">
        <v>4.72</v>
      </c>
      <c r="J4091">
        <v>-3.11</v>
      </c>
      <c r="L4091">
        <v>-0.6</v>
      </c>
      <c r="M4091">
        <v>23.14</v>
      </c>
      <c r="N4091">
        <v>0.02</v>
      </c>
      <c r="O4091">
        <v>0.55</v>
      </c>
    </row>
    <row r="4092" spans="1:15">
      <c r="A4092" t="str">
        <f>"603277"</f>
        <v>603277</v>
      </c>
      <c r="B4092" t="s">
        <v>4136</v>
      </c>
      <c r="C4092">
        <v>-2.34</v>
      </c>
      <c r="D4092">
        <v>10.01</v>
      </c>
      <c r="E4092" t="s">
        <v>16</v>
      </c>
      <c r="F4092" t="s">
        <v>16</v>
      </c>
      <c r="H4092">
        <v>-0.39</v>
      </c>
      <c r="I4092">
        <v>-10.47</v>
      </c>
      <c r="J4092">
        <v>-4.67</v>
      </c>
      <c r="L4092">
        <v>2.05</v>
      </c>
      <c r="M4092">
        <v>30.44</v>
      </c>
      <c r="N4092">
        <v>0.02</v>
      </c>
      <c r="O4092">
        <v>72.75</v>
      </c>
    </row>
    <row r="4093" spans="1:15">
      <c r="A4093" t="str">
        <f>"603278"</f>
        <v>603278</v>
      </c>
      <c r="B4093" t="s">
        <v>4137</v>
      </c>
      <c r="C4093">
        <v>-0.24</v>
      </c>
      <c r="D4093">
        <v>12.54</v>
      </c>
      <c r="E4093" t="s">
        <v>16</v>
      </c>
      <c r="F4093" t="s">
        <v>16</v>
      </c>
      <c r="H4093">
        <v>-0.31</v>
      </c>
      <c r="I4093">
        <v>1.05</v>
      </c>
      <c r="J4093">
        <v>-1.8</v>
      </c>
      <c r="L4093">
        <v>-0.56</v>
      </c>
      <c r="M4093">
        <v>101.13</v>
      </c>
      <c r="N4093">
        <v>0.05</v>
      </c>
      <c r="O4093">
        <v>0.76</v>
      </c>
    </row>
    <row r="4094" spans="1:15">
      <c r="A4094" t="str">
        <f>"603279"</f>
        <v>603279</v>
      </c>
      <c r="B4094" t="s">
        <v>4138</v>
      </c>
      <c r="C4094">
        <v>-0.3</v>
      </c>
      <c r="D4094">
        <v>13.12</v>
      </c>
      <c r="E4094" t="s">
        <v>16</v>
      </c>
      <c r="F4094" t="s">
        <v>16</v>
      </c>
      <c r="H4094">
        <v>0.15</v>
      </c>
      <c r="I4094">
        <v>-6.15</v>
      </c>
      <c r="J4094">
        <v>-0.61</v>
      </c>
      <c r="L4094">
        <v>-0.84</v>
      </c>
      <c r="M4094">
        <v>18.14</v>
      </c>
      <c r="N4094">
        <v>0</v>
      </c>
      <c r="O4094">
        <v>0.8</v>
      </c>
    </row>
    <row r="4095" spans="1:15">
      <c r="A4095" t="str">
        <f>"603280"</f>
        <v>603280</v>
      </c>
      <c r="B4095" t="s">
        <v>4139</v>
      </c>
      <c r="C4095">
        <v>-0.66</v>
      </c>
      <c r="D4095">
        <v>27.2</v>
      </c>
      <c r="E4095" t="s">
        <v>16</v>
      </c>
      <c r="F4095" t="s">
        <v>16</v>
      </c>
      <c r="H4095">
        <v>-0.1</v>
      </c>
      <c r="I4095">
        <v>-3.89</v>
      </c>
      <c r="J4095">
        <v>-1.02</v>
      </c>
      <c r="L4095">
        <v>-0.11</v>
      </c>
      <c r="M4095">
        <v>14.22</v>
      </c>
      <c r="N4095">
        <v>0.02</v>
      </c>
      <c r="O4095">
        <v>0.78</v>
      </c>
    </row>
    <row r="4096" spans="1:15">
      <c r="A4096" t="str">
        <f>"603281"</f>
        <v>603281</v>
      </c>
      <c r="B4096" t="s">
        <v>4140</v>
      </c>
      <c r="C4096">
        <v>-0.19</v>
      </c>
      <c r="D4096">
        <v>37.23</v>
      </c>
      <c r="E4096" t="s">
        <v>16</v>
      </c>
      <c r="F4096" t="s">
        <v>16</v>
      </c>
      <c r="H4096">
        <v>-0.1</v>
      </c>
      <c r="I4096">
        <v>10.28</v>
      </c>
      <c r="J4096">
        <v>-1.77</v>
      </c>
      <c r="L4096">
        <v>-0.08</v>
      </c>
      <c r="M4096">
        <v>39.88</v>
      </c>
      <c r="N4096">
        <v>0</v>
      </c>
      <c r="O4096">
        <v>1.02</v>
      </c>
    </row>
    <row r="4097" spans="1:15">
      <c r="A4097" t="str">
        <f>"603282"</f>
        <v>603282</v>
      </c>
      <c r="B4097" t="s">
        <v>4141</v>
      </c>
      <c r="C4097">
        <v>6.81</v>
      </c>
      <c r="D4097">
        <v>15.69</v>
      </c>
      <c r="E4097" t="s">
        <v>16</v>
      </c>
      <c r="F4097" t="s">
        <v>16</v>
      </c>
      <c r="H4097">
        <v>-0.24</v>
      </c>
      <c r="I4097">
        <v>1.88</v>
      </c>
      <c r="J4097">
        <v>-1.01</v>
      </c>
      <c r="L4097">
        <v>-0.88</v>
      </c>
      <c r="M4097">
        <v>33.92</v>
      </c>
      <c r="N4097">
        <v>0.04</v>
      </c>
      <c r="O4097">
        <v>2.04</v>
      </c>
    </row>
    <row r="4098" spans="1:15">
      <c r="A4098" t="str">
        <f>"603283"</f>
        <v>603283</v>
      </c>
      <c r="B4098" t="s">
        <v>4142</v>
      </c>
      <c r="C4098">
        <v>-0.73</v>
      </c>
      <c r="D4098">
        <v>62.6</v>
      </c>
      <c r="E4098" t="s">
        <v>16</v>
      </c>
      <c r="F4098" t="s">
        <v>16</v>
      </c>
      <c r="H4098">
        <v>0.06</v>
      </c>
      <c r="I4098">
        <v>26.98</v>
      </c>
      <c r="J4098">
        <v>-4.41</v>
      </c>
      <c r="K4098" t="s">
        <v>54</v>
      </c>
      <c r="L4098">
        <v>3.17</v>
      </c>
      <c r="M4098">
        <v>6723.14</v>
      </c>
      <c r="N4098">
        <v>0.47</v>
      </c>
      <c r="O4098">
        <v>4.64</v>
      </c>
    </row>
    <row r="4099" spans="1:15">
      <c r="A4099" t="str">
        <f>"603284"</f>
        <v>603284</v>
      </c>
      <c r="B4099" t="s">
        <v>4143</v>
      </c>
      <c r="C4099">
        <v>-0.91</v>
      </c>
      <c r="D4099">
        <v>38.3</v>
      </c>
      <c r="E4099" t="s">
        <v>16</v>
      </c>
      <c r="F4099" t="s">
        <v>16</v>
      </c>
      <c r="H4099">
        <v>-0.28</v>
      </c>
      <c r="I4099">
        <v>-5.97</v>
      </c>
      <c r="J4099">
        <v>-1.77</v>
      </c>
      <c r="L4099">
        <v>-0.57</v>
      </c>
      <c r="M4099">
        <v>11.14</v>
      </c>
      <c r="N4099">
        <v>0.02</v>
      </c>
      <c r="O4099">
        <v>0.81</v>
      </c>
    </row>
    <row r="4100" spans="1:15">
      <c r="A4100" t="str">
        <f>"603285"</f>
        <v>603285</v>
      </c>
      <c r="B4100" t="s">
        <v>4144</v>
      </c>
      <c r="C4100">
        <v>7.61</v>
      </c>
      <c r="D4100">
        <v>54.43</v>
      </c>
      <c r="E4100" t="s">
        <v>16</v>
      </c>
      <c r="F4100" t="s">
        <v>16</v>
      </c>
      <c r="H4100">
        <v>0.2</v>
      </c>
      <c r="I4100">
        <v>25.18</v>
      </c>
      <c r="J4100">
        <v>-1.18</v>
      </c>
      <c r="K4100" t="s">
        <v>54</v>
      </c>
      <c r="L4100">
        <v>2.81</v>
      </c>
      <c r="M4100">
        <v>1424.8</v>
      </c>
      <c r="N4100">
        <v>0.44</v>
      </c>
      <c r="O4100">
        <v>26.1</v>
      </c>
    </row>
    <row r="4101" spans="1:15">
      <c r="A4101" t="str">
        <f>"603286"</f>
        <v>603286</v>
      </c>
      <c r="B4101" t="s">
        <v>4145</v>
      </c>
      <c r="C4101">
        <v>-5.72</v>
      </c>
      <c r="D4101">
        <v>53.38</v>
      </c>
      <c r="E4101" t="s">
        <v>16</v>
      </c>
      <c r="F4101" t="s">
        <v>16</v>
      </c>
      <c r="H4101">
        <v>0.09</v>
      </c>
      <c r="I4101">
        <v>-10.5</v>
      </c>
      <c r="J4101">
        <v>-6.84</v>
      </c>
      <c r="L4101">
        <v>0.83</v>
      </c>
      <c r="M4101">
        <v>140.44</v>
      </c>
      <c r="N4101">
        <v>0.03</v>
      </c>
      <c r="O4101">
        <v>12.95</v>
      </c>
    </row>
    <row r="4102" spans="1:15">
      <c r="A4102" t="str">
        <f>"603288"</f>
        <v>603288</v>
      </c>
      <c r="B4102" t="s">
        <v>4146</v>
      </c>
      <c r="C4102">
        <v>-2.64</v>
      </c>
      <c r="D4102">
        <v>32.44</v>
      </c>
      <c r="E4102" t="s">
        <v>16</v>
      </c>
      <c r="F4102" t="s">
        <v>16</v>
      </c>
      <c r="H4102">
        <v>-0.45</v>
      </c>
      <c r="I4102">
        <v>-1.7</v>
      </c>
      <c r="J4102">
        <v>-2.49</v>
      </c>
      <c r="L4102">
        <v>-0.66</v>
      </c>
      <c r="M4102">
        <v>394.59</v>
      </c>
      <c r="N4102">
        <v>0.01</v>
      </c>
      <c r="O4102">
        <v>1.64</v>
      </c>
    </row>
    <row r="4103" spans="1:15">
      <c r="A4103" t="str">
        <f>"603289"</f>
        <v>603289</v>
      </c>
      <c r="B4103" t="s">
        <v>4147</v>
      </c>
      <c r="C4103">
        <v>0.66</v>
      </c>
      <c r="D4103">
        <v>9.12</v>
      </c>
      <c r="E4103" t="s">
        <v>16</v>
      </c>
      <c r="F4103" t="s">
        <v>16</v>
      </c>
      <c r="H4103">
        <v>0.22</v>
      </c>
      <c r="I4103">
        <v>-5.79</v>
      </c>
      <c r="J4103">
        <v>-1.19</v>
      </c>
      <c r="L4103">
        <v>-0.66</v>
      </c>
      <c r="M4103">
        <v>24.21</v>
      </c>
      <c r="N4103">
        <v>0.03</v>
      </c>
      <c r="O4103">
        <v>1.84</v>
      </c>
    </row>
    <row r="4104" spans="1:15">
      <c r="A4104" t="str">
        <f>"603290"</f>
        <v>603290</v>
      </c>
      <c r="B4104" t="s">
        <v>4148</v>
      </c>
      <c r="C4104">
        <v>-0.06</v>
      </c>
      <c r="D4104">
        <v>130.9</v>
      </c>
      <c r="E4104" t="s">
        <v>16</v>
      </c>
      <c r="F4104" t="s">
        <v>16</v>
      </c>
      <c r="H4104">
        <v>-0.15</v>
      </c>
      <c r="I4104">
        <v>8.34</v>
      </c>
      <c r="J4104">
        <v>-1.76</v>
      </c>
      <c r="L4104">
        <v>-0.08</v>
      </c>
      <c r="M4104">
        <v>927.94</v>
      </c>
      <c r="N4104">
        <v>0.06</v>
      </c>
      <c r="O4104">
        <v>0.37</v>
      </c>
    </row>
    <row r="4105" spans="1:15">
      <c r="A4105" t="str">
        <f>"603291"</f>
        <v>603291</v>
      </c>
      <c r="B4105" t="s">
        <v>4149</v>
      </c>
      <c r="C4105">
        <v>-1.94</v>
      </c>
      <c r="D4105">
        <v>8.6</v>
      </c>
      <c r="E4105" t="s">
        <v>16</v>
      </c>
      <c r="F4105" t="s">
        <v>16</v>
      </c>
      <c r="H4105">
        <v>-0.11</v>
      </c>
      <c r="I4105">
        <v>-17.94</v>
      </c>
      <c r="J4105">
        <v>-2.6</v>
      </c>
      <c r="L4105">
        <v>0.34</v>
      </c>
      <c r="M4105">
        <v>13.2</v>
      </c>
      <c r="N4105">
        <v>0.02</v>
      </c>
      <c r="O4105">
        <v>0.8</v>
      </c>
    </row>
    <row r="4106" spans="1:15">
      <c r="A4106" t="str">
        <f>"603293"</f>
        <v>603293</v>
      </c>
      <c r="B4106" t="s">
        <v>4150</v>
      </c>
      <c r="C4106">
        <v>1.38</v>
      </c>
      <c r="D4106">
        <v>42.52</v>
      </c>
      <c r="E4106" t="s">
        <v>16</v>
      </c>
      <c r="F4106" t="s">
        <v>16</v>
      </c>
      <c r="H4106">
        <v>-0.18</v>
      </c>
      <c r="I4106">
        <v>-1.71</v>
      </c>
      <c r="J4106">
        <v>-0.3</v>
      </c>
      <c r="L4106">
        <v>0.14</v>
      </c>
      <c r="M4106">
        <v>21.42</v>
      </c>
      <c r="N4106">
        <v>0.01</v>
      </c>
      <c r="O4106">
        <v>1.76</v>
      </c>
    </row>
    <row r="4107" spans="1:15">
      <c r="A4107" t="str">
        <f>"603296"</f>
        <v>603296</v>
      </c>
      <c r="B4107" t="s">
        <v>4151</v>
      </c>
      <c r="C4107">
        <v>1.18</v>
      </c>
      <c r="D4107">
        <v>80.4</v>
      </c>
      <c r="E4107" t="s">
        <v>16</v>
      </c>
      <c r="F4107" t="s">
        <v>16</v>
      </c>
      <c r="H4107">
        <v>-0.01</v>
      </c>
      <c r="I4107">
        <v>-0.61</v>
      </c>
      <c r="J4107">
        <v>-1.89</v>
      </c>
      <c r="L4107">
        <v>-0.62</v>
      </c>
      <c r="M4107">
        <v>1344.07</v>
      </c>
      <c r="N4107">
        <v>0.02</v>
      </c>
      <c r="O4107">
        <v>0.88</v>
      </c>
    </row>
    <row r="4108" spans="1:15">
      <c r="A4108" t="str">
        <f>"603297"</f>
        <v>603297</v>
      </c>
      <c r="B4108" t="s">
        <v>4152</v>
      </c>
      <c r="C4108">
        <v>-1.08</v>
      </c>
      <c r="D4108">
        <v>124.9</v>
      </c>
      <c r="E4108" t="s">
        <v>16</v>
      </c>
      <c r="F4108" t="s">
        <v>16</v>
      </c>
      <c r="H4108">
        <v>0.17</v>
      </c>
      <c r="I4108">
        <v>1.68</v>
      </c>
      <c r="J4108">
        <v>-1.01</v>
      </c>
      <c r="L4108">
        <v>-0.07</v>
      </c>
      <c r="M4108">
        <v>59.3</v>
      </c>
      <c r="N4108">
        <v>0.01</v>
      </c>
      <c r="O4108">
        <v>1.52</v>
      </c>
    </row>
    <row r="4109" spans="1:15">
      <c r="A4109" t="str">
        <f>"603298"</f>
        <v>603298</v>
      </c>
      <c r="B4109" t="s">
        <v>4153</v>
      </c>
      <c r="C4109">
        <v>-0.76</v>
      </c>
      <c r="D4109">
        <v>24.66</v>
      </c>
      <c r="E4109" t="s">
        <v>16</v>
      </c>
      <c r="F4109" t="s">
        <v>16</v>
      </c>
      <c r="H4109">
        <v>-0.03</v>
      </c>
      <c r="I4109">
        <v>0</v>
      </c>
      <c r="J4109">
        <v>-1.52</v>
      </c>
      <c r="L4109">
        <v>0.4</v>
      </c>
      <c r="M4109">
        <v>19.21</v>
      </c>
      <c r="N4109">
        <v>0</v>
      </c>
      <c r="O4109">
        <v>0.88</v>
      </c>
    </row>
    <row r="4110" spans="1:15">
      <c r="A4110" t="str">
        <f>"603299"</f>
        <v>603299</v>
      </c>
      <c r="B4110" t="s">
        <v>4154</v>
      </c>
      <c r="C4110">
        <v>-2.16</v>
      </c>
      <c r="D4110">
        <v>9.51</v>
      </c>
      <c r="E4110" t="s">
        <v>16</v>
      </c>
      <c r="F4110" t="s">
        <v>16</v>
      </c>
      <c r="H4110">
        <v>-0.1</v>
      </c>
      <c r="I4110">
        <v>-4.04</v>
      </c>
      <c r="J4110">
        <v>-2.66</v>
      </c>
      <c r="L4110">
        <v>0.1</v>
      </c>
      <c r="M4110">
        <v>25.1</v>
      </c>
      <c r="N4110">
        <v>0.01</v>
      </c>
      <c r="O4110">
        <v>5.61</v>
      </c>
    </row>
    <row r="4111" spans="1:15">
      <c r="A4111" t="str">
        <f>"603300"</f>
        <v>603300</v>
      </c>
      <c r="B4111" t="s">
        <v>4155</v>
      </c>
      <c r="C4111">
        <v>-1.39</v>
      </c>
      <c r="D4111">
        <v>4.97</v>
      </c>
      <c r="E4111" t="s">
        <v>16</v>
      </c>
      <c r="F4111" t="s">
        <v>16</v>
      </c>
      <c r="H4111">
        <v>0</v>
      </c>
      <c r="I4111">
        <v>-4.79</v>
      </c>
      <c r="J4111">
        <v>-1.19</v>
      </c>
      <c r="L4111">
        <v>-0.6</v>
      </c>
      <c r="M4111">
        <v>23.85</v>
      </c>
      <c r="N4111">
        <v>0</v>
      </c>
      <c r="O4111">
        <v>0.36</v>
      </c>
    </row>
    <row r="4112" spans="1:15">
      <c r="A4112" t="str">
        <f>"603301"</f>
        <v>603301</v>
      </c>
      <c r="B4112" t="s">
        <v>4156</v>
      </c>
      <c r="C4112">
        <v>1.31</v>
      </c>
      <c r="D4112">
        <v>89</v>
      </c>
      <c r="E4112" t="s">
        <v>16</v>
      </c>
      <c r="F4112" t="s">
        <v>16</v>
      </c>
      <c r="H4112">
        <v>0.06</v>
      </c>
      <c r="I4112">
        <v>7.53</v>
      </c>
      <c r="J4112">
        <v>-0.34</v>
      </c>
      <c r="L4112">
        <v>0.28</v>
      </c>
      <c r="M4112">
        <v>78.06</v>
      </c>
      <c r="N4112">
        <v>0.01</v>
      </c>
      <c r="O4112">
        <v>0.66</v>
      </c>
    </row>
    <row r="4113" spans="1:15">
      <c r="A4113" t="str">
        <f>"603303"</f>
        <v>603303</v>
      </c>
      <c r="B4113" t="s">
        <v>4157</v>
      </c>
      <c r="C4113">
        <v>0.74</v>
      </c>
      <c r="D4113">
        <v>31.2</v>
      </c>
      <c r="E4113" t="s">
        <v>16</v>
      </c>
      <c r="F4113" t="s">
        <v>16</v>
      </c>
      <c r="H4113">
        <v>0.74</v>
      </c>
      <c r="I4113">
        <v>13.66</v>
      </c>
      <c r="J4113">
        <v>-1.2</v>
      </c>
      <c r="L4113">
        <v>-2.2</v>
      </c>
      <c r="M4113">
        <v>248.38</v>
      </c>
      <c r="N4113">
        <v>0.07</v>
      </c>
      <c r="O4113">
        <v>1.49</v>
      </c>
    </row>
    <row r="4114" spans="1:15">
      <c r="A4114" t="str">
        <f>"603305"</f>
        <v>603305</v>
      </c>
      <c r="B4114" t="s">
        <v>4158</v>
      </c>
      <c r="C4114">
        <v>0.57</v>
      </c>
      <c r="D4114">
        <v>14.02</v>
      </c>
      <c r="E4114" t="s">
        <v>16</v>
      </c>
      <c r="F4114" t="s">
        <v>16</v>
      </c>
      <c r="H4114">
        <v>-0.13</v>
      </c>
      <c r="I4114">
        <v>-3.38</v>
      </c>
      <c r="J4114">
        <v>-1.13</v>
      </c>
      <c r="L4114">
        <v>1.15</v>
      </c>
      <c r="M4114">
        <v>368.86</v>
      </c>
      <c r="N4114">
        <v>0.04</v>
      </c>
      <c r="O4114">
        <v>5.17</v>
      </c>
    </row>
    <row r="4115" spans="1:15">
      <c r="A4115" t="str">
        <f>"603306"</f>
        <v>603306</v>
      </c>
      <c r="B4115" t="s">
        <v>4159</v>
      </c>
      <c r="C4115">
        <v>3.28</v>
      </c>
      <c r="D4115">
        <v>111.5</v>
      </c>
      <c r="E4115" t="s">
        <v>16</v>
      </c>
      <c r="F4115" t="s">
        <v>16</v>
      </c>
      <c r="H4115">
        <v>0.29</v>
      </c>
      <c r="I4115">
        <v>7.68</v>
      </c>
      <c r="J4115">
        <v>-0.32</v>
      </c>
      <c r="L4115">
        <v>-1.44</v>
      </c>
      <c r="M4115">
        <v>393.68</v>
      </c>
      <c r="N4115">
        <v>0.02</v>
      </c>
      <c r="O4115">
        <v>0.55</v>
      </c>
    </row>
    <row r="4116" spans="1:15">
      <c r="A4116" t="str">
        <f>"603307"</f>
        <v>603307</v>
      </c>
      <c r="B4116" t="s">
        <v>4160</v>
      </c>
      <c r="C4116">
        <v>-0.12</v>
      </c>
      <c r="D4116">
        <v>25.52</v>
      </c>
      <c r="E4116" t="s">
        <v>16</v>
      </c>
      <c r="F4116" t="s">
        <v>16</v>
      </c>
      <c r="H4116">
        <v>0.16</v>
      </c>
      <c r="I4116">
        <v>1.51</v>
      </c>
      <c r="J4116">
        <v>-2.15</v>
      </c>
      <c r="L4116">
        <v>-0.86</v>
      </c>
      <c r="M4116">
        <v>11.91</v>
      </c>
      <c r="N4116">
        <v>0.02</v>
      </c>
      <c r="O4116">
        <v>0.96</v>
      </c>
    </row>
    <row r="4117" spans="1:15">
      <c r="A4117" t="str">
        <f>"603308"</f>
        <v>603308</v>
      </c>
      <c r="B4117" t="s">
        <v>4161</v>
      </c>
      <c r="C4117">
        <v>6.58</v>
      </c>
      <c r="D4117">
        <v>68.18</v>
      </c>
      <c r="E4117" t="s">
        <v>16</v>
      </c>
      <c r="F4117" t="s">
        <v>16</v>
      </c>
      <c r="H4117">
        <v>0.15</v>
      </c>
      <c r="I4117">
        <v>2.37</v>
      </c>
      <c r="J4117">
        <v>-3.11</v>
      </c>
      <c r="L4117">
        <v>3.17</v>
      </c>
      <c r="M4117">
        <v>1435.96</v>
      </c>
      <c r="N4117">
        <v>0.05</v>
      </c>
      <c r="O4117">
        <v>1.09</v>
      </c>
    </row>
    <row r="4118" spans="1:15">
      <c r="A4118" t="str">
        <f>"603309"</f>
        <v>603309</v>
      </c>
      <c r="B4118" t="s">
        <v>4162</v>
      </c>
      <c r="C4118">
        <v>0.09</v>
      </c>
      <c r="D4118">
        <v>11.51</v>
      </c>
      <c r="E4118" t="s">
        <v>16</v>
      </c>
      <c r="F4118" t="s">
        <v>16</v>
      </c>
      <c r="H4118">
        <v>-0.08</v>
      </c>
      <c r="I4118">
        <v>0.17</v>
      </c>
      <c r="J4118">
        <v>-1.79</v>
      </c>
      <c r="L4118">
        <v>-0.17</v>
      </c>
      <c r="M4118">
        <v>3.56</v>
      </c>
      <c r="N4118">
        <v>0</v>
      </c>
      <c r="O4118">
        <v>0.43</v>
      </c>
    </row>
    <row r="4119" spans="1:15">
      <c r="A4119" t="str">
        <f>"603310"</f>
        <v>603310</v>
      </c>
      <c r="B4119" t="s">
        <v>4163</v>
      </c>
      <c r="C4119">
        <v>-0.78</v>
      </c>
      <c r="D4119">
        <v>15.29</v>
      </c>
      <c r="E4119" t="s">
        <v>16</v>
      </c>
      <c r="F4119" t="s">
        <v>16</v>
      </c>
      <c r="H4119">
        <v>0.13</v>
      </c>
      <c r="I4119">
        <v>-3.11</v>
      </c>
      <c r="J4119">
        <v>-1.16</v>
      </c>
      <c r="L4119">
        <v>0.39</v>
      </c>
      <c r="M4119">
        <v>15.16</v>
      </c>
      <c r="N4119">
        <v>0.01</v>
      </c>
      <c r="O4119">
        <v>0.95</v>
      </c>
    </row>
    <row r="4120" spans="1:15">
      <c r="A4120" t="str">
        <f>"603311"</f>
        <v>603311</v>
      </c>
      <c r="B4120" t="s">
        <v>4164</v>
      </c>
      <c r="C4120">
        <v>-8.32</v>
      </c>
      <c r="D4120">
        <v>37.03</v>
      </c>
      <c r="E4120" t="s">
        <v>16</v>
      </c>
      <c r="F4120" t="s">
        <v>16</v>
      </c>
      <c r="H4120">
        <v>-0.07</v>
      </c>
      <c r="I4120">
        <v>-3.89</v>
      </c>
      <c r="J4120">
        <v>-9.64</v>
      </c>
      <c r="L4120">
        <v>-0.99</v>
      </c>
      <c r="M4120">
        <v>449.09</v>
      </c>
      <c r="N4120">
        <v>0.1</v>
      </c>
      <c r="O4120">
        <v>1.11</v>
      </c>
    </row>
    <row r="4121" spans="1:15">
      <c r="A4121" t="str">
        <f>"603312"</f>
        <v>603312</v>
      </c>
      <c r="B4121" t="s">
        <v>4165</v>
      </c>
      <c r="C4121">
        <v>-2.06</v>
      </c>
      <c r="D4121">
        <v>37.09</v>
      </c>
      <c r="E4121" t="s">
        <v>16</v>
      </c>
      <c r="F4121" t="s">
        <v>16</v>
      </c>
      <c r="H4121">
        <v>-0.12</v>
      </c>
      <c r="I4121">
        <v>1.34</v>
      </c>
      <c r="J4121">
        <v>-3.49</v>
      </c>
      <c r="L4121">
        <v>0.82</v>
      </c>
      <c r="M4121">
        <v>17.18</v>
      </c>
      <c r="N4121">
        <v>0.01</v>
      </c>
      <c r="O4121">
        <v>1.41</v>
      </c>
    </row>
    <row r="4122" spans="1:15">
      <c r="A4122" t="str">
        <f>"603313"</f>
        <v>603313</v>
      </c>
      <c r="B4122" t="s">
        <v>4166</v>
      </c>
      <c r="C4122">
        <v>10.1</v>
      </c>
      <c r="D4122">
        <v>5.56</v>
      </c>
      <c r="E4122">
        <v>2445.4</v>
      </c>
      <c r="F4122">
        <v>1</v>
      </c>
      <c r="H4122">
        <v>0</v>
      </c>
      <c r="I4122">
        <v>2.96</v>
      </c>
      <c r="J4122">
        <v>0</v>
      </c>
      <c r="K4122" t="s">
        <v>140</v>
      </c>
      <c r="L4122">
        <v>-0.79</v>
      </c>
      <c r="M4122">
        <v>36.17</v>
      </c>
      <c r="N4122">
        <v>0.02</v>
      </c>
      <c r="O4122">
        <v>1.52</v>
      </c>
    </row>
    <row r="4123" spans="1:15">
      <c r="A4123" t="str">
        <f>"603315"</f>
        <v>603315</v>
      </c>
      <c r="B4123" t="s">
        <v>4167</v>
      </c>
      <c r="C4123">
        <v>4</v>
      </c>
      <c r="D4123">
        <v>17.42</v>
      </c>
      <c r="E4123" t="s">
        <v>16</v>
      </c>
      <c r="F4123" t="s">
        <v>16</v>
      </c>
      <c r="H4123">
        <v>0</v>
      </c>
      <c r="I4123">
        <v>7.13</v>
      </c>
      <c r="J4123">
        <v>-2.13</v>
      </c>
      <c r="L4123">
        <v>-0.24</v>
      </c>
      <c r="M4123">
        <v>46.29</v>
      </c>
      <c r="N4123">
        <v>0.02</v>
      </c>
      <c r="O4123">
        <v>0.32</v>
      </c>
    </row>
    <row r="4124" spans="1:15">
      <c r="A4124" t="str">
        <f>"603316"</f>
        <v>603316</v>
      </c>
      <c r="B4124" t="s">
        <v>4168</v>
      </c>
      <c r="C4124">
        <v>2.07</v>
      </c>
      <c r="D4124">
        <v>21.16</v>
      </c>
      <c r="E4124" t="s">
        <v>16</v>
      </c>
      <c r="F4124" t="s">
        <v>16</v>
      </c>
      <c r="H4124">
        <v>-0.18</v>
      </c>
      <c r="I4124">
        <v>3.98</v>
      </c>
      <c r="J4124">
        <v>-3.82</v>
      </c>
      <c r="L4124">
        <v>4.53</v>
      </c>
      <c r="M4124">
        <v>2460.63</v>
      </c>
      <c r="N4124">
        <v>0.7</v>
      </c>
      <c r="O4124">
        <v>11.3</v>
      </c>
    </row>
    <row r="4125" spans="1:15">
      <c r="A4125" t="str">
        <f>"603317"</f>
        <v>603317</v>
      </c>
      <c r="B4125" t="s">
        <v>4169</v>
      </c>
      <c r="C4125">
        <v>-0.22</v>
      </c>
      <c r="D4125">
        <v>13.58</v>
      </c>
      <c r="E4125" t="s">
        <v>16</v>
      </c>
      <c r="F4125" t="s">
        <v>16</v>
      </c>
      <c r="H4125">
        <v>-0.14</v>
      </c>
      <c r="I4125">
        <v>-0.29</v>
      </c>
      <c r="J4125">
        <v>-0.88</v>
      </c>
      <c r="L4125">
        <v>-1.18</v>
      </c>
      <c r="M4125">
        <v>32.68</v>
      </c>
      <c r="N4125">
        <v>0.01</v>
      </c>
      <c r="O4125">
        <v>0.69</v>
      </c>
    </row>
    <row r="4126" spans="1:15">
      <c r="A4126" t="str">
        <f>"603318"</f>
        <v>603318</v>
      </c>
      <c r="B4126" t="s">
        <v>4170</v>
      </c>
      <c r="C4126">
        <v>2.22</v>
      </c>
      <c r="D4126">
        <v>10.12</v>
      </c>
      <c r="E4126" t="s">
        <v>16</v>
      </c>
      <c r="F4126" t="s">
        <v>16</v>
      </c>
      <c r="H4126">
        <v>0.3</v>
      </c>
      <c r="I4126">
        <v>9.17</v>
      </c>
      <c r="J4126">
        <v>-1.27</v>
      </c>
      <c r="K4126" t="s">
        <v>971</v>
      </c>
      <c r="L4126">
        <v>-1.21</v>
      </c>
      <c r="M4126">
        <v>764.5</v>
      </c>
      <c r="N4126">
        <v>0.3</v>
      </c>
      <c r="O4126">
        <v>0.47</v>
      </c>
    </row>
    <row r="4127" spans="1:15">
      <c r="A4127" t="str">
        <f>"603319"</f>
        <v>603319</v>
      </c>
      <c r="B4127" t="s">
        <v>4171</v>
      </c>
      <c r="C4127">
        <v>-2.55</v>
      </c>
      <c r="D4127">
        <v>34.82</v>
      </c>
      <c r="E4127" t="s">
        <v>16</v>
      </c>
      <c r="F4127" t="s">
        <v>16</v>
      </c>
      <c r="H4127">
        <v>-0.22</v>
      </c>
      <c r="I4127">
        <v>-20.65</v>
      </c>
      <c r="J4127">
        <v>-3.25</v>
      </c>
      <c r="L4127">
        <v>0.03</v>
      </c>
      <c r="M4127">
        <v>146.18</v>
      </c>
      <c r="N4127">
        <v>0.02</v>
      </c>
      <c r="O4127">
        <v>1.39</v>
      </c>
    </row>
    <row r="4128" spans="1:15">
      <c r="A4128" t="str">
        <f>"603320"</f>
        <v>603320</v>
      </c>
      <c r="B4128" t="s">
        <v>4172</v>
      </c>
      <c r="C4128">
        <v>-2.39</v>
      </c>
      <c r="D4128">
        <v>20</v>
      </c>
      <c r="E4128" t="s">
        <v>16</v>
      </c>
      <c r="F4128" t="s">
        <v>16</v>
      </c>
      <c r="H4128">
        <v>-0.09</v>
      </c>
      <c r="I4128">
        <v>-5.39</v>
      </c>
      <c r="J4128">
        <v>-2.34</v>
      </c>
      <c r="L4128">
        <v>-0.05</v>
      </c>
      <c r="M4128">
        <v>14.54</v>
      </c>
      <c r="N4128">
        <v>0.01</v>
      </c>
      <c r="O4128">
        <v>0.85</v>
      </c>
    </row>
    <row r="4129" spans="1:15">
      <c r="A4129" t="str">
        <f>"603321"</f>
        <v>603321</v>
      </c>
      <c r="B4129" t="s">
        <v>4173</v>
      </c>
      <c r="C4129">
        <v>0.49</v>
      </c>
      <c r="D4129">
        <v>6.16</v>
      </c>
      <c r="E4129" t="s">
        <v>16</v>
      </c>
      <c r="F4129" t="s">
        <v>16</v>
      </c>
      <c r="H4129">
        <v>0</v>
      </c>
      <c r="I4129">
        <v>-3.45</v>
      </c>
      <c r="J4129">
        <v>-0.96</v>
      </c>
      <c r="L4129">
        <v>0.33</v>
      </c>
      <c r="M4129">
        <v>41.02</v>
      </c>
      <c r="N4129">
        <v>0.04</v>
      </c>
      <c r="O4129">
        <v>4.25</v>
      </c>
    </row>
    <row r="4130" spans="1:15">
      <c r="A4130" t="str">
        <f>"603322"</f>
        <v>603322</v>
      </c>
      <c r="B4130" t="s">
        <v>4174</v>
      </c>
      <c r="C4130">
        <v>3.16</v>
      </c>
      <c r="D4130">
        <v>29.7</v>
      </c>
      <c r="E4130" t="s">
        <v>16</v>
      </c>
      <c r="F4130" t="s">
        <v>16</v>
      </c>
      <c r="H4130">
        <v>0.1</v>
      </c>
      <c r="I4130">
        <v>-3.63</v>
      </c>
      <c r="J4130">
        <v>-0.5</v>
      </c>
      <c r="L4130">
        <v>-0.97</v>
      </c>
      <c r="M4130">
        <v>48.75</v>
      </c>
      <c r="N4130">
        <v>0.01</v>
      </c>
      <c r="O4130">
        <v>2.14</v>
      </c>
    </row>
    <row r="4131" spans="1:15">
      <c r="A4131" t="str">
        <f>"603323"</f>
        <v>603323</v>
      </c>
      <c r="B4131" t="s">
        <v>4175</v>
      </c>
      <c r="C4131">
        <v>-2.59</v>
      </c>
      <c r="D4131">
        <v>4.14</v>
      </c>
      <c r="E4131" t="s">
        <v>16</v>
      </c>
      <c r="F4131" t="s">
        <v>16</v>
      </c>
      <c r="H4131">
        <v>0</v>
      </c>
      <c r="I4131">
        <v>-0.48</v>
      </c>
      <c r="J4131">
        <v>-3.27</v>
      </c>
      <c r="L4131">
        <v>0.24</v>
      </c>
      <c r="M4131">
        <v>147.4</v>
      </c>
      <c r="N4131">
        <v>0.02</v>
      </c>
      <c r="O4131">
        <v>1.93</v>
      </c>
    </row>
    <row r="4132" spans="1:15">
      <c r="A4132" t="str">
        <f>"603324"</f>
        <v>603324</v>
      </c>
      <c r="B4132" t="s">
        <v>4176</v>
      </c>
      <c r="C4132">
        <v>10.01</v>
      </c>
      <c r="D4132">
        <v>43.1</v>
      </c>
      <c r="E4132">
        <v>1606.77</v>
      </c>
      <c r="F4132">
        <v>2</v>
      </c>
      <c r="H4132">
        <v>0</v>
      </c>
      <c r="I4132">
        <v>37.3</v>
      </c>
      <c r="J4132">
        <v>0</v>
      </c>
      <c r="K4132" t="s">
        <v>120</v>
      </c>
      <c r="L4132">
        <v>0.05</v>
      </c>
      <c r="M4132">
        <v>661.54</v>
      </c>
      <c r="N4132">
        <v>0.32</v>
      </c>
      <c r="O4132">
        <v>1.72</v>
      </c>
    </row>
    <row r="4133" spans="1:15">
      <c r="A4133" t="str">
        <f>"603325"</f>
        <v>603325</v>
      </c>
      <c r="B4133" t="s">
        <v>4177</v>
      </c>
      <c r="C4133">
        <v>-0.89</v>
      </c>
      <c r="D4133">
        <v>55.5</v>
      </c>
      <c r="E4133" t="s">
        <v>16</v>
      </c>
      <c r="F4133" t="s">
        <v>16</v>
      </c>
      <c r="H4133">
        <v>0.07</v>
      </c>
      <c r="I4133">
        <v>-2.61</v>
      </c>
      <c r="J4133">
        <v>-1.32</v>
      </c>
      <c r="L4133">
        <v>0.43</v>
      </c>
      <c r="M4133">
        <v>12.94</v>
      </c>
      <c r="N4133">
        <v>0.01</v>
      </c>
      <c r="O4133">
        <v>5.75</v>
      </c>
    </row>
    <row r="4134" spans="1:15">
      <c r="A4134" t="str">
        <f>"603326"</f>
        <v>603326</v>
      </c>
      <c r="B4134" t="s">
        <v>4178</v>
      </c>
      <c r="C4134">
        <v>-0.15</v>
      </c>
      <c r="D4134">
        <v>6.6</v>
      </c>
      <c r="E4134" t="s">
        <v>16</v>
      </c>
      <c r="F4134" t="s">
        <v>16</v>
      </c>
      <c r="H4134">
        <v>-0.44</v>
      </c>
      <c r="I4134">
        <v>-7.82</v>
      </c>
      <c r="J4134">
        <v>-1.2</v>
      </c>
      <c r="L4134">
        <v>-0.3</v>
      </c>
      <c r="M4134">
        <v>8.83</v>
      </c>
      <c r="N4134">
        <v>0.01</v>
      </c>
      <c r="O4134">
        <v>0.81</v>
      </c>
    </row>
    <row r="4135" spans="1:15">
      <c r="A4135" t="str">
        <f>"603327"</f>
        <v>603327</v>
      </c>
      <c r="B4135" t="s">
        <v>4179</v>
      </c>
      <c r="C4135">
        <v>-1.39</v>
      </c>
      <c r="D4135">
        <v>10.65</v>
      </c>
      <c r="E4135" t="s">
        <v>16</v>
      </c>
      <c r="F4135" t="s">
        <v>16</v>
      </c>
      <c r="H4135">
        <v>0</v>
      </c>
      <c r="I4135">
        <v>4.82</v>
      </c>
      <c r="J4135">
        <v>-2.29</v>
      </c>
      <c r="K4135" t="s">
        <v>57</v>
      </c>
      <c r="L4135">
        <v>0.65</v>
      </c>
      <c r="M4135">
        <v>156.2</v>
      </c>
      <c r="N4135">
        <v>0.05</v>
      </c>
      <c r="O4135">
        <v>0.3</v>
      </c>
    </row>
    <row r="4136" spans="1:15">
      <c r="A4136" t="str">
        <f>"603328"</f>
        <v>603328</v>
      </c>
      <c r="B4136" t="s">
        <v>4180</v>
      </c>
      <c r="C4136">
        <v>0.13</v>
      </c>
      <c r="D4136">
        <v>15.14</v>
      </c>
      <c r="E4136" t="s">
        <v>16</v>
      </c>
      <c r="F4136" t="s">
        <v>16</v>
      </c>
      <c r="H4136">
        <v>0</v>
      </c>
      <c r="I4136">
        <v>15.84</v>
      </c>
      <c r="J4136">
        <v>-1.05</v>
      </c>
      <c r="L4136">
        <v>-1.72</v>
      </c>
      <c r="M4136">
        <v>1040.79</v>
      </c>
      <c r="N4136">
        <v>0.17</v>
      </c>
      <c r="O4136">
        <v>1.79</v>
      </c>
    </row>
    <row r="4137" spans="1:15">
      <c r="A4137" t="str">
        <f>"603329"</f>
        <v>603329</v>
      </c>
      <c r="B4137" t="s">
        <v>4181</v>
      </c>
      <c r="C4137">
        <v>-0.42</v>
      </c>
      <c r="D4137">
        <v>9.57</v>
      </c>
      <c r="E4137" t="s">
        <v>16</v>
      </c>
      <c r="F4137" t="s">
        <v>16</v>
      </c>
      <c r="H4137">
        <v>0.42</v>
      </c>
      <c r="I4137">
        <v>-3.92</v>
      </c>
      <c r="J4137">
        <v>-1.24</v>
      </c>
      <c r="L4137">
        <v>0.1</v>
      </c>
      <c r="M4137">
        <v>17.41</v>
      </c>
      <c r="N4137">
        <v>0.02</v>
      </c>
      <c r="O4137">
        <v>2.41</v>
      </c>
    </row>
    <row r="4138" spans="1:15">
      <c r="A4138" t="str">
        <f>"603330"</f>
        <v>603330</v>
      </c>
      <c r="B4138" t="s">
        <v>4182</v>
      </c>
      <c r="C4138">
        <v>-3.6</v>
      </c>
      <c r="D4138">
        <v>7.76</v>
      </c>
      <c r="E4138" t="s">
        <v>16</v>
      </c>
      <c r="F4138" t="s">
        <v>16</v>
      </c>
      <c r="H4138">
        <v>-0.12</v>
      </c>
      <c r="I4138">
        <v>-17.53</v>
      </c>
      <c r="J4138">
        <v>-2.88</v>
      </c>
      <c r="L4138">
        <v>-0.75</v>
      </c>
      <c r="M4138">
        <v>293.23</v>
      </c>
      <c r="N4138">
        <v>0.14</v>
      </c>
      <c r="O4138">
        <v>1.54</v>
      </c>
    </row>
    <row r="4139" spans="1:15">
      <c r="A4139" t="str">
        <f>"603331"</f>
        <v>603331</v>
      </c>
      <c r="B4139" t="s">
        <v>4183</v>
      </c>
      <c r="C4139">
        <v>-0.52</v>
      </c>
      <c r="D4139">
        <v>11.52</v>
      </c>
      <c r="E4139" t="s">
        <v>16</v>
      </c>
      <c r="F4139" t="s">
        <v>16</v>
      </c>
      <c r="H4139">
        <v>0.09</v>
      </c>
      <c r="I4139">
        <v>-7.32</v>
      </c>
      <c r="J4139">
        <v>-1.29</v>
      </c>
      <c r="L4139">
        <v>-0.17</v>
      </c>
      <c r="M4139">
        <v>4.51</v>
      </c>
      <c r="N4139">
        <v>0</v>
      </c>
      <c r="O4139">
        <v>0.13</v>
      </c>
    </row>
    <row r="4140" spans="1:15">
      <c r="A4140" t="str">
        <f>"603332"</f>
        <v>603332</v>
      </c>
      <c r="B4140" t="s">
        <v>4184</v>
      </c>
      <c r="C4140">
        <v>0.63</v>
      </c>
      <c r="D4140">
        <v>11.19</v>
      </c>
      <c r="E4140" t="s">
        <v>16</v>
      </c>
      <c r="F4140" t="s">
        <v>16</v>
      </c>
      <c r="H4140">
        <v>-0.17</v>
      </c>
      <c r="I4140">
        <v>-5.17</v>
      </c>
      <c r="J4140">
        <v>-1.93</v>
      </c>
      <c r="L4140">
        <v>-0.18</v>
      </c>
      <c r="M4140">
        <v>10.43</v>
      </c>
      <c r="N4140">
        <v>0.01</v>
      </c>
      <c r="O4140" t="s">
        <v>16</v>
      </c>
    </row>
    <row r="4141" spans="1:15">
      <c r="A4141" t="str">
        <f>"603333"</f>
        <v>603333</v>
      </c>
      <c r="B4141" t="s">
        <v>4185</v>
      </c>
      <c r="C4141">
        <v>-1.23</v>
      </c>
      <c r="D4141">
        <v>8</v>
      </c>
      <c r="E4141" t="s">
        <v>16</v>
      </c>
      <c r="F4141" t="s">
        <v>16</v>
      </c>
      <c r="H4141">
        <v>-0.11</v>
      </c>
      <c r="I4141">
        <v>-7.08</v>
      </c>
      <c r="J4141">
        <v>-4.99</v>
      </c>
      <c r="L4141">
        <v>0</v>
      </c>
      <c r="M4141">
        <v>72.98</v>
      </c>
      <c r="N4141">
        <v>0.03</v>
      </c>
      <c r="O4141">
        <v>1.95</v>
      </c>
    </row>
    <row r="4142" spans="1:15">
      <c r="A4142" t="str">
        <f>"603334"</f>
        <v>603334</v>
      </c>
      <c r="B4142" t="s">
        <v>4186</v>
      </c>
      <c r="C4142">
        <v>0.53</v>
      </c>
      <c r="D4142">
        <v>40.2</v>
      </c>
      <c r="E4142" t="s">
        <v>16</v>
      </c>
      <c r="F4142" t="s">
        <v>16</v>
      </c>
      <c r="H4142">
        <v>-0.16</v>
      </c>
      <c r="I4142">
        <v>-5.21</v>
      </c>
      <c r="J4142">
        <v>-0.47</v>
      </c>
      <c r="L4142">
        <v>-0.5</v>
      </c>
      <c r="M4142">
        <v>7.56</v>
      </c>
      <c r="N4142">
        <v>0.01</v>
      </c>
      <c r="O4142">
        <v>2.37</v>
      </c>
    </row>
    <row r="4143" spans="1:15">
      <c r="A4143" t="str">
        <f>"603335"</f>
        <v>603335</v>
      </c>
      <c r="B4143" t="s">
        <v>4187</v>
      </c>
      <c r="C4143">
        <v>-3.18</v>
      </c>
      <c r="D4143">
        <v>8.22</v>
      </c>
      <c r="E4143" t="s">
        <v>16</v>
      </c>
      <c r="F4143" t="s">
        <v>16</v>
      </c>
      <c r="H4143">
        <v>-1.66</v>
      </c>
      <c r="I4143">
        <v>18.79</v>
      </c>
      <c r="J4143">
        <v>-10.07</v>
      </c>
      <c r="K4143" t="s">
        <v>38</v>
      </c>
      <c r="L4143">
        <v>-0.71</v>
      </c>
      <c r="M4143">
        <v>580.15</v>
      </c>
      <c r="N4143">
        <v>0.3</v>
      </c>
      <c r="O4143">
        <v>0.15</v>
      </c>
    </row>
    <row r="4144" spans="1:15">
      <c r="A4144" t="str">
        <f>"603336"</f>
        <v>603336</v>
      </c>
      <c r="B4144" t="s">
        <v>4188</v>
      </c>
      <c r="C4144">
        <v>0</v>
      </c>
      <c r="D4144">
        <v>8.09</v>
      </c>
      <c r="E4144" t="s">
        <v>16</v>
      </c>
      <c r="F4144" t="s">
        <v>16</v>
      </c>
      <c r="H4144">
        <v>0.12</v>
      </c>
      <c r="I4144">
        <v>-11.97</v>
      </c>
      <c r="J4144">
        <v>-0.98</v>
      </c>
      <c r="L4144">
        <v>0.99</v>
      </c>
      <c r="M4144">
        <v>98.78</v>
      </c>
      <c r="N4144">
        <v>0.04</v>
      </c>
      <c r="O4144">
        <v>3.05</v>
      </c>
    </row>
    <row r="4145" spans="1:15">
      <c r="A4145" t="str">
        <f>"603337"</f>
        <v>603337</v>
      </c>
      <c r="B4145" t="s">
        <v>4189</v>
      </c>
      <c r="C4145">
        <v>3.34</v>
      </c>
      <c r="D4145">
        <v>42.68</v>
      </c>
      <c r="E4145" t="s">
        <v>16</v>
      </c>
      <c r="F4145" t="s">
        <v>16</v>
      </c>
      <c r="H4145">
        <v>-0.41</v>
      </c>
      <c r="I4145">
        <v>9.75</v>
      </c>
      <c r="J4145">
        <v>-1.84</v>
      </c>
      <c r="L4145">
        <v>1.21</v>
      </c>
      <c r="M4145">
        <v>221.96</v>
      </c>
      <c r="N4145">
        <v>0.03</v>
      </c>
      <c r="O4145">
        <v>2.77</v>
      </c>
    </row>
    <row r="4146" spans="1:15">
      <c r="A4146" t="str">
        <f>"603338"</f>
        <v>603338</v>
      </c>
      <c r="B4146" t="s">
        <v>4190</v>
      </c>
      <c r="C4146">
        <v>-2.65</v>
      </c>
      <c r="D4146">
        <v>46.68</v>
      </c>
      <c r="E4146" t="s">
        <v>16</v>
      </c>
      <c r="F4146" t="s">
        <v>16</v>
      </c>
      <c r="H4146">
        <v>-0.46</v>
      </c>
      <c r="I4146">
        <v>-9.85</v>
      </c>
      <c r="J4146">
        <v>-3.23</v>
      </c>
      <c r="L4146">
        <v>-0.1</v>
      </c>
      <c r="M4146">
        <v>67.54</v>
      </c>
      <c r="N4146">
        <v>0.01</v>
      </c>
      <c r="O4146">
        <v>1.83</v>
      </c>
    </row>
    <row r="4147" spans="1:15">
      <c r="A4147" t="str">
        <f>"603339"</f>
        <v>603339</v>
      </c>
      <c r="B4147" t="s">
        <v>4191</v>
      </c>
      <c r="C4147">
        <v>5.54</v>
      </c>
      <c r="D4147">
        <v>13.52</v>
      </c>
      <c r="E4147" t="s">
        <v>16</v>
      </c>
      <c r="F4147" t="s">
        <v>16</v>
      </c>
      <c r="H4147">
        <v>0.3</v>
      </c>
      <c r="I4147">
        <v>-0.66</v>
      </c>
      <c r="J4147">
        <v>-0.81</v>
      </c>
      <c r="L4147">
        <v>0</v>
      </c>
      <c r="M4147">
        <v>9.74</v>
      </c>
      <c r="N4147">
        <v>0</v>
      </c>
      <c r="O4147">
        <v>0.54</v>
      </c>
    </row>
    <row r="4148" spans="1:15">
      <c r="A4148" t="str">
        <f>"603341"</f>
        <v>603341</v>
      </c>
      <c r="B4148" t="s">
        <v>4192</v>
      </c>
      <c r="C4148">
        <v>-0.03</v>
      </c>
      <c r="D4148">
        <v>37.88</v>
      </c>
      <c r="E4148" t="s">
        <v>16</v>
      </c>
      <c r="F4148" t="s">
        <v>16</v>
      </c>
      <c r="H4148">
        <v>0</v>
      </c>
      <c r="I4148">
        <v>-1.56</v>
      </c>
      <c r="J4148">
        <v>-1.12</v>
      </c>
      <c r="L4148">
        <v>0.34</v>
      </c>
      <c r="M4148">
        <v>82.5</v>
      </c>
      <c r="N4148">
        <v>0.01</v>
      </c>
      <c r="O4148">
        <v>0.72</v>
      </c>
    </row>
    <row r="4149" spans="1:15">
      <c r="A4149" t="str">
        <f>"603344"</f>
        <v>603344</v>
      </c>
      <c r="B4149" t="s">
        <v>4193</v>
      </c>
      <c r="C4149">
        <v>0.04</v>
      </c>
      <c r="D4149">
        <v>27.44</v>
      </c>
      <c r="E4149" t="s">
        <v>16</v>
      </c>
      <c r="F4149" t="s">
        <v>16</v>
      </c>
      <c r="H4149">
        <v>-0.17</v>
      </c>
      <c r="I4149">
        <v>-10.39</v>
      </c>
      <c r="J4149">
        <v>-1.29</v>
      </c>
      <c r="L4149">
        <v>-0.15</v>
      </c>
      <c r="M4149">
        <v>36.98</v>
      </c>
      <c r="N4149">
        <v>0.02</v>
      </c>
      <c r="O4149">
        <v>1.55</v>
      </c>
    </row>
    <row r="4150" spans="1:15">
      <c r="A4150" t="str">
        <f>"603345"</f>
        <v>603345</v>
      </c>
      <c r="B4150" t="s">
        <v>4194</v>
      </c>
      <c r="C4150">
        <v>-1.19</v>
      </c>
      <c r="D4150">
        <v>83.93</v>
      </c>
      <c r="E4150" t="s">
        <v>16</v>
      </c>
      <c r="F4150" t="s">
        <v>16</v>
      </c>
      <c r="H4150">
        <v>-0.07</v>
      </c>
      <c r="I4150">
        <v>-3.4</v>
      </c>
      <c r="J4150">
        <v>-1.84</v>
      </c>
      <c r="L4150">
        <v>-0.25</v>
      </c>
      <c r="M4150">
        <v>125.4</v>
      </c>
      <c r="N4150">
        <v>0.01</v>
      </c>
      <c r="O4150">
        <v>1.17</v>
      </c>
    </row>
    <row r="4151" spans="1:15">
      <c r="A4151" t="str">
        <f>"603348"</f>
        <v>603348</v>
      </c>
      <c r="B4151" t="s">
        <v>4195</v>
      </c>
      <c r="C4151">
        <v>-1.29</v>
      </c>
      <c r="D4151">
        <v>14.5</v>
      </c>
      <c r="E4151" t="s">
        <v>16</v>
      </c>
      <c r="F4151" t="s">
        <v>16</v>
      </c>
      <c r="H4151">
        <v>-0.33</v>
      </c>
      <c r="I4151">
        <v>-7.64</v>
      </c>
      <c r="J4151">
        <v>-2.62</v>
      </c>
      <c r="L4151">
        <v>-0.07</v>
      </c>
      <c r="M4151">
        <v>11.16</v>
      </c>
      <c r="N4151">
        <v>0</v>
      </c>
      <c r="O4151">
        <v>2.82</v>
      </c>
    </row>
    <row r="4152" spans="1:15">
      <c r="A4152" t="str">
        <f>"603350"</f>
        <v>603350</v>
      </c>
      <c r="B4152" t="s">
        <v>4196</v>
      </c>
      <c r="C4152">
        <v>2.41</v>
      </c>
      <c r="D4152">
        <v>31.05</v>
      </c>
      <c r="E4152" t="s">
        <v>16</v>
      </c>
      <c r="F4152" t="s">
        <v>16</v>
      </c>
      <c r="H4152">
        <v>0.03</v>
      </c>
      <c r="I4152">
        <v>4.26</v>
      </c>
      <c r="J4152">
        <v>-1.99</v>
      </c>
      <c r="L4152">
        <v>-0.03</v>
      </c>
      <c r="M4152">
        <v>0</v>
      </c>
      <c r="N4152">
        <v>0</v>
      </c>
      <c r="O4152">
        <v>0</v>
      </c>
    </row>
    <row r="4153" spans="1:15">
      <c r="A4153" t="str">
        <f>"603351"</f>
        <v>603351</v>
      </c>
      <c r="B4153" t="s">
        <v>4197</v>
      </c>
      <c r="C4153">
        <v>1.02</v>
      </c>
      <c r="D4153">
        <v>24.7</v>
      </c>
      <c r="E4153" t="s">
        <v>16</v>
      </c>
      <c r="F4153" t="s">
        <v>16</v>
      </c>
      <c r="H4153">
        <v>0.24</v>
      </c>
      <c r="I4153">
        <v>-2.56</v>
      </c>
      <c r="J4153">
        <v>-0.8</v>
      </c>
      <c r="L4153">
        <v>0</v>
      </c>
      <c r="M4153">
        <v>2.69</v>
      </c>
      <c r="N4153">
        <v>0</v>
      </c>
      <c r="O4153">
        <v>0.42</v>
      </c>
    </row>
    <row r="4154" spans="1:15">
      <c r="A4154" t="str">
        <f>"603352"</f>
        <v>603352</v>
      </c>
      <c r="B4154" t="s">
        <v>4198</v>
      </c>
      <c r="C4154">
        <v>-0.04</v>
      </c>
      <c r="D4154">
        <v>28.06</v>
      </c>
      <c r="E4154" t="s">
        <v>16</v>
      </c>
      <c r="F4154" t="s">
        <v>16</v>
      </c>
      <c r="H4154">
        <v>-0.06</v>
      </c>
      <c r="I4154">
        <v>-11.54</v>
      </c>
      <c r="J4154">
        <v>-0.92</v>
      </c>
      <c r="L4154">
        <v>0.46</v>
      </c>
      <c r="M4154">
        <v>4.23</v>
      </c>
      <c r="N4154">
        <v>0</v>
      </c>
      <c r="O4154">
        <v>0.31</v>
      </c>
    </row>
    <row r="4155" spans="1:15">
      <c r="A4155" t="str">
        <f>"603353"</f>
        <v>603353</v>
      </c>
      <c r="B4155" t="s">
        <v>4199</v>
      </c>
      <c r="C4155">
        <v>-0.85</v>
      </c>
      <c r="D4155">
        <v>40.75</v>
      </c>
      <c r="E4155" t="s">
        <v>16</v>
      </c>
      <c r="F4155" t="s">
        <v>16</v>
      </c>
      <c r="H4155">
        <v>0.05</v>
      </c>
      <c r="I4155">
        <v>-8.82</v>
      </c>
      <c r="J4155">
        <v>-2.25</v>
      </c>
      <c r="L4155">
        <v>-0.73</v>
      </c>
      <c r="M4155">
        <v>53.04</v>
      </c>
      <c r="N4155">
        <v>0.02</v>
      </c>
      <c r="O4155">
        <v>1.35</v>
      </c>
    </row>
    <row r="4156" spans="1:15">
      <c r="A4156" t="str">
        <f>"603355"</f>
        <v>603355</v>
      </c>
      <c r="B4156" t="s">
        <v>4200</v>
      </c>
      <c r="C4156">
        <v>5.52</v>
      </c>
      <c r="D4156">
        <v>30.4</v>
      </c>
      <c r="E4156" t="s">
        <v>16</v>
      </c>
      <c r="F4156" t="s">
        <v>16</v>
      </c>
      <c r="H4156">
        <v>-1.06</v>
      </c>
      <c r="I4156">
        <v>20.02</v>
      </c>
      <c r="J4156">
        <v>-1.3</v>
      </c>
      <c r="L4156">
        <v>2.99</v>
      </c>
      <c r="M4156">
        <v>39.76</v>
      </c>
      <c r="N4156">
        <v>0.01</v>
      </c>
      <c r="O4156">
        <v>0.84</v>
      </c>
    </row>
    <row r="4157" spans="1:15">
      <c r="A4157" t="str">
        <f>"603356"</f>
        <v>603356</v>
      </c>
      <c r="B4157" t="s">
        <v>4201</v>
      </c>
      <c r="C4157">
        <v>-1.46</v>
      </c>
      <c r="D4157">
        <v>18.25</v>
      </c>
      <c r="E4157" t="s">
        <v>16</v>
      </c>
      <c r="F4157" t="s">
        <v>16</v>
      </c>
      <c r="H4157">
        <v>-0.15</v>
      </c>
      <c r="I4157">
        <v>1.5</v>
      </c>
      <c r="J4157">
        <v>-1.46</v>
      </c>
      <c r="L4157">
        <v>-1.13</v>
      </c>
      <c r="M4157">
        <v>11.35</v>
      </c>
      <c r="N4157">
        <v>0.01</v>
      </c>
      <c r="O4157">
        <v>0.29</v>
      </c>
    </row>
    <row r="4158" spans="1:15">
      <c r="A4158" t="str">
        <f>"603357"</f>
        <v>603357</v>
      </c>
      <c r="B4158" t="s">
        <v>4202</v>
      </c>
      <c r="C4158">
        <v>-1.83</v>
      </c>
      <c r="D4158">
        <v>6.43</v>
      </c>
      <c r="E4158" t="s">
        <v>16</v>
      </c>
      <c r="F4158" t="s">
        <v>16</v>
      </c>
      <c r="H4158">
        <v>0</v>
      </c>
      <c r="I4158">
        <v>-6.27</v>
      </c>
      <c r="J4158">
        <v>-1.83</v>
      </c>
      <c r="L4158">
        <v>-0.31</v>
      </c>
      <c r="M4158">
        <v>0.26</v>
      </c>
      <c r="N4158">
        <v>0</v>
      </c>
      <c r="O4158">
        <v>0.08</v>
      </c>
    </row>
    <row r="4159" spans="1:15">
      <c r="A4159" t="str">
        <f>"603358"</f>
        <v>603358</v>
      </c>
      <c r="B4159" t="s">
        <v>4203</v>
      </c>
      <c r="C4159">
        <v>9.99</v>
      </c>
      <c r="D4159">
        <v>39.4</v>
      </c>
      <c r="E4159">
        <v>1286.41</v>
      </c>
      <c r="F4159">
        <v>1</v>
      </c>
      <c r="H4159">
        <v>0</v>
      </c>
      <c r="I4159">
        <v>3.44</v>
      </c>
      <c r="J4159">
        <v>0</v>
      </c>
      <c r="K4159" t="s">
        <v>140</v>
      </c>
      <c r="L4159">
        <v>0.92</v>
      </c>
      <c r="M4159">
        <v>104.84</v>
      </c>
      <c r="N4159">
        <v>0.02</v>
      </c>
      <c r="O4159">
        <v>1.19</v>
      </c>
    </row>
    <row r="4160" spans="1:15">
      <c r="A4160" t="str">
        <f>"603359"</f>
        <v>603359</v>
      </c>
      <c r="B4160" t="s">
        <v>4204</v>
      </c>
      <c r="C4160">
        <v>-4.2</v>
      </c>
      <c r="D4160">
        <v>2.51</v>
      </c>
      <c r="E4160" t="s">
        <v>16</v>
      </c>
      <c r="F4160" t="s">
        <v>16</v>
      </c>
      <c r="H4160">
        <v>-0.39</v>
      </c>
      <c r="I4160">
        <v>-10.36</v>
      </c>
      <c r="J4160">
        <v>-4.56</v>
      </c>
      <c r="L4160">
        <v>0</v>
      </c>
      <c r="M4160">
        <v>6.63</v>
      </c>
      <c r="N4160">
        <v>0.01</v>
      </c>
      <c r="O4160">
        <v>0.29</v>
      </c>
    </row>
    <row r="4161" spans="1:15">
      <c r="A4161" t="str">
        <f>"603360"</f>
        <v>603360</v>
      </c>
      <c r="B4161" t="s">
        <v>4205</v>
      </c>
      <c r="C4161">
        <v>-0.58</v>
      </c>
      <c r="D4161">
        <v>18.77</v>
      </c>
      <c r="E4161" t="s">
        <v>16</v>
      </c>
      <c r="F4161" t="s">
        <v>16</v>
      </c>
      <c r="H4161">
        <v>0.32</v>
      </c>
      <c r="I4161">
        <v>2.12</v>
      </c>
      <c r="J4161">
        <v>-1.21</v>
      </c>
      <c r="L4161">
        <v>-0.69</v>
      </c>
      <c r="M4161">
        <v>68.06</v>
      </c>
      <c r="N4161">
        <v>0.01</v>
      </c>
      <c r="O4161">
        <v>1.44</v>
      </c>
    </row>
    <row r="4162" spans="1:15">
      <c r="A4162" t="str">
        <f>"603363"</f>
        <v>603363</v>
      </c>
      <c r="B4162" t="s">
        <v>4206</v>
      </c>
      <c r="C4162">
        <v>-1.74</v>
      </c>
      <c r="D4162">
        <v>2.83</v>
      </c>
      <c r="E4162" t="s">
        <v>16</v>
      </c>
      <c r="F4162" t="s">
        <v>16</v>
      </c>
      <c r="H4162">
        <v>-0.34</v>
      </c>
      <c r="I4162">
        <v>-6.6</v>
      </c>
      <c r="J4162">
        <v>-5.35</v>
      </c>
      <c r="L4162">
        <v>-0.35</v>
      </c>
      <c r="M4162">
        <v>14.61</v>
      </c>
      <c r="N4162">
        <v>0</v>
      </c>
      <c r="O4162">
        <v>1.12</v>
      </c>
    </row>
    <row r="4163" spans="1:15">
      <c r="A4163" t="str">
        <f>"603365"</f>
        <v>603365</v>
      </c>
      <c r="B4163" t="s">
        <v>4207</v>
      </c>
      <c r="C4163">
        <v>0.36</v>
      </c>
      <c r="D4163">
        <v>16.75</v>
      </c>
      <c r="E4163" t="s">
        <v>16</v>
      </c>
      <c r="F4163" t="s">
        <v>16</v>
      </c>
      <c r="H4163">
        <v>0.84</v>
      </c>
      <c r="I4163">
        <v>-2.95</v>
      </c>
      <c r="J4163">
        <v>0</v>
      </c>
      <c r="L4163">
        <v>-0.12</v>
      </c>
      <c r="M4163">
        <v>30.17</v>
      </c>
      <c r="N4163">
        <v>0.02</v>
      </c>
      <c r="O4163">
        <v>2.01</v>
      </c>
    </row>
    <row r="4164" spans="1:15">
      <c r="A4164" t="str">
        <f>"603366"</f>
        <v>603366</v>
      </c>
      <c r="B4164" t="s">
        <v>4208</v>
      </c>
      <c r="C4164">
        <v>-3.33</v>
      </c>
      <c r="D4164">
        <v>6.67</v>
      </c>
      <c r="E4164" t="s">
        <v>16</v>
      </c>
      <c r="F4164" t="s">
        <v>16</v>
      </c>
      <c r="H4164">
        <v>-0.29</v>
      </c>
      <c r="I4164">
        <v>-6.45</v>
      </c>
      <c r="J4164">
        <v>-3.05</v>
      </c>
      <c r="L4164">
        <v>-1.01</v>
      </c>
      <c r="M4164">
        <v>86.81</v>
      </c>
      <c r="N4164">
        <v>0.04</v>
      </c>
      <c r="O4164">
        <v>7.7</v>
      </c>
    </row>
    <row r="4165" spans="1:15">
      <c r="A4165" t="str">
        <f>"603367"</f>
        <v>603367</v>
      </c>
      <c r="B4165" t="s">
        <v>4209</v>
      </c>
      <c r="C4165">
        <v>0.54</v>
      </c>
      <c r="D4165">
        <v>13.06</v>
      </c>
      <c r="E4165" t="s">
        <v>16</v>
      </c>
      <c r="F4165" t="s">
        <v>16</v>
      </c>
      <c r="H4165">
        <v>-0.07</v>
      </c>
      <c r="I4165">
        <v>-1.88</v>
      </c>
      <c r="J4165">
        <v>-1.66</v>
      </c>
      <c r="L4165">
        <v>0</v>
      </c>
      <c r="M4165">
        <v>2.47</v>
      </c>
      <c r="N4165">
        <v>0</v>
      </c>
      <c r="O4165">
        <v>0.13</v>
      </c>
    </row>
    <row r="4166" spans="1:15">
      <c r="A4166" t="str">
        <f>"603368"</f>
        <v>603368</v>
      </c>
      <c r="B4166" t="s">
        <v>4210</v>
      </c>
      <c r="C4166">
        <v>-0.77</v>
      </c>
      <c r="D4166">
        <v>15.44</v>
      </c>
      <c r="E4166" t="s">
        <v>16</v>
      </c>
      <c r="F4166" t="s">
        <v>16</v>
      </c>
      <c r="H4166">
        <v>-0.05</v>
      </c>
      <c r="I4166">
        <v>1.78</v>
      </c>
      <c r="J4166">
        <v>-1.47</v>
      </c>
      <c r="L4166">
        <v>-0.13</v>
      </c>
      <c r="M4166">
        <v>11.19</v>
      </c>
      <c r="N4166">
        <v>0</v>
      </c>
      <c r="O4166">
        <v>1.89</v>
      </c>
    </row>
    <row r="4167" spans="1:15">
      <c r="A4167" t="str">
        <f>"603369"</f>
        <v>603369</v>
      </c>
      <c r="B4167" t="s">
        <v>4211</v>
      </c>
      <c r="C4167">
        <v>-3.54</v>
      </c>
      <c r="D4167">
        <v>24.24</v>
      </c>
      <c r="E4167" t="s">
        <v>16</v>
      </c>
      <c r="F4167" t="s">
        <v>16</v>
      </c>
      <c r="H4167">
        <v>0.12</v>
      </c>
      <c r="I4167">
        <v>-9.42</v>
      </c>
      <c r="J4167">
        <v>-3.12</v>
      </c>
      <c r="L4167">
        <v>-0.48</v>
      </c>
      <c r="M4167">
        <v>147.35</v>
      </c>
      <c r="N4167">
        <v>0.01</v>
      </c>
      <c r="O4167">
        <v>2.22</v>
      </c>
    </row>
    <row r="4168" spans="1:15">
      <c r="A4168" t="str">
        <f>"603370"</f>
        <v>603370</v>
      </c>
      <c r="B4168" t="s">
        <v>4212</v>
      </c>
      <c r="C4168">
        <v>0.38</v>
      </c>
      <c r="D4168">
        <v>41.84</v>
      </c>
      <c r="E4168" t="s">
        <v>16</v>
      </c>
      <c r="F4168" t="s">
        <v>16</v>
      </c>
      <c r="H4168">
        <v>0.1</v>
      </c>
      <c r="I4168">
        <v>-4.15</v>
      </c>
      <c r="J4168">
        <v>-0.62</v>
      </c>
      <c r="L4168">
        <v>-0.31</v>
      </c>
      <c r="M4168">
        <v>8.31</v>
      </c>
      <c r="N4168">
        <v>0.01</v>
      </c>
      <c r="O4168">
        <v>1.11</v>
      </c>
    </row>
    <row r="4169" spans="1:15">
      <c r="A4169" t="str">
        <f>"603373"</f>
        <v>603373</v>
      </c>
      <c r="B4169" t="s">
        <v>4213</v>
      </c>
      <c r="C4169">
        <v>-3.2</v>
      </c>
      <c r="D4169">
        <v>38.67</v>
      </c>
      <c r="E4169" t="s">
        <v>16</v>
      </c>
      <c r="F4169" t="s">
        <v>16</v>
      </c>
      <c r="H4169">
        <v>-0.04</v>
      </c>
      <c r="I4169">
        <v>9.7</v>
      </c>
      <c r="J4169">
        <v>-3.2</v>
      </c>
      <c r="K4169" t="s">
        <v>57</v>
      </c>
      <c r="L4169">
        <v>-0.18</v>
      </c>
      <c r="M4169">
        <v>168.29</v>
      </c>
      <c r="N4169">
        <v>0.1</v>
      </c>
      <c r="O4169">
        <v>0.67</v>
      </c>
    </row>
    <row r="4170" spans="1:15">
      <c r="A4170" t="str">
        <f>"603375"</f>
        <v>603375</v>
      </c>
      <c r="B4170" t="s">
        <v>4214</v>
      </c>
      <c r="C4170">
        <v>-0.54</v>
      </c>
      <c r="D4170">
        <v>49.49</v>
      </c>
      <c r="E4170" t="s">
        <v>16</v>
      </c>
      <c r="F4170" t="s">
        <v>16</v>
      </c>
      <c r="H4170">
        <v>0.1</v>
      </c>
      <c r="I4170">
        <v>2.76</v>
      </c>
      <c r="J4170">
        <v>-1.51</v>
      </c>
      <c r="L4170">
        <v>0.44</v>
      </c>
      <c r="M4170">
        <v>107.46</v>
      </c>
      <c r="N4170">
        <v>0.06</v>
      </c>
      <c r="O4170">
        <v>1.37</v>
      </c>
    </row>
    <row r="4171" spans="1:15">
      <c r="A4171" t="str">
        <f>"603376"</f>
        <v>603376</v>
      </c>
      <c r="B4171" t="s">
        <v>4215</v>
      </c>
      <c r="C4171">
        <v>-1.26</v>
      </c>
      <c r="D4171">
        <v>26.59</v>
      </c>
      <c r="E4171" t="s">
        <v>16</v>
      </c>
      <c r="F4171" t="s">
        <v>16</v>
      </c>
      <c r="H4171">
        <v>-0.1</v>
      </c>
      <c r="I4171">
        <v>-8.63</v>
      </c>
      <c r="J4171">
        <v>-1.77</v>
      </c>
      <c r="L4171">
        <v>0.41</v>
      </c>
      <c r="M4171">
        <v>0.27</v>
      </c>
      <c r="N4171">
        <v>0</v>
      </c>
      <c r="O4171">
        <v>0.09</v>
      </c>
    </row>
    <row r="4172" spans="1:15">
      <c r="A4172" t="str">
        <f>"603377"</f>
        <v>603377</v>
      </c>
      <c r="B4172" t="s">
        <v>4216</v>
      </c>
      <c r="C4172">
        <v>-2.92</v>
      </c>
      <c r="D4172">
        <v>3.33</v>
      </c>
      <c r="E4172" t="s">
        <v>16</v>
      </c>
      <c r="F4172" t="s">
        <v>16</v>
      </c>
      <c r="H4172">
        <v>-0.29</v>
      </c>
      <c r="I4172">
        <v>-10.24</v>
      </c>
      <c r="J4172">
        <v>-2.92</v>
      </c>
      <c r="L4172">
        <v>-0.58</v>
      </c>
      <c r="M4172">
        <v>13.26</v>
      </c>
      <c r="N4172">
        <v>0.01</v>
      </c>
      <c r="O4172">
        <v>1.28</v>
      </c>
    </row>
    <row r="4173" spans="1:15">
      <c r="A4173" t="str">
        <f>"603378"</f>
        <v>603378</v>
      </c>
      <c r="B4173" t="s">
        <v>4217</v>
      </c>
      <c r="C4173">
        <v>-2.12</v>
      </c>
      <c r="D4173">
        <v>5.08</v>
      </c>
      <c r="E4173" t="s">
        <v>16</v>
      </c>
      <c r="F4173" t="s">
        <v>16</v>
      </c>
      <c r="H4173">
        <v>0.79</v>
      </c>
      <c r="I4173">
        <v>-11.34</v>
      </c>
      <c r="J4173">
        <v>-1.74</v>
      </c>
      <c r="L4173">
        <v>-3.66</v>
      </c>
      <c r="M4173">
        <v>249.95</v>
      </c>
      <c r="N4173">
        <v>0.29</v>
      </c>
      <c r="O4173">
        <v>2.37</v>
      </c>
    </row>
    <row r="4174" spans="1:15">
      <c r="A4174" t="str">
        <f>"603379"</f>
        <v>603379</v>
      </c>
      <c r="B4174" t="s">
        <v>4218</v>
      </c>
      <c r="C4174">
        <v>-5.11</v>
      </c>
      <c r="D4174">
        <v>65.43</v>
      </c>
      <c r="E4174" t="s">
        <v>16</v>
      </c>
      <c r="F4174" t="s">
        <v>16</v>
      </c>
      <c r="H4174">
        <v>0.08</v>
      </c>
      <c r="I4174">
        <v>11.28</v>
      </c>
      <c r="J4174">
        <v>-4.7</v>
      </c>
      <c r="L4174">
        <v>-0.99</v>
      </c>
      <c r="M4174">
        <v>455.36</v>
      </c>
      <c r="N4174">
        <v>0.03</v>
      </c>
      <c r="O4174">
        <v>0.97</v>
      </c>
    </row>
    <row r="4175" spans="1:15">
      <c r="A4175" t="str">
        <f>"603380"</f>
        <v>603380</v>
      </c>
      <c r="B4175" t="s">
        <v>4219</v>
      </c>
      <c r="C4175">
        <v>10</v>
      </c>
      <c r="D4175">
        <v>41.03</v>
      </c>
      <c r="E4175">
        <v>4183.42</v>
      </c>
      <c r="F4175">
        <v>1</v>
      </c>
      <c r="H4175">
        <v>0</v>
      </c>
      <c r="I4175">
        <v>18.76</v>
      </c>
      <c r="J4175">
        <v>0</v>
      </c>
      <c r="K4175" t="s">
        <v>140</v>
      </c>
      <c r="L4175">
        <v>-1.18</v>
      </c>
      <c r="M4175">
        <v>55.29</v>
      </c>
      <c r="N4175">
        <v>0.02</v>
      </c>
      <c r="O4175">
        <v>0.69</v>
      </c>
    </row>
    <row r="4176" spans="1:15">
      <c r="A4176" t="str">
        <f>"603381"</f>
        <v>603381</v>
      </c>
      <c r="B4176" t="s">
        <v>4220</v>
      </c>
      <c r="C4176">
        <v>-0.29</v>
      </c>
      <c r="D4176">
        <v>16.91</v>
      </c>
      <c r="E4176" t="s">
        <v>16</v>
      </c>
      <c r="F4176" t="s">
        <v>16</v>
      </c>
      <c r="H4176">
        <v>0</v>
      </c>
      <c r="I4176">
        <v>-8.4</v>
      </c>
      <c r="J4176">
        <v>-1.17</v>
      </c>
      <c r="L4176">
        <v>-0.35</v>
      </c>
      <c r="M4176">
        <v>1.86</v>
      </c>
      <c r="N4176">
        <v>0</v>
      </c>
      <c r="O4176">
        <v>0.12</v>
      </c>
    </row>
    <row r="4177" spans="1:15">
      <c r="A4177" t="str">
        <f>"603382"</f>
        <v>603382</v>
      </c>
      <c r="B4177" t="s">
        <v>4221</v>
      </c>
      <c r="C4177">
        <v>-1.06</v>
      </c>
      <c r="D4177">
        <v>18.63</v>
      </c>
      <c r="E4177" t="s">
        <v>16</v>
      </c>
      <c r="F4177" t="s">
        <v>16</v>
      </c>
      <c r="H4177">
        <v>-0.04</v>
      </c>
      <c r="I4177">
        <v>-11.5</v>
      </c>
      <c r="J4177">
        <v>-2.26</v>
      </c>
      <c r="L4177">
        <v>-0.96</v>
      </c>
      <c r="M4177">
        <v>39.72</v>
      </c>
      <c r="N4177">
        <v>0.03</v>
      </c>
      <c r="O4177">
        <v>7.1</v>
      </c>
    </row>
    <row r="4178" spans="1:15">
      <c r="A4178" t="str">
        <f>"603383"</f>
        <v>603383</v>
      </c>
      <c r="B4178" t="s">
        <v>4222</v>
      </c>
      <c r="C4178">
        <v>0.18</v>
      </c>
      <c r="D4178">
        <v>28.55</v>
      </c>
      <c r="E4178" t="s">
        <v>16</v>
      </c>
      <c r="F4178" t="s">
        <v>16</v>
      </c>
      <c r="H4178">
        <v>0.07</v>
      </c>
      <c r="I4178">
        <v>-5.31</v>
      </c>
      <c r="J4178">
        <v>-2.49</v>
      </c>
      <c r="L4178">
        <v>-0.63</v>
      </c>
      <c r="M4178">
        <v>20.39</v>
      </c>
      <c r="N4178">
        <v>0.01</v>
      </c>
      <c r="O4178">
        <v>0.68</v>
      </c>
    </row>
    <row r="4179" spans="1:15">
      <c r="A4179" t="str">
        <f>"603385"</f>
        <v>603385</v>
      </c>
      <c r="B4179" t="s">
        <v>4223</v>
      </c>
      <c r="C4179">
        <v>-0.19</v>
      </c>
      <c r="D4179">
        <v>5.16</v>
      </c>
      <c r="E4179" t="s">
        <v>16</v>
      </c>
      <c r="F4179" t="s">
        <v>16</v>
      </c>
      <c r="H4179">
        <v>0</v>
      </c>
      <c r="I4179">
        <v>-6.86</v>
      </c>
      <c r="J4179">
        <v>-1.34</v>
      </c>
      <c r="L4179">
        <v>-0.97</v>
      </c>
      <c r="M4179">
        <v>40.09</v>
      </c>
      <c r="N4179">
        <v>0.05</v>
      </c>
      <c r="O4179">
        <v>4.83</v>
      </c>
    </row>
    <row r="4180" spans="1:15">
      <c r="A4180" t="str">
        <f>"603386"</f>
        <v>603386</v>
      </c>
      <c r="B4180" t="s">
        <v>4224</v>
      </c>
      <c r="C4180">
        <v>-1.32</v>
      </c>
      <c r="D4180">
        <v>17.92</v>
      </c>
      <c r="E4180" t="s">
        <v>16</v>
      </c>
      <c r="F4180" t="s">
        <v>16</v>
      </c>
      <c r="H4180">
        <v>-0.21</v>
      </c>
      <c r="I4180">
        <v>3.94</v>
      </c>
      <c r="J4180">
        <v>-2.08</v>
      </c>
      <c r="L4180">
        <v>-0.06</v>
      </c>
      <c r="M4180">
        <v>216.89</v>
      </c>
      <c r="N4180">
        <v>0.09</v>
      </c>
      <c r="O4180">
        <v>2.1</v>
      </c>
    </row>
    <row r="4181" spans="1:15">
      <c r="A4181" t="str">
        <f>"603387"</f>
        <v>603387</v>
      </c>
      <c r="B4181" t="s">
        <v>4225</v>
      </c>
      <c r="C4181">
        <v>1.63</v>
      </c>
      <c r="D4181">
        <v>8.1</v>
      </c>
      <c r="E4181" t="s">
        <v>16</v>
      </c>
      <c r="F4181" t="s">
        <v>16</v>
      </c>
      <c r="H4181">
        <v>0.12</v>
      </c>
      <c r="I4181">
        <v>-1.94</v>
      </c>
      <c r="J4181">
        <v>-1.7</v>
      </c>
      <c r="L4181">
        <v>0.25</v>
      </c>
      <c r="M4181">
        <v>24.13</v>
      </c>
      <c r="N4181">
        <v>0.01</v>
      </c>
      <c r="O4181">
        <v>1.13</v>
      </c>
    </row>
    <row r="4182" spans="1:15">
      <c r="A4182" t="str">
        <f>"603389"</f>
        <v>603389</v>
      </c>
      <c r="B4182" t="s">
        <v>4226</v>
      </c>
      <c r="C4182">
        <v>5</v>
      </c>
      <c r="D4182">
        <v>61.27</v>
      </c>
      <c r="E4182">
        <v>330.86</v>
      </c>
      <c r="F4182">
        <v>1</v>
      </c>
      <c r="H4182">
        <v>0</v>
      </c>
      <c r="I4182">
        <v>-1.98</v>
      </c>
      <c r="J4182">
        <v>0</v>
      </c>
      <c r="K4182" t="s">
        <v>140</v>
      </c>
      <c r="L4182">
        <v>1.1</v>
      </c>
      <c r="M4182">
        <v>35.39</v>
      </c>
      <c r="N4182">
        <v>0.01</v>
      </c>
      <c r="O4182">
        <v>3.16</v>
      </c>
    </row>
    <row r="4183" spans="1:15">
      <c r="A4183" t="str">
        <f>"603390"</f>
        <v>603390</v>
      </c>
      <c r="B4183" t="s">
        <v>4227</v>
      </c>
      <c r="C4183">
        <v>-2.07</v>
      </c>
      <c r="D4183">
        <v>11.83</v>
      </c>
      <c r="E4183" t="s">
        <v>16</v>
      </c>
      <c r="F4183" t="s">
        <v>16</v>
      </c>
      <c r="H4183">
        <v>-0.24</v>
      </c>
      <c r="I4183">
        <v>-3.11</v>
      </c>
      <c r="J4183">
        <v>-2.07</v>
      </c>
      <c r="L4183">
        <v>0</v>
      </c>
      <c r="M4183">
        <v>13.05</v>
      </c>
      <c r="N4183">
        <v>0.01</v>
      </c>
      <c r="O4183">
        <v>0.21</v>
      </c>
    </row>
    <row r="4184" spans="1:15">
      <c r="A4184" t="str">
        <f>"603391"</f>
        <v>603391</v>
      </c>
      <c r="B4184" t="s">
        <v>4228</v>
      </c>
      <c r="C4184">
        <v>-0.91</v>
      </c>
      <c r="D4184">
        <v>55.61</v>
      </c>
      <c r="E4184" t="s">
        <v>16</v>
      </c>
      <c r="F4184" t="s">
        <v>16</v>
      </c>
      <c r="H4184">
        <v>-0.01</v>
      </c>
      <c r="I4184">
        <v>1.13</v>
      </c>
      <c r="J4184">
        <v>-1.92</v>
      </c>
      <c r="L4184">
        <v>-0.69</v>
      </c>
      <c r="M4184">
        <v>15.05</v>
      </c>
      <c r="N4184">
        <v>0.01</v>
      </c>
      <c r="O4184">
        <v>2.08</v>
      </c>
    </row>
    <row r="4185" spans="1:15">
      <c r="A4185" t="str">
        <f>"603392"</f>
        <v>603392</v>
      </c>
      <c r="B4185" t="s">
        <v>4229</v>
      </c>
      <c r="C4185">
        <v>-0.24</v>
      </c>
      <c r="D4185">
        <v>28.54</v>
      </c>
      <c r="E4185" t="s">
        <v>16</v>
      </c>
      <c r="F4185" t="s">
        <v>16</v>
      </c>
      <c r="H4185">
        <v>-0.37</v>
      </c>
      <c r="I4185">
        <v>-14.93</v>
      </c>
      <c r="J4185">
        <v>-1.69</v>
      </c>
      <c r="L4185">
        <v>-0.14</v>
      </c>
      <c r="M4185">
        <v>39.43</v>
      </c>
      <c r="N4185">
        <v>0</v>
      </c>
      <c r="O4185">
        <v>0.37</v>
      </c>
    </row>
    <row r="4186" spans="1:15">
      <c r="A4186" t="str">
        <f>"603393"</f>
        <v>603393</v>
      </c>
      <c r="B4186" t="s">
        <v>4230</v>
      </c>
      <c r="C4186">
        <v>-2.92</v>
      </c>
      <c r="D4186">
        <v>24.94</v>
      </c>
      <c r="E4186" t="s">
        <v>16</v>
      </c>
      <c r="F4186" t="s">
        <v>16</v>
      </c>
      <c r="H4186">
        <v>0.08</v>
      </c>
      <c r="I4186">
        <v>-8.34</v>
      </c>
      <c r="J4186">
        <v>-3.82</v>
      </c>
      <c r="L4186">
        <v>-0.04</v>
      </c>
      <c r="M4186">
        <v>69.59</v>
      </c>
      <c r="N4186">
        <v>0.01</v>
      </c>
      <c r="O4186">
        <v>0.9</v>
      </c>
    </row>
    <row r="4187" spans="1:15">
      <c r="A4187" t="str">
        <f>"603395"</f>
        <v>603395</v>
      </c>
      <c r="B4187" t="s">
        <v>4231</v>
      </c>
      <c r="C4187">
        <v>-2.5</v>
      </c>
      <c r="D4187">
        <v>21.87</v>
      </c>
      <c r="E4187" t="s">
        <v>16</v>
      </c>
      <c r="F4187" t="s">
        <v>16</v>
      </c>
      <c r="H4187">
        <v>-0.13</v>
      </c>
      <c r="I4187">
        <v>-4.95</v>
      </c>
      <c r="J4187">
        <v>-2.15</v>
      </c>
      <c r="L4187">
        <v>-0.36</v>
      </c>
      <c r="M4187">
        <v>31.07</v>
      </c>
      <c r="N4187">
        <v>0.02</v>
      </c>
      <c r="O4187">
        <v>0.99</v>
      </c>
    </row>
    <row r="4188" spans="1:15">
      <c r="A4188" t="str">
        <f>"603396"</f>
        <v>603396</v>
      </c>
      <c r="B4188" t="s">
        <v>4232</v>
      </c>
      <c r="C4188">
        <v>-1.84</v>
      </c>
      <c r="D4188">
        <v>28.28</v>
      </c>
      <c r="E4188" t="s">
        <v>16</v>
      </c>
      <c r="F4188" t="s">
        <v>16</v>
      </c>
      <c r="H4188">
        <v>-0.24</v>
      </c>
      <c r="I4188">
        <v>-4.78</v>
      </c>
      <c r="J4188">
        <v>-2.11</v>
      </c>
      <c r="L4188">
        <v>-0.87</v>
      </c>
      <c r="M4188">
        <v>39.13</v>
      </c>
      <c r="N4188">
        <v>0.02</v>
      </c>
      <c r="O4188">
        <v>1.9</v>
      </c>
    </row>
    <row r="4189" spans="1:15">
      <c r="A4189" t="str">
        <f>"603398"</f>
        <v>603398</v>
      </c>
      <c r="B4189" t="s">
        <v>4233</v>
      </c>
      <c r="C4189">
        <v>0.92</v>
      </c>
      <c r="D4189">
        <v>14.27</v>
      </c>
      <c r="E4189" t="s">
        <v>16</v>
      </c>
      <c r="F4189" t="s">
        <v>16</v>
      </c>
      <c r="H4189">
        <v>0.14</v>
      </c>
      <c r="I4189">
        <v>2.22</v>
      </c>
      <c r="J4189">
        <v>-0.49</v>
      </c>
      <c r="L4189">
        <v>0.42</v>
      </c>
      <c r="M4189">
        <v>58.36</v>
      </c>
      <c r="N4189">
        <v>0.02</v>
      </c>
      <c r="O4189">
        <v>1.74</v>
      </c>
    </row>
    <row r="4190" spans="1:15">
      <c r="A4190" t="str">
        <f>"603399"</f>
        <v>603399</v>
      </c>
      <c r="B4190" t="s">
        <v>4234</v>
      </c>
      <c r="C4190">
        <v>-2.87</v>
      </c>
      <c r="D4190">
        <v>19.3</v>
      </c>
      <c r="E4190" t="s">
        <v>16</v>
      </c>
      <c r="F4190" t="s">
        <v>16</v>
      </c>
      <c r="H4190">
        <v>0.1</v>
      </c>
      <c r="I4190">
        <v>18.19</v>
      </c>
      <c r="J4190">
        <v>-4.79</v>
      </c>
      <c r="L4190">
        <v>-1.41</v>
      </c>
      <c r="M4190">
        <v>2535.14</v>
      </c>
      <c r="N4190">
        <v>0.32</v>
      </c>
      <c r="O4190">
        <v>2.13</v>
      </c>
    </row>
    <row r="4191" spans="1:15">
      <c r="A4191" t="str">
        <f>"603400"</f>
        <v>603400</v>
      </c>
      <c r="B4191" t="s">
        <v>4235</v>
      </c>
      <c r="C4191">
        <v>0.95</v>
      </c>
      <c r="D4191">
        <v>61.59</v>
      </c>
      <c r="E4191" t="s">
        <v>16</v>
      </c>
      <c r="F4191" t="s">
        <v>16</v>
      </c>
      <c r="H4191">
        <v>-0.1</v>
      </c>
      <c r="I4191">
        <v>-11.52</v>
      </c>
      <c r="J4191">
        <v>-2.67</v>
      </c>
      <c r="L4191">
        <v>0.8</v>
      </c>
      <c r="M4191">
        <v>17.22</v>
      </c>
      <c r="N4191">
        <v>0.01</v>
      </c>
      <c r="O4191">
        <v>2.55</v>
      </c>
    </row>
    <row r="4192" spans="1:15">
      <c r="A4192" t="str">
        <f>"603402"</f>
        <v>603402</v>
      </c>
      <c r="B4192" t="s">
        <v>4236</v>
      </c>
      <c r="C4192">
        <v>-1.08</v>
      </c>
      <c r="D4192">
        <v>66.99</v>
      </c>
      <c r="E4192" t="s">
        <v>16</v>
      </c>
      <c r="F4192" t="s">
        <v>16</v>
      </c>
      <c r="H4192">
        <v>0</v>
      </c>
      <c r="I4192">
        <v>-2.88</v>
      </c>
      <c r="J4192">
        <v>-0.93</v>
      </c>
      <c r="L4192">
        <v>-0.83</v>
      </c>
      <c r="M4192">
        <v>47.68</v>
      </c>
      <c r="N4192">
        <v>0.03</v>
      </c>
      <c r="O4192">
        <v>1.87</v>
      </c>
    </row>
    <row r="4193" spans="1:15">
      <c r="A4193" t="str">
        <f>"603406"</f>
        <v>603406</v>
      </c>
      <c r="B4193" t="s">
        <v>4237</v>
      </c>
      <c r="C4193">
        <v>-1.38</v>
      </c>
      <c r="D4193">
        <v>27.95</v>
      </c>
      <c r="E4193" t="s">
        <v>16</v>
      </c>
      <c r="F4193" t="s">
        <v>16</v>
      </c>
      <c r="H4193">
        <v>0.04</v>
      </c>
      <c r="I4193">
        <v>-6.3</v>
      </c>
      <c r="J4193">
        <v>-1.38</v>
      </c>
      <c r="L4193">
        <v>-0.67</v>
      </c>
      <c r="M4193">
        <v>8.16</v>
      </c>
      <c r="N4193">
        <v>0.01</v>
      </c>
      <c r="O4193">
        <v>1.04</v>
      </c>
    </row>
    <row r="4194" spans="1:15">
      <c r="A4194" t="str">
        <f>"603407"</f>
        <v>603407</v>
      </c>
      <c r="B4194" t="s">
        <v>4238</v>
      </c>
      <c r="C4194">
        <v>10.01</v>
      </c>
      <c r="D4194">
        <v>68.04</v>
      </c>
      <c r="E4194">
        <v>16815.41</v>
      </c>
      <c r="F4194">
        <v>1</v>
      </c>
      <c r="H4194">
        <v>0</v>
      </c>
      <c r="I4194">
        <v>18.72</v>
      </c>
      <c r="J4194">
        <v>0</v>
      </c>
      <c r="K4194" t="s">
        <v>296</v>
      </c>
      <c r="L4194">
        <v>10.01</v>
      </c>
      <c r="M4194">
        <v>2921.64</v>
      </c>
      <c r="N4194">
        <v>1.2</v>
      </c>
      <c r="O4194">
        <v>1.53</v>
      </c>
    </row>
    <row r="4195" spans="1:15">
      <c r="A4195" t="str">
        <f>"603408"</f>
        <v>603408</v>
      </c>
      <c r="B4195" t="s">
        <v>4239</v>
      </c>
      <c r="C4195">
        <v>-0.29</v>
      </c>
      <c r="D4195">
        <v>10.14</v>
      </c>
      <c r="E4195" t="s">
        <v>16</v>
      </c>
      <c r="F4195" t="s">
        <v>16</v>
      </c>
      <c r="H4195">
        <v>0</v>
      </c>
      <c r="I4195">
        <v>0.4</v>
      </c>
      <c r="J4195">
        <v>-2.12</v>
      </c>
      <c r="L4195">
        <v>0.2</v>
      </c>
      <c r="M4195">
        <v>0</v>
      </c>
      <c r="N4195">
        <v>0</v>
      </c>
      <c r="O4195">
        <v>0</v>
      </c>
    </row>
    <row r="4196" spans="1:15">
      <c r="A4196" t="str">
        <f>"603409"</f>
        <v>603409</v>
      </c>
      <c r="B4196" t="s">
        <v>4240</v>
      </c>
      <c r="C4196">
        <v>1.66</v>
      </c>
      <c r="D4196">
        <v>21.42</v>
      </c>
      <c r="E4196" t="s">
        <v>16</v>
      </c>
      <c r="F4196" t="s">
        <v>16</v>
      </c>
      <c r="H4196">
        <v>0.05</v>
      </c>
      <c r="I4196">
        <v>-21.57</v>
      </c>
      <c r="J4196">
        <v>-1.29</v>
      </c>
      <c r="L4196">
        <v>0</v>
      </c>
      <c r="M4196">
        <v>145.88</v>
      </c>
      <c r="N4196">
        <v>0.13</v>
      </c>
      <c r="O4196">
        <v>1.35</v>
      </c>
    </row>
    <row r="4197" spans="1:15">
      <c r="A4197" t="str">
        <f>"603416"</f>
        <v>603416</v>
      </c>
      <c r="B4197" t="s">
        <v>4241</v>
      </c>
      <c r="C4197">
        <v>0.58</v>
      </c>
      <c r="D4197">
        <v>55.57</v>
      </c>
      <c r="E4197" t="s">
        <v>16</v>
      </c>
      <c r="F4197" t="s">
        <v>16</v>
      </c>
      <c r="H4197">
        <v>0.07</v>
      </c>
      <c r="I4197">
        <v>-4.12</v>
      </c>
      <c r="J4197">
        <v>-2.06</v>
      </c>
      <c r="L4197">
        <v>0.33</v>
      </c>
      <c r="M4197">
        <v>43.79</v>
      </c>
      <c r="N4197">
        <v>0.01</v>
      </c>
      <c r="O4197">
        <v>1.65</v>
      </c>
    </row>
    <row r="4198" spans="1:15">
      <c r="A4198" t="str">
        <f>"603418"</f>
        <v>603418</v>
      </c>
      <c r="B4198" t="s">
        <v>4242</v>
      </c>
      <c r="C4198">
        <v>0.24</v>
      </c>
      <c r="D4198">
        <v>50.57</v>
      </c>
      <c r="E4198" t="s">
        <v>16</v>
      </c>
      <c r="F4198" t="s">
        <v>16</v>
      </c>
      <c r="H4198">
        <v>0.1</v>
      </c>
      <c r="I4198">
        <v>-0.65</v>
      </c>
      <c r="J4198">
        <v>-1.75</v>
      </c>
      <c r="L4198">
        <v>0.04</v>
      </c>
      <c r="M4198">
        <v>4.04</v>
      </c>
      <c r="N4198">
        <v>0</v>
      </c>
      <c r="O4198">
        <v>0.09</v>
      </c>
    </row>
    <row r="4199" spans="1:15">
      <c r="A4199" t="str">
        <f>"603421"</f>
        <v>603421</v>
      </c>
      <c r="B4199" t="s">
        <v>4243</v>
      </c>
      <c r="C4199">
        <v>-0.3</v>
      </c>
      <c r="D4199">
        <v>6.55</v>
      </c>
      <c r="E4199" t="s">
        <v>16</v>
      </c>
      <c r="F4199" t="s">
        <v>16</v>
      </c>
      <c r="H4199">
        <v>-0.14</v>
      </c>
      <c r="I4199">
        <v>-6.96</v>
      </c>
      <c r="J4199">
        <v>-1.5</v>
      </c>
      <c r="L4199">
        <v>-0.3</v>
      </c>
      <c r="M4199">
        <v>2.42</v>
      </c>
      <c r="N4199">
        <v>0</v>
      </c>
      <c r="O4199">
        <v>0.17</v>
      </c>
    </row>
    <row r="4200" spans="1:15">
      <c r="A4200" t="str">
        <f>"603429"</f>
        <v>603429</v>
      </c>
      <c r="B4200" t="s">
        <v>4244</v>
      </c>
      <c r="C4200">
        <v>1.17</v>
      </c>
      <c r="D4200">
        <v>10.35</v>
      </c>
      <c r="E4200" t="s">
        <v>16</v>
      </c>
      <c r="F4200" t="s">
        <v>16</v>
      </c>
      <c r="H4200">
        <v>-0.09</v>
      </c>
      <c r="I4200">
        <v>11.05</v>
      </c>
      <c r="J4200">
        <v>-2.08</v>
      </c>
      <c r="K4200" t="s">
        <v>54</v>
      </c>
      <c r="L4200">
        <v>0.88</v>
      </c>
      <c r="M4200">
        <v>188.44</v>
      </c>
      <c r="N4200">
        <v>0.06</v>
      </c>
      <c r="O4200">
        <v>25.36</v>
      </c>
    </row>
    <row r="4201" spans="1:15">
      <c r="A4201" t="str">
        <f>"603435"</f>
        <v>603435</v>
      </c>
      <c r="B4201" t="s">
        <v>4245</v>
      </c>
      <c r="C4201">
        <v>0.43</v>
      </c>
      <c r="D4201">
        <v>70.47</v>
      </c>
      <c r="E4201" t="s">
        <v>16</v>
      </c>
      <c r="F4201" t="s">
        <v>16</v>
      </c>
      <c r="H4201">
        <v>0.03</v>
      </c>
      <c r="I4201">
        <v>-16.95</v>
      </c>
      <c r="J4201">
        <v>-1.81</v>
      </c>
      <c r="L4201">
        <v>-1.4</v>
      </c>
      <c r="M4201">
        <v>247.01</v>
      </c>
      <c r="N4201">
        <v>0.1</v>
      </c>
      <c r="O4201">
        <v>0.63</v>
      </c>
    </row>
    <row r="4202" spans="1:15">
      <c r="A4202" t="str">
        <f>"603439"</f>
        <v>603439</v>
      </c>
      <c r="B4202" t="s">
        <v>4246</v>
      </c>
      <c r="C4202">
        <v>3.3</v>
      </c>
      <c r="D4202">
        <v>15.64</v>
      </c>
      <c r="E4202" t="s">
        <v>16</v>
      </c>
      <c r="F4202" t="s">
        <v>16</v>
      </c>
      <c r="H4202">
        <v>0.06</v>
      </c>
      <c r="I4202">
        <v>-1.2</v>
      </c>
      <c r="J4202">
        <v>-3.22</v>
      </c>
      <c r="L4202">
        <v>-0.92</v>
      </c>
      <c r="M4202">
        <v>64.65</v>
      </c>
      <c r="N4202">
        <v>0.02</v>
      </c>
      <c r="O4202">
        <v>0.83</v>
      </c>
    </row>
    <row r="4203" spans="1:15">
      <c r="A4203" t="str">
        <f>"603444"</f>
        <v>603444</v>
      </c>
      <c r="B4203" t="s">
        <v>4247</v>
      </c>
      <c r="C4203">
        <v>0.39</v>
      </c>
      <c r="D4203">
        <v>326.15</v>
      </c>
      <c r="E4203" t="s">
        <v>16</v>
      </c>
      <c r="F4203" t="s">
        <v>16</v>
      </c>
      <c r="H4203">
        <v>0.04</v>
      </c>
      <c r="I4203">
        <v>-0.65</v>
      </c>
      <c r="J4203">
        <v>-0.61</v>
      </c>
      <c r="L4203">
        <v>-0.52</v>
      </c>
      <c r="M4203">
        <v>119.58</v>
      </c>
      <c r="N4203">
        <v>0.01</v>
      </c>
      <c r="O4203">
        <v>0.45</v>
      </c>
    </row>
    <row r="4204" spans="1:15">
      <c r="A4204" t="str">
        <f>"603456"</f>
        <v>603456</v>
      </c>
      <c r="B4204" t="s">
        <v>4248</v>
      </c>
      <c r="C4204">
        <v>1.16</v>
      </c>
      <c r="D4204">
        <v>13.12</v>
      </c>
      <c r="E4204" t="s">
        <v>16</v>
      </c>
      <c r="F4204" t="s">
        <v>16</v>
      </c>
      <c r="H4204">
        <v>0.23</v>
      </c>
      <c r="I4204">
        <v>7.19</v>
      </c>
      <c r="J4204">
        <v>-0.91</v>
      </c>
      <c r="L4204">
        <v>-0.23</v>
      </c>
      <c r="M4204">
        <v>89.67</v>
      </c>
      <c r="N4204">
        <v>0.01</v>
      </c>
      <c r="O4204">
        <v>2.21</v>
      </c>
    </row>
    <row r="4205" spans="1:15">
      <c r="A4205" t="str">
        <f>"603458"</f>
        <v>603458</v>
      </c>
      <c r="B4205" t="s">
        <v>4249</v>
      </c>
      <c r="C4205">
        <v>-2.17</v>
      </c>
      <c r="D4205">
        <v>14.4</v>
      </c>
      <c r="E4205" t="s">
        <v>16</v>
      </c>
      <c r="F4205" t="s">
        <v>16</v>
      </c>
      <c r="H4205">
        <v>-0.47</v>
      </c>
      <c r="I4205">
        <v>0.07</v>
      </c>
      <c r="J4205">
        <v>-2.7</v>
      </c>
      <c r="K4205" t="s">
        <v>220</v>
      </c>
      <c r="L4205">
        <v>0</v>
      </c>
      <c r="M4205">
        <v>993.45</v>
      </c>
      <c r="N4205">
        <v>0.24</v>
      </c>
      <c r="O4205">
        <v>1.57</v>
      </c>
    </row>
    <row r="4206" spans="1:15">
      <c r="A4206" t="str">
        <f>"603459"</f>
        <v>603459</v>
      </c>
      <c r="B4206" t="s">
        <v>4250</v>
      </c>
      <c r="C4206">
        <v>0.97</v>
      </c>
      <c r="D4206">
        <v>90.18</v>
      </c>
      <c r="E4206" t="s">
        <v>16</v>
      </c>
      <c r="F4206" t="s">
        <v>16</v>
      </c>
      <c r="H4206">
        <v>0.78</v>
      </c>
      <c r="I4206">
        <v>-15.71</v>
      </c>
      <c r="J4206">
        <v>-3.53</v>
      </c>
      <c r="L4206">
        <v>-0.35</v>
      </c>
      <c r="M4206">
        <v>883.77</v>
      </c>
      <c r="N4206">
        <v>0.13</v>
      </c>
      <c r="O4206">
        <v>0.63</v>
      </c>
    </row>
    <row r="4207" spans="1:15">
      <c r="A4207" t="str">
        <f>"603466"</f>
        <v>603466</v>
      </c>
      <c r="B4207" t="s">
        <v>4251</v>
      </c>
      <c r="C4207">
        <v>-4.95</v>
      </c>
      <c r="D4207">
        <v>9.79</v>
      </c>
      <c r="E4207" t="s">
        <v>16</v>
      </c>
      <c r="F4207" t="s">
        <v>16</v>
      </c>
      <c r="H4207">
        <v>-0.19</v>
      </c>
      <c r="I4207">
        <v>-11</v>
      </c>
      <c r="J4207">
        <v>-4.02</v>
      </c>
      <c r="L4207">
        <v>-1.07</v>
      </c>
      <c r="M4207">
        <v>370.81</v>
      </c>
      <c r="N4207">
        <v>0.1</v>
      </c>
      <c r="O4207">
        <v>0.53</v>
      </c>
    </row>
    <row r="4208" spans="1:15">
      <c r="A4208" t="str">
        <f>"603477"</f>
        <v>603477</v>
      </c>
      <c r="B4208" t="s">
        <v>4252</v>
      </c>
      <c r="C4208">
        <v>-2.43</v>
      </c>
      <c r="D4208">
        <v>13.65</v>
      </c>
      <c r="E4208" t="s">
        <v>16</v>
      </c>
      <c r="F4208" t="s">
        <v>16</v>
      </c>
      <c r="H4208">
        <v>-0.28</v>
      </c>
      <c r="I4208">
        <v>-8.7</v>
      </c>
      <c r="J4208">
        <v>-2.5</v>
      </c>
      <c r="L4208">
        <v>-0.21</v>
      </c>
      <c r="M4208">
        <v>54.58</v>
      </c>
      <c r="N4208">
        <v>0.01</v>
      </c>
      <c r="O4208">
        <v>1.64</v>
      </c>
    </row>
    <row r="4209" spans="1:15">
      <c r="A4209" t="str">
        <f>"603486"</f>
        <v>603486</v>
      </c>
      <c r="B4209" t="s">
        <v>4253</v>
      </c>
      <c r="C4209">
        <v>-0.45</v>
      </c>
      <c r="D4209">
        <v>53.08</v>
      </c>
      <c r="E4209" t="s">
        <v>16</v>
      </c>
      <c r="F4209" t="s">
        <v>16</v>
      </c>
      <c r="H4209">
        <v>-0.14</v>
      </c>
      <c r="I4209">
        <v>-6.42</v>
      </c>
      <c r="J4209">
        <v>-2.23</v>
      </c>
      <c r="L4209">
        <v>-0.13</v>
      </c>
      <c r="M4209">
        <v>47.93</v>
      </c>
      <c r="N4209">
        <v>0</v>
      </c>
      <c r="O4209">
        <v>0.78</v>
      </c>
    </row>
    <row r="4210" spans="1:15">
      <c r="A4210" t="str">
        <f>"603488"</f>
        <v>603488</v>
      </c>
      <c r="B4210" t="s">
        <v>4254</v>
      </c>
      <c r="C4210">
        <v>-2.66</v>
      </c>
      <c r="D4210">
        <v>12.83</v>
      </c>
      <c r="E4210" t="s">
        <v>16</v>
      </c>
      <c r="F4210" t="s">
        <v>16</v>
      </c>
      <c r="H4210">
        <v>-0.53</v>
      </c>
      <c r="I4210">
        <v>10.32</v>
      </c>
      <c r="J4210">
        <v>-4.82</v>
      </c>
      <c r="K4210" t="s">
        <v>54</v>
      </c>
      <c r="L4210">
        <v>-0.61</v>
      </c>
      <c r="M4210">
        <v>1448.2</v>
      </c>
      <c r="N4210">
        <v>0.6</v>
      </c>
      <c r="O4210">
        <v>19.16</v>
      </c>
    </row>
    <row r="4211" spans="1:15">
      <c r="A4211" t="str">
        <f>"603489"</f>
        <v>603489</v>
      </c>
      <c r="B4211" t="s">
        <v>4255</v>
      </c>
      <c r="C4211">
        <v>1.66</v>
      </c>
      <c r="D4211">
        <v>32.99</v>
      </c>
      <c r="E4211" t="s">
        <v>16</v>
      </c>
      <c r="F4211" t="s">
        <v>16</v>
      </c>
      <c r="H4211">
        <v>0.15</v>
      </c>
      <c r="I4211">
        <v>-0.03</v>
      </c>
      <c r="J4211">
        <v>-0.21</v>
      </c>
      <c r="L4211">
        <v>-0.86</v>
      </c>
      <c r="M4211">
        <v>78.82</v>
      </c>
      <c r="N4211">
        <v>0.04</v>
      </c>
      <c r="O4211">
        <v>3.83</v>
      </c>
    </row>
    <row r="4212" spans="1:15">
      <c r="A4212" t="str">
        <f>"603496"</f>
        <v>603496</v>
      </c>
      <c r="B4212" t="s">
        <v>4256</v>
      </c>
      <c r="C4212">
        <v>10</v>
      </c>
      <c r="D4212">
        <v>26.74</v>
      </c>
      <c r="E4212">
        <v>3319.5</v>
      </c>
      <c r="F4212">
        <v>1</v>
      </c>
      <c r="H4212">
        <v>0</v>
      </c>
      <c r="I4212">
        <v>18.27</v>
      </c>
      <c r="J4212">
        <v>0</v>
      </c>
      <c r="K4212" t="s">
        <v>140</v>
      </c>
      <c r="L4212">
        <v>0.12</v>
      </c>
      <c r="M4212">
        <v>209.81</v>
      </c>
      <c r="N4212">
        <v>0.04</v>
      </c>
      <c r="O4212">
        <v>1.69</v>
      </c>
    </row>
    <row r="4213" spans="1:15">
      <c r="A4213" t="str">
        <f>"603499"</f>
        <v>603499</v>
      </c>
      <c r="B4213" t="s">
        <v>4257</v>
      </c>
      <c r="C4213">
        <v>-2.5</v>
      </c>
      <c r="D4213">
        <v>19.9</v>
      </c>
      <c r="E4213" t="s">
        <v>16</v>
      </c>
      <c r="F4213" t="s">
        <v>16</v>
      </c>
      <c r="H4213">
        <v>-0.04</v>
      </c>
      <c r="I4213">
        <v>11.36</v>
      </c>
      <c r="J4213">
        <v>-4.14</v>
      </c>
      <c r="K4213" t="s">
        <v>57</v>
      </c>
      <c r="L4213">
        <v>0.93</v>
      </c>
      <c r="M4213">
        <v>76.43</v>
      </c>
      <c r="N4213">
        <v>0.02</v>
      </c>
      <c r="O4213">
        <v>0.83</v>
      </c>
    </row>
    <row r="4214" spans="1:15">
      <c r="A4214" t="str">
        <f>"603500"</f>
        <v>603500</v>
      </c>
      <c r="B4214" t="s">
        <v>4258</v>
      </c>
      <c r="C4214">
        <v>3.68</v>
      </c>
      <c r="D4214">
        <v>14.1</v>
      </c>
      <c r="E4214" t="s">
        <v>16</v>
      </c>
      <c r="F4214" t="s">
        <v>16</v>
      </c>
      <c r="H4214">
        <v>0.28</v>
      </c>
      <c r="I4214">
        <v>26.8</v>
      </c>
      <c r="J4214">
        <v>-2.42</v>
      </c>
      <c r="L4214">
        <v>0.29</v>
      </c>
      <c r="M4214">
        <v>760.02</v>
      </c>
      <c r="N4214">
        <v>0.35</v>
      </c>
      <c r="O4214">
        <v>1.75</v>
      </c>
    </row>
    <row r="4215" spans="1:15">
      <c r="A4215" t="str">
        <f>"603501"</f>
        <v>603501</v>
      </c>
      <c r="B4215" t="s">
        <v>4259</v>
      </c>
      <c r="C4215">
        <v>-0.17</v>
      </c>
      <c r="D4215">
        <v>89.97</v>
      </c>
      <c r="E4215" t="s">
        <v>16</v>
      </c>
      <c r="F4215" t="s">
        <v>16</v>
      </c>
      <c r="H4215">
        <v>-0.07</v>
      </c>
      <c r="I4215">
        <v>-8.99</v>
      </c>
      <c r="J4215">
        <v>-1.52</v>
      </c>
      <c r="L4215">
        <v>-0.27</v>
      </c>
      <c r="M4215">
        <v>502.43</v>
      </c>
      <c r="N4215">
        <v>0.01</v>
      </c>
      <c r="O4215">
        <v>0.57</v>
      </c>
    </row>
    <row r="4216" spans="1:15">
      <c r="A4216" t="str">
        <f>"603505"</f>
        <v>603505</v>
      </c>
      <c r="B4216" t="s">
        <v>4260</v>
      </c>
      <c r="C4216">
        <v>-2.76</v>
      </c>
      <c r="D4216">
        <v>19.37</v>
      </c>
      <c r="E4216" t="s">
        <v>16</v>
      </c>
      <c r="F4216" t="s">
        <v>16</v>
      </c>
      <c r="H4216">
        <v>0</v>
      </c>
      <c r="I4216">
        <v>7.19</v>
      </c>
      <c r="J4216">
        <v>-2.57</v>
      </c>
      <c r="L4216">
        <v>-1.1</v>
      </c>
      <c r="M4216">
        <v>201.14</v>
      </c>
      <c r="N4216">
        <v>0.03</v>
      </c>
      <c r="O4216">
        <v>0.81</v>
      </c>
    </row>
    <row r="4217" spans="1:15">
      <c r="A4217" t="str">
        <f>"603506"</f>
        <v>603506</v>
      </c>
      <c r="B4217" t="s">
        <v>4261</v>
      </c>
      <c r="C4217">
        <v>-0.79</v>
      </c>
      <c r="D4217">
        <v>10.07</v>
      </c>
      <c r="E4217" t="s">
        <v>16</v>
      </c>
      <c r="F4217" t="s">
        <v>16</v>
      </c>
      <c r="H4217">
        <v>-0.39</v>
      </c>
      <c r="I4217">
        <v>-5</v>
      </c>
      <c r="J4217">
        <v>-1.56</v>
      </c>
      <c r="L4217">
        <v>0</v>
      </c>
      <c r="M4217">
        <v>37.45</v>
      </c>
      <c r="N4217">
        <v>0.05</v>
      </c>
      <c r="O4217">
        <v>2.29</v>
      </c>
    </row>
    <row r="4218" spans="1:15">
      <c r="A4218" t="str">
        <f>"603507"</f>
        <v>603507</v>
      </c>
      <c r="B4218" t="s">
        <v>4262</v>
      </c>
      <c r="C4218">
        <v>0.93</v>
      </c>
      <c r="D4218">
        <v>37.85</v>
      </c>
      <c r="E4218" t="s">
        <v>16</v>
      </c>
      <c r="F4218" t="s">
        <v>16</v>
      </c>
      <c r="H4218">
        <v>-0.1</v>
      </c>
      <c r="I4218">
        <v>1.97</v>
      </c>
      <c r="J4218">
        <v>-1.07</v>
      </c>
      <c r="L4218">
        <v>-0.03</v>
      </c>
      <c r="M4218">
        <v>53.65</v>
      </c>
      <c r="N4218">
        <v>0.01</v>
      </c>
      <c r="O4218">
        <v>0.52</v>
      </c>
    </row>
    <row r="4219" spans="1:15">
      <c r="A4219" t="str">
        <f>"603508"</f>
        <v>603508</v>
      </c>
      <c r="B4219" t="s">
        <v>4263</v>
      </c>
      <c r="C4219">
        <v>-1.53</v>
      </c>
      <c r="D4219">
        <v>21.26</v>
      </c>
      <c r="E4219" t="s">
        <v>16</v>
      </c>
      <c r="F4219" t="s">
        <v>16</v>
      </c>
      <c r="H4219">
        <v>0.19</v>
      </c>
      <c r="I4219">
        <v>-3.63</v>
      </c>
      <c r="J4219">
        <v>-1.53</v>
      </c>
      <c r="L4219">
        <v>-0.05</v>
      </c>
      <c r="M4219">
        <v>8.85</v>
      </c>
      <c r="N4219">
        <v>0</v>
      </c>
      <c r="O4219">
        <v>0.76</v>
      </c>
    </row>
    <row r="4220" spans="1:15">
      <c r="A4220" t="str">
        <f>"603511"</f>
        <v>603511</v>
      </c>
      <c r="B4220" t="s">
        <v>4264</v>
      </c>
      <c r="C4220">
        <v>1.22</v>
      </c>
      <c r="D4220">
        <v>12.46</v>
      </c>
      <c r="E4220" t="s">
        <v>16</v>
      </c>
      <c r="F4220" t="s">
        <v>16</v>
      </c>
      <c r="H4220">
        <v>-0.15</v>
      </c>
      <c r="I4220">
        <v>-3.34</v>
      </c>
      <c r="J4220">
        <v>-0.72</v>
      </c>
      <c r="L4220">
        <v>-0.57</v>
      </c>
      <c r="M4220">
        <v>1.35</v>
      </c>
      <c r="N4220">
        <v>0</v>
      </c>
      <c r="O4220">
        <v>0.08</v>
      </c>
    </row>
    <row r="4221" spans="1:15">
      <c r="A4221" t="str">
        <f>"603515"</f>
        <v>603515</v>
      </c>
      <c r="B4221" t="s">
        <v>4265</v>
      </c>
      <c r="C4221">
        <v>-0.71</v>
      </c>
      <c r="D4221">
        <v>18.2</v>
      </c>
      <c r="E4221" t="s">
        <v>16</v>
      </c>
      <c r="F4221" t="s">
        <v>16</v>
      </c>
      <c r="H4221">
        <v>0.28</v>
      </c>
      <c r="I4221">
        <v>-0.93</v>
      </c>
      <c r="J4221">
        <v>-1.73</v>
      </c>
      <c r="L4221">
        <v>0</v>
      </c>
      <c r="M4221">
        <v>1.65</v>
      </c>
      <c r="N4221">
        <v>0</v>
      </c>
      <c r="O4221">
        <v>1.13</v>
      </c>
    </row>
    <row r="4222" spans="1:15">
      <c r="A4222" t="str">
        <f>"603516"</f>
        <v>603516</v>
      </c>
      <c r="B4222" t="s">
        <v>4266</v>
      </c>
      <c r="C4222">
        <v>4.9</v>
      </c>
      <c r="D4222">
        <v>142.17</v>
      </c>
      <c r="E4222" t="s">
        <v>16</v>
      </c>
      <c r="F4222" t="s">
        <v>16</v>
      </c>
      <c r="H4222">
        <v>-0.12</v>
      </c>
      <c r="I4222">
        <v>12.57</v>
      </c>
      <c r="J4222">
        <v>-1.94</v>
      </c>
      <c r="K4222" t="s">
        <v>220</v>
      </c>
      <c r="L4222">
        <v>0.09</v>
      </c>
      <c r="M4222">
        <v>1155.74</v>
      </c>
      <c r="N4222">
        <v>0.06</v>
      </c>
      <c r="O4222">
        <v>0.44</v>
      </c>
    </row>
    <row r="4223" spans="1:15">
      <c r="A4223" t="str">
        <f>"603517"</f>
        <v>603517</v>
      </c>
      <c r="B4223" t="s">
        <v>4267</v>
      </c>
      <c r="C4223">
        <v>-5.01</v>
      </c>
      <c r="D4223">
        <v>10.42</v>
      </c>
      <c r="E4223">
        <v>315.2</v>
      </c>
      <c r="F4223" t="s">
        <v>16</v>
      </c>
      <c r="H4223">
        <v>0</v>
      </c>
      <c r="I4223">
        <v>-17.63</v>
      </c>
      <c r="J4223">
        <v>-5.1</v>
      </c>
      <c r="L4223">
        <v>-0.46</v>
      </c>
      <c r="M4223">
        <v>139.23</v>
      </c>
      <c r="N4223">
        <v>0.04</v>
      </c>
      <c r="O4223">
        <v>4.96</v>
      </c>
    </row>
    <row r="4224" spans="1:15">
      <c r="A4224" t="str">
        <f>"603518"</f>
        <v>603518</v>
      </c>
      <c r="B4224" t="s">
        <v>4268</v>
      </c>
      <c r="C4224">
        <v>-2.36</v>
      </c>
      <c r="D4224">
        <v>7.87</v>
      </c>
      <c r="E4224" t="s">
        <v>16</v>
      </c>
      <c r="F4224" t="s">
        <v>16</v>
      </c>
      <c r="H4224">
        <v>-0.37</v>
      </c>
      <c r="I4224">
        <v>-6.64</v>
      </c>
      <c r="J4224">
        <v>-2.36</v>
      </c>
      <c r="L4224">
        <v>-0.74</v>
      </c>
      <c r="M4224">
        <v>42.88</v>
      </c>
      <c r="N4224">
        <v>0.02</v>
      </c>
      <c r="O4224">
        <v>0.81</v>
      </c>
    </row>
    <row r="4225" spans="1:15">
      <c r="A4225" t="str">
        <f>"603519"</f>
        <v>603519</v>
      </c>
      <c r="B4225" t="s">
        <v>4269</v>
      </c>
      <c r="C4225">
        <v>-0.54</v>
      </c>
      <c r="D4225">
        <v>14.8</v>
      </c>
      <c r="E4225" t="s">
        <v>16</v>
      </c>
      <c r="F4225" t="s">
        <v>16</v>
      </c>
      <c r="H4225">
        <v>0.14</v>
      </c>
      <c r="I4225">
        <v>19.16</v>
      </c>
      <c r="J4225">
        <v>-3.77</v>
      </c>
      <c r="L4225">
        <v>-0.74</v>
      </c>
      <c r="M4225">
        <v>28.8</v>
      </c>
      <c r="N4225">
        <v>0.02</v>
      </c>
      <c r="O4225">
        <v>0.67</v>
      </c>
    </row>
    <row r="4226" spans="1:15">
      <c r="A4226" t="str">
        <f>"603520"</f>
        <v>603520</v>
      </c>
      <c r="B4226" t="s">
        <v>4270</v>
      </c>
      <c r="C4226">
        <v>1.28</v>
      </c>
      <c r="D4226">
        <v>9.52</v>
      </c>
      <c r="E4226" t="s">
        <v>16</v>
      </c>
      <c r="F4226" t="s">
        <v>16</v>
      </c>
      <c r="H4226">
        <v>0.32</v>
      </c>
      <c r="I4226">
        <v>-2.16</v>
      </c>
      <c r="J4226">
        <v>-0.31</v>
      </c>
      <c r="L4226">
        <v>-0.64</v>
      </c>
      <c r="M4226">
        <v>128.71</v>
      </c>
      <c r="N4226">
        <v>0.04</v>
      </c>
      <c r="O4226">
        <v>1.29</v>
      </c>
    </row>
    <row r="4227" spans="1:15">
      <c r="A4227" t="str">
        <f>"603527"</f>
        <v>603527</v>
      </c>
      <c r="B4227" t="s">
        <v>4271</v>
      </c>
      <c r="C4227">
        <v>-0.2</v>
      </c>
      <c r="D4227">
        <v>14.7</v>
      </c>
      <c r="E4227" t="s">
        <v>16</v>
      </c>
      <c r="F4227" t="s">
        <v>16</v>
      </c>
      <c r="H4227">
        <v>0</v>
      </c>
      <c r="I4227">
        <v>8.09</v>
      </c>
      <c r="J4227">
        <v>-2.65</v>
      </c>
      <c r="L4227">
        <v>-0.61</v>
      </c>
      <c r="M4227">
        <v>198.23</v>
      </c>
      <c r="N4227">
        <v>0.07</v>
      </c>
      <c r="O4227">
        <v>0.47</v>
      </c>
    </row>
    <row r="4228" spans="1:15">
      <c r="A4228" t="str">
        <f>"603528"</f>
        <v>603528</v>
      </c>
      <c r="B4228" t="s">
        <v>4272</v>
      </c>
      <c r="C4228">
        <v>-2.11</v>
      </c>
      <c r="D4228">
        <v>6.51</v>
      </c>
      <c r="E4228" t="s">
        <v>16</v>
      </c>
      <c r="F4228" t="s">
        <v>16</v>
      </c>
      <c r="H4228">
        <v>-0.3</v>
      </c>
      <c r="I4228">
        <v>-2.11</v>
      </c>
      <c r="J4228">
        <v>-2.54</v>
      </c>
      <c r="L4228">
        <v>-1.05</v>
      </c>
      <c r="M4228">
        <v>63.89</v>
      </c>
      <c r="N4228">
        <v>0.03</v>
      </c>
      <c r="O4228">
        <v>0.5</v>
      </c>
    </row>
    <row r="4229" spans="1:15">
      <c r="A4229" t="str">
        <f>"603529"</f>
        <v>603529</v>
      </c>
      <c r="B4229" t="s">
        <v>4273</v>
      </c>
      <c r="C4229">
        <v>-1.03</v>
      </c>
      <c r="D4229">
        <v>20.21</v>
      </c>
      <c r="E4229" t="s">
        <v>16</v>
      </c>
      <c r="F4229" t="s">
        <v>16</v>
      </c>
      <c r="H4229">
        <v>-0.43</v>
      </c>
      <c r="I4229">
        <v>-2.51</v>
      </c>
      <c r="J4229">
        <v>-1.08</v>
      </c>
      <c r="L4229">
        <v>0.05</v>
      </c>
      <c r="M4229">
        <v>39.23</v>
      </c>
      <c r="N4229">
        <v>0.01</v>
      </c>
      <c r="O4229">
        <v>1.2</v>
      </c>
    </row>
    <row r="4230" spans="1:15">
      <c r="A4230" t="str">
        <f>"603530"</f>
        <v>603530</v>
      </c>
      <c r="B4230" t="s">
        <v>4274</v>
      </c>
      <c r="C4230">
        <v>1.51</v>
      </c>
      <c r="D4230">
        <v>53.7</v>
      </c>
      <c r="E4230" t="s">
        <v>16</v>
      </c>
      <c r="F4230" t="s">
        <v>16</v>
      </c>
      <c r="H4230">
        <v>-0.03</v>
      </c>
      <c r="I4230">
        <v>-1.83</v>
      </c>
      <c r="J4230">
        <v>-2.35</v>
      </c>
      <c r="L4230">
        <v>0</v>
      </c>
      <c r="M4230">
        <v>14.28</v>
      </c>
      <c r="N4230">
        <v>0</v>
      </c>
      <c r="O4230">
        <v>0.69</v>
      </c>
    </row>
    <row r="4231" spans="1:15">
      <c r="A4231" t="str">
        <f>"603533"</f>
        <v>603533</v>
      </c>
      <c r="B4231" t="s">
        <v>4275</v>
      </c>
      <c r="C4231">
        <v>3.73</v>
      </c>
      <c r="D4231">
        <v>20.84</v>
      </c>
      <c r="E4231" t="s">
        <v>16</v>
      </c>
      <c r="F4231" t="s">
        <v>16</v>
      </c>
      <c r="H4231">
        <v>0.05</v>
      </c>
      <c r="I4231">
        <v>-13.56</v>
      </c>
      <c r="J4231">
        <v>-1.65</v>
      </c>
      <c r="L4231">
        <v>-0.7</v>
      </c>
      <c r="M4231">
        <v>174.36</v>
      </c>
      <c r="N4231">
        <v>0.04</v>
      </c>
      <c r="O4231">
        <v>2.08</v>
      </c>
    </row>
    <row r="4232" spans="1:15">
      <c r="A4232" t="str">
        <f>"603535"</f>
        <v>603535</v>
      </c>
      <c r="B4232" t="s">
        <v>4276</v>
      </c>
      <c r="C4232">
        <v>0</v>
      </c>
      <c r="D4232">
        <v>6.54</v>
      </c>
      <c r="E4232" t="s">
        <v>16</v>
      </c>
      <c r="F4232" t="s">
        <v>16</v>
      </c>
      <c r="H4232">
        <v>-0.14</v>
      </c>
      <c r="I4232">
        <v>-4.25</v>
      </c>
      <c r="J4232">
        <v>-1.21</v>
      </c>
      <c r="L4232">
        <v>-0.15</v>
      </c>
      <c r="M4232">
        <v>8.16</v>
      </c>
      <c r="N4232">
        <v>0.01</v>
      </c>
      <c r="O4232">
        <v>1.32</v>
      </c>
    </row>
    <row r="4233" spans="1:15">
      <c r="A4233" t="str">
        <f>"603536"</f>
        <v>603536</v>
      </c>
      <c r="B4233" t="s">
        <v>4277</v>
      </c>
      <c r="C4233">
        <v>-1.18</v>
      </c>
      <c r="D4233">
        <v>8.38</v>
      </c>
      <c r="E4233" t="s">
        <v>16</v>
      </c>
      <c r="F4233" t="s">
        <v>16</v>
      </c>
      <c r="H4233">
        <v>-0.11</v>
      </c>
      <c r="I4233">
        <v>-6.16</v>
      </c>
      <c r="J4233">
        <v>-1.41</v>
      </c>
      <c r="L4233">
        <v>-0.59</v>
      </c>
      <c r="M4233">
        <v>6.74</v>
      </c>
      <c r="N4233">
        <v>0.01</v>
      </c>
      <c r="O4233">
        <v>0.58</v>
      </c>
    </row>
    <row r="4234" spans="1:15">
      <c r="A4234" t="str">
        <f>"603538"</f>
        <v>603538</v>
      </c>
      <c r="B4234" t="s">
        <v>4278</v>
      </c>
      <c r="C4234">
        <v>0.32</v>
      </c>
      <c r="D4234">
        <v>37.92</v>
      </c>
      <c r="E4234" t="s">
        <v>16</v>
      </c>
      <c r="F4234" t="s">
        <v>16</v>
      </c>
      <c r="H4234">
        <v>0.13</v>
      </c>
      <c r="I4234">
        <v>-10.18</v>
      </c>
      <c r="J4234">
        <v>-1.58</v>
      </c>
      <c r="L4234">
        <v>-0.63</v>
      </c>
      <c r="M4234">
        <v>264.05</v>
      </c>
      <c r="N4234">
        <v>0.04</v>
      </c>
      <c r="O4234">
        <v>0.75</v>
      </c>
    </row>
    <row r="4235" spans="1:15">
      <c r="A4235" t="str">
        <f>"603551"</f>
        <v>603551</v>
      </c>
      <c r="B4235" t="s">
        <v>4279</v>
      </c>
      <c r="C4235">
        <v>-0.75</v>
      </c>
      <c r="D4235">
        <v>9.25</v>
      </c>
      <c r="E4235" t="s">
        <v>16</v>
      </c>
      <c r="F4235" t="s">
        <v>16</v>
      </c>
      <c r="H4235">
        <v>0.11</v>
      </c>
      <c r="I4235">
        <v>-8.96</v>
      </c>
      <c r="J4235">
        <v>-1.6</v>
      </c>
      <c r="L4235">
        <v>0</v>
      </c>
      <c r="M4235">
        <v>5.69</v>
      </c>
      <c r="N4235">
        <v>0.01</v>
      </c>
      <c r="O4235">
        <v>0.93</v>
      </c>
    </row>
    <row r="4236" spans="1:15">
      <c r="A4236" t="str">
        <f>"603556"</f>
        <v>603556</v>
      </c>
      <c r="B4236" t="s">
        <v>4280</v>
      </c>
      <c r="C4236">
        <v>0.26</v>
      </c>
      <c r="D4236">
        <v>23.12</v>
      </c>
      <c r="E4236" t="s">
        <v>16</v>
      </c>
      <c r="F4236" t="s">
        <v>16</v>
      </c>
      <c r="H4236">
        <v>0</v>
      </c>
      <c r="I4236">
        <v>-6.62</v>
      </c>
      <c r="J4236">
        <v>-5.63</v>
      </c>
      <c r="L4236">
        <v>0.61</v>
      </c>
      <c r="M4236">
        <v>47.33</v>
      </c>
      <c r="N4236">
        <v>0.01</v>
      </c>
      <c r="O4236">
        <v>2.72</v>
      </c>
    </row>
    <row r="4237" spans="1:15">
      <c r="A4237" t="str">
        <f>"603557"</f>
        <v>603557</v>
      </c>
      <c r="B4237" t="s">
        <v>4281</v>
      </c>
      <c r="C4237">
        <v>5.06</v>
      </c>
      <c r="D4237">
        <v>4.36</v>
      </c>
      <c r="E4237">
        <v>893.19</v>
      </c>
      <c r="F4237">
        <v>1</v>
      </c>
      <c r="H4237">
        <v>0</v>
      </c>
      <c r="I4237">
        <v>-11.02</v>
      </c>
      <c r="J4237">
        <v>0</v>
      </c>
      <c r="K4237" t="s">
        <v>140</v>
      </c>
      <c r="L4237">
        <v>0.24</v>
      </c>
      <c r="M4237">
        <v>2.83</v>
      </c>
      <c r="N4237">
        <v>0</v>
      </c>
      <c r="O4237">
        <v>1.94</v>
      </c>
    </row>
    <row r="4238" spans="1:15">
      <c r="A4238" t="str">
        <f>"603558"</f>
        <v>603558</v>
      </c>
      <c r="B4238" t="s">
        <v>4282</v>
      </c>
      <c r="C4238">
        <v>-2.26</v>
      </c>
      <c r="D4238">
        <v>11.25</v>
      </c>
      <c r="E4238" t="s">
        <v>16</v>
      </c>
      <c r="F4238" t="s">
        <v>16</v>
      </c>
      <c r="H4238">
        <v>0.09</v>
      </c>
      <c r="I4238">
        <v>-4.9</v>
      </c>
      <c r="J4238">
        <v>-4.42</v>
      </c>
      <c r="L4238">
        <v>-0.87</v>
      </c>
      <c r="M4238">
        <v>9.24</v>
      </c>
      <c r="N4238">
        <v>0</v>
      </c>
      <c r="O4238">
        <v>1.62</v>
      </c>
    </row>
    <row r="4239" spans="1:15">
      <c r="A4239" t="str">
        <f>"603559"</f>
        <v>603559</v>
      </c>
      <c r="B4239" t="s">
        <v>4283</v>
      </c>
      <c r="C4239">
        <v>0.11</v>
      </c>
      <c r="D4239">
        <v>8.72</v>
      </c>
      <c r="E4239" t="s">
        <v>16</v>
      </c>
      <c r="F4239" t="s">
        <v>16</v>
      </c>
      <c r="H4239">
        <v>0.11</v>
      </c>
      <c r="I4239">
        <v>-2.68</v>
      </c>
      <c r="J4239">
        <v>-1.47</v>
      </c>
      <c r="L4239">
        <v>0</v>
      </c>
      <c r="M4239">
        <v>14.11</v>
      </c>
      <c r="N4239">
        <v>0.01</v>
      </c>
      <c r="O4239">
        <v>1.27</v>
      </c>
    </row>
    <row r="4240" spans="1:15">
      <c r="A4240" t="str">
        <f>"603565"</f>
        <v>603565</v>
      </c>
      <c r="B4240" t="s">
        <v>4284</v>
      </c>
      <c r="C4240">
        <v>0.1</v>
      </c>
      <c r="D4240">
        <v>10.39</v>
      </c>
      <c r="E4240" t="s">
        <v>16</v>
      </c>
      <c r="F4240" t="s">
        <v>16</v>
      </c>
      <c r="H4240">
        <v>-0.18</v>
      </c>
      <c r="I4240">
        <v>5.48</v>
      </c>
      <c r="J4240">
        <v>-1.05</v>
      </c>
      <c r="L4240">
        <v>-1.25</v>
      </c>
      <c r="M4240">
        <v>47.97</v>
      </c>
      <c r="N4240">
        <v>0.01</v>
      </c>
      <c r="O4240">
        <v>1.82</v>
      </c>
    </row>
    <row r="4241" spans="1:15">
      <c r="A4241" t="str">
        <f>"603566"</f>
        <v>603566</v>
      </c>
      <c r="B4241" t="s">
        <v>4285</v>
      </c>
      <c r="C4241">
        <v>1.12</v>
      </c>
      <c r="D4241">
        <v>9.89</v>
      </c>
      <c r="E4241" t="s">
        <v>16</v>
      </c>
      <c r="F4241" t="s">
        <v>16</v>
      </c>
      <c r="H4241">
        <v>0.2</v>
      </c>
      <c r="I4241">
        <v>-0.6</v>
      </c>
      <c r="J4241">
        <v>-0.5</v>
      </c>
      <c r="L4241">
        <v>0.1</v>
      </c>
      <c r="M4241">
        <v>6.95</v>
      </c>
      <c r="N4241">
        <v>0</v>
      </c>
      <c r="O4241">
        <v>4.44</v>
      </c>
    </row>
    <row r="4242" spans="1:15">
      <c r="A4242" t="str">
        <f>"603567"</f>
        <v>603567</v>
      </c>
      <c r="B4242" t="s">
        <v>4286</v>
      </c>
      <c r="C4242">
        <v>-7.87</v>
      </c>
      <c r="D4242">
        <v>4.68</v>
      </c>
      <c r="E4242" t="s">
        <v>16</v>
      </c>
      <c r="F4242" t="s">
        <v>16</v>
      </c>
      <c r="H4242">
        <v>0.21</v>
      </c>
      <c r="I4242">
        <v>-29.84</v>
      </c>
      <c r="J4242">
        <v>-9.3</v>
      </c>
      <c r="L4242">
        <v>1.57</v>
      </c>
      <c r="M4242">
        <v>349.8</v>
      </c>
      <c r="N4242">
        <v>0.14</v>
      </c>
      <c r="O4242">
        <v>4.8</v>
      </c>
    </row>
    <row r="4243" spans="1:15">
      <c r="A4243" t="str">
        <f>"603568"</f>
        <v>603568</v>
      </c>
      <c r="B4243" t="s">
        <v>4287</v>
      </c>
      <c r="C4243">
        <v>-3.3</v>
      </c>
      <c r="D4243">
        <v>16.39</v>
      </c>
      <c r="E4243" t="s">
        <v>16</v>
      </c>
      <c r="F4243" t="s">
        <v>16</v>
      </c>
      <c r="H4243">
        <v>-0.54</v>
      </c>
      <c r="I4243">
        <v>13.35</v>
      </c>
      <c r="J4243">
        <v>-3.25</v>
      </c>
      <c r="L4243">
        <v>-0.18</v>
      </c>
      <c r="M4243">
        <v>29.61</v>
      </c>
      <c r="N4243">
        <v>0</v>
      </c>
      <c r="O4243">
        <v>1.97</v>
      </c>
    </row>
    <row r="4244" spans="1:15">
      <c r="A4244" t="str">
        <f>"603569"</f>
        <v>603569</v>
      </c>
      <c r="B4244" t="s">
        <v>4288</v>
      </c>
      <c r="C4244">
        <v>-0.38</v>
      </c>
      <c r="D4244">
        <v>5.3</v>
      </c>
      <c r="E4244" t="s">
        <v>16</v>
      </c>
      <c r="F4244" t="s">
        <v>16</v>
      </c>
      <c r="H4244">
        <v>-0.18</v>
      </c>
      <c r="I4244">
        <v>-3.99</v>
      </c>
      <c r="J4244">
        <v>-1.3</v>
      </c>
      <c r="L4244">
        <v>0</v>
      </c>
      <c r="M4244">
        <v>18.57</v>
      </c>
      <c r="N4244">
        <v>0.02</v>
      </c>
      <c r="O4244">
        <v>1.26</v>
      </c>
    </row>
    <row r="4245" spans="1:15">
      <c r="A4245" t="str">
        <f>"603577"</f>
        <v>603577</v>
      </c>
      <c r="B4245" t="s">
        <v>4289</v>
      </c>
      <c r="C4245">
        <v>-1.47</v>
      </c>
      <c r="D4245">
        <v>9.39</v>
      </c>
      <c r="E4245" t="s">
        <v>16</v>
      </c>
      <c r="F4245" t="s">
        <v>16</v>
      </c>
      <c r="H4245">
        <v>0.11</v>
      </c>
      <c r="I4245">
        <v>-4.48</v>
      </c>
      <c r="J4245">
        <v>-1.47</v>
      </c>
      <c r="L4245">
        <v>0</v>
      </c>
      <c r="M4245">
        <v>2.57</v>
      </c>
      <c r="N4245">
        <v>0</v>
      </c>
      <c r="O4245">
        <v>1.08</v>
      </c>
    </row>
    <row r="4246" spans="1:15">
      <c r="A4246" t="str">
        <f>"603578"</f>
        <v>603578</v>
      </c>
      <c r="B4246" t="s">
        <v>4290</v>
      </c>
      <c r="C4246">
        <v>-4.18</v>
      </c>
      <c r="D4246">
        <v>13.07</v>
      </c>
      <c r="E4246" t="s">
        <v>16</v>
      </c>
      <c r="F4246" t="s">
        <v>16</v>
      </c>
      <c r="H4246">
        <v>0.08</v>
      </c>
      <c r="I4246">
        <v>-7.3</v>
      </c>
      <c r="J4246">
        <v>-4.18</v>
      </c>
      <c r="L4246">
        <v>-1.17</v>
      </c>
      <c r="M4246">
        <v>19.55</v>
      </c>
      <c r="N4246">
        <v>0.02</v>
      </c>
      <c r="O4246">
        <v>0.48</v>
      </c>
    </row>
    <row r="4247" spans="1:15">
      <c r="A4247" t="str">
        <f>"603579"</f>
        <v>603579</v>
      </c>
      <c r="B4247" t="s">
        <v>4291</v>
      </c>
      <c r="C4247">
        <v>3.88</v>
      </c>
      <c r="D4247">
        <v>20.59</v>
      </c>
      <c r="E4247" t="s">
        <v>16</v>
      </c>
      <c r="F4247" t="s">
        <v>16</v>
      </c>
      <c r="H4247">
        <v>0.15</v>
      </c>
      <c r="I4247">
        <v>13.38</v>
      </c>
      <c r="J4247">
        <v>-1.39</v>
      </c>
      <c r="L4247">
        <v>-0.61</v>
      </c>
      <c r="M4247">
        <v>31.72</v>
      </c>
      <c r="N4247">
        <v>0.02</v>
      </c>
      <c r="O4247">
        <v>1.77</v>
      </c>
    </row>
    <row r="4248" spans="1:15">
      <c r="A4248" t="str">
        <f>"603580"</f>
        <v>603580</v>
      </c>
      <c r="B4248" t="s">
        <v>4292</v>
      </c>
      <c r="C4248">
        <v>4.99</v>
      </c>
      <c r="D4248">
        <v>27.35</v>
      </c>
      <c r="E4248">
        <v>158.63</v>
      </c>
      <c r="F4248">
        <v>2</v>
      </c>
      <c r="H4248">
        <v>0</v>
      </c>
      <c r="I4248">
        <v>18.66</v>
      </c>
      <c r="J4248">
        <v>0</v>
      </c>
      <c r="K4248" t="s">
        <v>296</v>
      </c>
      <c r="L4248">
        <v>4.99</v>
      </c>
      <c r="M4248">
        <v>469.87</v>
      </c>
      <c r="N4248">
        <v>0.4</v>
      </c>
      <c r="O4248">
        <v>12.82</v>
      </c>
    </row>
    <row r="4249" spans="1:15">
      <c r="A4249" t="str">
        <f>"603583"</f>
        <v>603583</v>
      </c>
      <c r="B4249" t="s">
        <v>4293</v>
      </c>
      <c r="C4249">
        <v>0.21</v>
      </c>
      <c r="D4249">
        <v>24.29</v>
      </c>
      <c r="E4249" t="s">
        <v>16</v>
      </c>
      <c r="F4249" t="s">
        <v>16</v>
      </c>
      <c r="H4249">
        <v>0.04</v>
      </c>
      <c r="I4249">
        <v>-0.86</v>
      </c>
      <c r="J4249">
        <v>-1.42</v>
      </c>
      <c r="L4249">
        <v>0</v>
      </c>
      <c r="M4249">
        <v>22.79</v>
      </c>
      <c r="N4249">
        <v>0.01</v>
      </c>
      <c r="O4249">
        <v>0.66</v>
      </c>
    </row>
    <row r="4250" spans="1:15">
      <c r="A4250" t="str">
        <f>"603585"</f>
        <v>603585</v>
      </c>
      <c r="B4250" t="s">
        <v>4294</v>
      </c>
      <c r="C4250">
        <v>-1.16</v>
      </c>
      <c r="D4250">
        <v>14.45</v>
      </c>
      <c r="E4250" t="s">
        <v>16</v>
      </c>
      <c r="F4250" t="s">
        <v>16</v>
      </c>
      <c r="H4250">
        <v>0.14</v>
      </c>
      <c r="I4250">
        <v>-6.53</v>
      </c>
      <c r="J4250">
        <v>-1.7</v>
      </c>
      <c r="L4250">
        <v>0.55</v>
      </c>
      <c r="M4250">
        <v>11.61</v>
      </c>
      <c r="N4250">
        <v>0.01</v>
      </c>
      <c r="O4250">
        <v>0.93</v>
      </c>
    </row>
    <row r="4251" spans="1:15">
      <c r="A4251" t="str">
        <f>"603586"</f>
        <v>603586</v>
      </c>
      <c r="B4251" t="s">
        <v>4295</v>
      </c>
      <c r="C4251">
        <v>-3.24</v>
      </c>
      <c r="D4251">
        <v>15.24</v>
      </c>
      <c r="E4251" t="s">
        <v>16</v>
      </c>
      <c r="F4251" t="s">
        <v>16</v>
      </c>
      <c r="H4251">
        <v>-0.25</v>
      </c>
      <c r="I4251">
        <v>-11.91</v>
      </c>
      <c r="J4251">
        <v>-2.93</v>
      </c>
      <c r="L4251">
        <v>-4.57</v>
      </c>
      <c r="M4251">
        <v>543.79</v>
      </c>
      <c r="N4251">
        <v>0.46</v>
      </c>
      <c r="O4251">
        <v>0.2</v>
      </c>
    </row>
    <row r="4252" spans="1:15">
      <c r="A4252" t="str">
        <f>"603587"</f>
        <v>603587</v>
      </c>
      <c r="B4252" t="s">
        <v>4296</v>
      </c>
      <c r="C4252">
        <v>1.12</v>
      </c>
      <c r="D4252">
        <v>11.74</v>
      </c>
      <c r="E4252" t="s">
        <v>16</v>
      </c>
      <c r="F4252" t="s">
        <v>16</v>
      </c>
      <c r="H4252">
        <v>-0.24</v>
      </c>
      <c r="I4252">
        <v>-3.85</v>
      </c>
      <c r="J4252">
        <v>-0.93</v>
      </c>
      <c r="L4252">
        <v>0.09</v>
      </c>
      <c r="M4252">
        <v>0</v>
      </c>
      <c r="N4252">
        <v>0</v>
      </c>
      <c r="O4252">
        <v>0</v>
      </c>
    </row>
    <row r="4253" spans="1:15">
      <c r="A4253" t="str">
        <f>"603588"</f>
        <v>603588</v>
      </c>
      <c r="B4253" t="s">
        <v>4297</v>
      </c>
      <c r="C4253">
        <v>3.22</v>
      </c>
      <c r="D4253">
        <v>16.01</v>
      </c>
      <c r="E4253" t="s">
        <v>16</v>
      </c>
      <c r="F4253" t="s">
        <v>16</v>
      </c>
      <c r="H4253">
        <v>0.19</v>
      </c>
      <c r="I4253">
        <v>16.27</v>
      </c>
      <c r="J4253">
        <v>-0.93</v>
      </c>
      <c r="L4253">
        <v>-2.06</v>
      </c>
      <c r="M4253">
        <v>1021.53</v>
      </c>
      <c r="N4253">
        <v>0.05</v>
      </c>
      <c r="O4253">
        <v>0.85</v>
      </c>
    </row>
    <row r="4254" spans="1:15">
      <c r="A4254" t="str">
        <f>"603589"</f>
        <v>603589</v>
      </c>
      <c r="B4254" t="s">
        <v>4298</v>
      </c>
      <c r="C4254">
        <v>-1.66</v>
      </c>
      <c r="D4254">
        <v>19.59</v>
      </c>
      <c r="E4254" t="s">
        <v>16</v>
      </c>
      <c r="F4254" t="s">
        <v>16</v>
      </c>
      <c r="H4254">
        <v>-0.3</v>
      </c>
      <c r="I4254">
        <v>-4.3</v>
      </c>
      <c r="J4254">
        <v>-1.71</v>
      </c>
      <c r="L4254">
        <v>-0.35</v>
      </c>
      <c r="M4254">
        <v>14.09</v>
      </c>
      <c r="N4254">
        <v>0</v>
      </c>
      <c r="O4254">
        <v>0.78</v>
      </c>
    </row>
    <row r="4255" spans="1:15">
      <c r="A4255" t="str">
        <f>"603590"</f>
        <v>603590</v>
      </c>
      <c r="B4255" t="s">
        <v>4299</v>
      </c>
      <c r="C4255">
        <v>1.13</v>
      </c>
      <c r="D4255">
        <v>29.47</v>
      </c>
      <c r="E4255" t="s">
        <v>16</v>
      </c>
      <c r="F4255" t="s">
        <v>16</v>
      </c>
      <c r="H4255">
        <v>-0.06</v>
      </c>
      <c r="I4255">
        <v>-5.27</v>
      </c>
      <c r="J4255">
        <v>-1.6</v>
      </c>
      <c r="L4255">
        <v>-0.51</v>
      </c>
      <c r="M4255">
        <v>2.03</v>
      </c>
      <c r="N4255">
        <v>0</v>
      </c>
      <c r="O4255">
        <v>0.16</v>
      </c>
    </row>
    <row r="4256" spans="1:15">
      <c r="A4256" t="str">
        <f>"603595"</f>
        <v>603595</v>
      </c>
      <c r="B4256" t="s">
        <v>4300</v>
      </c>
      <c r="C4256">
        <v>5</v>
      </c>
      <c r="D4256">
        <v>28.97</v>
      </c>
      <c r="E4256">
        <v>673.84</v>
      </c>
      <c r="F4256">
        <v>1</v>
      </c>
      <c r="H4256">
        <v>0</v>
      </c>
      <c r="I4256">
        <v>16.44</v>
      </c>
      <c r="J4256">
        <v>0</v>
      </c>
      <c r="K4256" t="s">
        <v>220</v>
      </c>
      <c r="L4256">
        <v>0</v>
      </c>
      <c r="M4256">
        <v>27.31</v>
      </c>
      <c r="N4256">
        <v>0.01</v>
      </c>
      <c r="O4256">
        <v>0.14</v>
      </c>
    </row>
    <row r="4257" spans="1:15">
      <c r="A4257" t="str">
        <f>"603596"</f>
        <v>603596</v>
      </c>
      <c r="B4257" t="s">
        <v>4301</v>
      </c>
      <c r="C4257">
        <v>-1.38</v>
      </c>
      <c r="D4257">
        <v>28.51</v>
      </c>
      <c r="E4257" t="s">
        <v>16</v>
      </c>
      <c r="F4257" t="s">
        <v>16</v>
      </c>
      <c r="H4257">
        <v>-0.37</v>
      </c>
      <c r="I4257">
        <v>-9.52</v>
      </c>
      <c r="J4257">
        <v>-2.36</v>
      </c>
      <c r="L4257">
        <v>-0.38</v>
      </c>
      <c r="M4257">
        <v>406.37</v>
      </c>
      <c r="N4257">
        <v>0.03</v>
      </c>
      <c r="O4257">
        <v>2.7</v>
      </c>
    </row>
    <row r="4258" spans="1:15">
      <c r="A4258" t="str">
        <f>"603598"</f>
        <v>603598</v>
      </c>
      <c r="B4258" t="s">
        <v>4302</v>
      </c>
      <c r="C4258">
        <v>1</v>
      </c>
      <c r="D4258">
        <v>19.25</v>
      </c>
      <c r="E4258" t="s">
        <v>16</v>
      </c>
      <c r="F4258" t="s">
        <v>16</v>
      </c>
      <c r="H4258">
        <v>0.1</v>
      </c>
      <c r="I4258">
        <v>-9.24</v>
      </c>
      <c r="J4258">
        <v>-1.74</v>
      </c>
      <c r="L4258">
        <v>0.1</v>
      </c>
      <c r="M4258">
        <v>106.66</v>
      </c>
      <c r="N4258">
        <v>0.04</v>
      </c>
      <c r="O4258">
        <v>2.56</v>
      </c>
    </row>
    <row r="4259" spans="1:15">
      <c r="A4259" t="str">
        <f>"603599"</f>
        <v>603599</v>
      </c>
      <c r="B4259" t="s">
        <v>4303</v>
      </c>
      <c r="C4259">
        <v>-3.53</v>
      </c>
      <c r="D4259">
        <v>10.4</v>
      </c>
      <c r="E4259" t="s">
        <v>16</v>
      </c>
      <c r="F4259" t="s">
        <v>16</v>
      </c>
      <c r="H4259">
        <v>-0.28</v>
      </c>
      <c r="I4259">
        <v>-6.47</v>
      </c>
      <c r="J4259">
        <v>-3.35</v>
      </c>
      <c r="L4259">
        <v>-0.93</v>
      </c>
      <c r="M4259">
        <v>51.8</v>
      </c>
      <c r="N4259">
        <v>0.01</v>
      </c>
      <c r="O4259">
        <v>1.98</v>
      </c>
    </row>
    <row r="4260" spans="1:15">
      <c r="A4260" t="str">
        <f>"603600"</f>
        <v>603600</v>
      </c>
      <c r="B4260" t="s">
        <v>4304</v>
      </c>
      <c r="C4260">
        <v>-1.27</v>
      </c>
      <c r="D4260">
        <v>9.32</v>
      </c>
      <c r="E4260" t="s">
        <v>16</v>
      </c>
      <c r="F4260" t="s">
        <v>16</v>
      </c>
      <c r="H4260">
        <v>0.54</v>
      </c>
      <c r="I4260">
        <v>-8.45</v>
      </c>
      <c r="J4260">
        <v>-1.17</v>
      </c>
      <c r="L4260">
        <v>-0.11</v>
      </c>
      <c r="M4260">
        <v>7.26</v>
      </c>
      <c r="N4260">
        <v>0.01</v>
      </c>
      <c r="O4260">
        <v>0.24</v>
      </c>
    </row>
    <row r="4261" spans="1:15">
      <c r="A4261" t="str">
        <f>"603601"</f>
        <v>603601</v>
      </c>
      <c r="B4261" t="s">
        <v>4305</v>
      </c>
      <c r="C4261">
        <v>-5.07</v>
      </c>
      <c r="D4261">
        <v>14.97</v>
      </c>
      <c r="E4261" t="s">
        <v>16</v>
      </c>
      <c r="F4261" t="s">
        <v>16</v>
      </c>
      <c r="H4261">
        <v>0</v>
      </c>
      <c r="I4261">
        <v>-3.79</v>
      </c>
      <c r="J4261">
        <v>-6.44</v>
      </c>
      <c r="K4261" t="s">
        <v>54</v>
      </c>
      <c r="L4261">
        <v>1.46</v>
      </c>
      <c r="M4261">
        <v>7225.44</v>
      </c>
      <c r="N4261">
        <v>0.61</v>
      </c>
      <c r="O4261">
        <v>3.27</v>
      </c>
    </row>
    <row r="4262" spans="1:15">
      <c r="A4262" t="str">
        <f>"603602"</f>
        <v>603602</v>
      </c>
      <c r="B4262" t="s">
        <v>4306</v>
      </c>
      <c r="C4262">
        <v>2.56</v>
      </c>
      <c r="D4262">
        <v>13.22</v>
      </c>
      <c r="E4262" t="s">
        <v>16</v>
      </c>
      <c r="F4262" t="s">
        <v>16</v>
      </c>
      <c r="H4262">
        <v>0.08</v>
      </c>
      <c r="I4262">
        <v>-0.75</v>
      </c>
      <c r="J4262">
        <v>-2.94</v>
      </c>
      <c r="L4262">
        <v>-0.7</v>
      </c>
      <c r="M4262">
        <v>10.75</v>
      </c>
      <c r="N4262">
        <v>0.01</v>
      </c>
      <c r="O4262">
        <v>0.25</v>
      </c>
    </row>
    <row r="4263" spans="1:15">
      <c r="A4263" t="str">
        <f>"603605"</f>
        <v>603605</v>
      </c>
      <c r="B4263" t="s">
        <v>4307</v>
      </c>
      <c r="C4263">
        <v>-2.05</v>
      </c>
      <c r="D4263">
        <v>64.64</v>
      </c>
      <c r="E4263" t="s">
        <v>16</v>
      </c>
      <c r="F4263" t="s">
        <v>16</v>
      </c>
      <c r="H4263">
        <v>0.03</v>
      </c>
      <c r="I4263">
        <v>-2.77</v>
      </c>
      <c r="J4263">
        <v>-3.67</v>
      </c>
      <c r="L4263">
        <v>-0.02</v>
      </c>
      <c r="M4263">
        <v>93.69</v>
      </c>
      <c r="N4263">
        <v>0.01</v>
      </c>
      <c r="O4263">
        <v>2.22</v>
      </c>
    </row>
    <row r="4264" spans="1:15">
      <c r="A4264" t="str">
        <f>"603606"</f>
        <v>603606</v>
      </c>
      <c r="B4264" t="s">
        <v>4308</v>
      </c>
      <c r="C4264">
        <v>-2.3</v>
      </c>
      <c r="D4264">
        <v>39.93</v>
      </c>
      <c r="E4264" t="s">
        <v>16</v>
      </c>
      <c r="F4264" t="s">
        <v>16</v>
      </c>
      <c r="H4264">
        <v>0.1</v>
      </c>
      <c r="I4264">
        <v>-2.96</v>
      </c>
      <c r="J4264">
        <v>-2.54</v>
      </c>
      <c r="L4264">
        <v>-0.29</v>
      </c>
      <c r="M4264">
        <v>219.64</v>
      </c>
      <c r="N4264">
        <v>0.01</v>
      </c>
      <c r="O4264">
        <v>0.58</v>
      </c>
    </row>
    <row r="4265" spans="1:15">
      <c r="A4265" t="str">
        <f>"603607"</f>
        <v>603607</v>
      </c>
      <c r="B4265" t="s">
        <v>4309</v>
      </c>
      <c r="C4265">
        <v>-4.83</v>
      </c>
      <c r="D4265">
        <v>19.7</v>
      </c>
      <c r="E4265" t="s">
        <v>16</v>
      </c>
      <c r="F4265" t="s">
        <v>16</v>
      </c>
      <c r="H4265">
        <v>0.1</v>
      </c>
      <c r="I4265">
        <v>-6.55</v>
      </c>
      <c r="J4265">
        <v>-4.69</v>
      </c>
      <c r="L4265">
        <v>-0.19</v>
      </c>
      <c r="M4265">
        <v>5.58</v>
      </c>
      <c r="N4265">
        <v>0</v>
      </c>
      <c r="O4265">
        <v>0.34</v>
      </c>
    </row>
    <row r="4266" spans="1:15">
      <c r="A4266" t="str">
        <f>"603608"</f>
        <v>603608</v>
      </c>
      <c r="B4266" t="s">
        <v>4310</v>
      </c>
      <c r="C4266">
        <v>-5.67</v>
      </c>
      <c r="D4266">
        <v>24.6</v>
      </c>
      <c r="E4266" t="s">
        <v>16</v>
      </c>
      <c r="F4266" t="s">
        <v>16</v>
      </c>
      <c r="H4266">
        <v>-0.27</v>
      </c>
      <c r="I4266">
        <v>25.19</v>
      </c>
      <c r="J4266">
        <v>-5.89</v>
      </c>
      <c r="L4266">
        <v>-4.64</v>
      </c>
      <c r="M4266">
        <v>1849.26</v>
      </c>
      <c r="N4266">
        <v>0.24</v>
      </c>
      <c r="O4266">
        <v>3.22</v>
      </c>
    </row>
    <row r="4267" spans="1:15">
      <c r="A4267" t="str">
        <f>"603609"</f>
        <v>603609</v>
      </c>
      <c r="B4267" t="s">
        <v>4311</v>
      </c>
      <c r="C4267">
        <v>-2.17</v>
      </c>
      <c r="D4267">
        <v>5.87</v>
      </c>
      <c r="E4267" t="s">
        <v>16</v>
      </c>
      <c r="F4267" t="s">
        <v>16</v>
      </c>
      <c r="H4267">
        <v>0.34</v>
      </c>
      <c r="I4267">
        <v>-4.86</v>
      </c>
      <c r="J4267">
        <v>-3.14</v>
      </c>
      <c r="L4267">
        <v>0.5</v>
      </c>
      <c r="M4267">
        <v>3.02</v>
      </c>
      <c r="N4267">
        <v>0</v>
      </c>
      <c r="O4267">
        <v>0.37</v>
      </c>
    </row>
    <row r="4268" spans="1:15">
      <c r="A4268" t="str">
        <f>"603610"</f>
        <v>603610</v>
      </c>
      <c r="B4268" t="s">
        <v>4312</v>
      </c>
      <c r="C4268">
        <v>1.51</v>
      </c>
      <c r="D4268">
        <v>18.78</v>
      </c>
      <c r="E4268" t="s">
        <v>16</v>
      </c>
      <c r="F4268" t="s">
        <v>16</v>
      </c>
      <c r="H4268">
        <v>-0.15</v>
      </c>
      <c r="I4268">
        <v>-2.8</v>
      </c>
      <c r="J4268">
        <v>-0.53</v>
      </c>
      <c r="L4268">
        <v>-0.92</v>
      </c>
      <c r="M4268">
        <v>72.22</v>
      </c>
      <c r="N4268">
        <v>0.03</v>
      </c>
      <c r="O4268">
        <v>2.23</v>
      </c>
    </row>
    <row r="4269" spans="1:15">
      <c r="A4269" t="str">
        <f>"603611"</f>
        <v>603611</v>
      </c>
      <c r="B4269" t="s">
        <v>4313</v>
      </c>
      <c r="C4269">
        <v>0</v>
      </c>
      <c r="D4269">
        <v>17.25</v>
      </c>
      <c r="E4269" t="s">
        <v>16</v>
      </c>
      <c r="F4269" t="s">
        <v>16</v>
      </c>
      <c r="H4269">
        <v>0</v>
      </c>
      <c r="I4269">
        <v>-3.85</v>
      </c>
      <c r="J4269">
        <v>-0.75</v>
      </c>
      <c r="L4269">
        <v>-0.35</v>
      </c>
      <c r="M4269">
        <v>17.88</v>
      </c>
      <c r="N4269">
        <v>0.01</v>
      </c>
      <c r="O4269">
        <v>2.36</v>
      </c>
    </row>
    <row r="4270" spans="1:15">
      <c r="A4270" t="str">
        <f>"603612"</f>
        <v>603612</v>
      </c>
      <c r="B4270" t="s">
        <v>4314</v>
      </c>
      <c r="C4270">
        <v>-3.23</v>
      </c>
      <c r="D4270">
        <v>19.76</v>
      </c>
      <c r="E4270" t="s">
        <v>16</v>
      </c>
      <c r="F4270" t="s">
        <v>16</v>
      </c>
      <c r="H4270">
        <v>0</v>
      </c>
      <c r="I4270">
        <v>-3.28</v>
      </c>
      <c r="J4270">
        <v>-5.64</v>
      </c>
      <c r="L4270">
        <v>-0.54</v>
      </c>
      <c r="M4270">
        <v>49.15</v>
      </c>
      <c r="N4270">
        <v>0.01</v>
      </c>
      <c r="O4270">
        <v>1.53</v>
      </c>
    </row>
    <row r="4271" spans="1:15">
      <c r="A4271" t="str">
        <f>"603613"</f>
        <v>603613</v>
      </c>
      <c r="B4271" t="s">
        <v>4315</v>
      </c>
      <c r="C4271">
        <v>-1.7</v>
      </c>
      <c r="D4271">
        <v>19.63</v>
      </c>
      <c r="E4271" t="s">
        <v>16</v>
      </c>
      <c r="F4271" t="s">
        <v>16</v>
      </c>
      <c r="H4271">
        <v>-0.04</v>
      </c>
      <c r="I4271">
        <v>-15.21</v>
      </c>
      <c r="J4271">
        <v>-2.82</v>
      </c>
      <c r="L4271">
        <v>-0.5</v>
      </c>
      <c r="M4271">
        <v>25.23</v>
      </c>
      <c r="N4271">
        <v>0</v>
      </c>
      <c r="O4271">
        <v>0.34</v>
      </c>
    </row>
    <row r="4272" spans="1:15">
      <c r="A4272" t="str">
        <f>"603615"</f>
        <v>603615</v>
      </c>
      <c r="B4272" t="s">
        <v>4316</v>
      </c>
      <c r="C4272">
        <v>1.17</v>
      </c>
      <c r="D4272">
        <v>18.12</v>
      </c>
      <c r="E4272" t="s">
        <v>16</v>
      </c>
      <c r="F4272" t="s">
        <v>16</v>
      </c>
      <c r="H4272">
        <v>0.17</v>
      </c>
      <c r="I4272">
        <v>-5.43</v>
      </c>
      <c r="J4272">
        <v>-2.32</v>
      </c>
      <c r="L4272">
        <v>0</v>
      </c>
      <c r="M4272">
        <v>1.61</v>
      </c>
      <c r="N4272">
        <v>0</v>
      </c>
      <c r="O4272">
        <v>0.19</v>
      </c>
    </row>
    <row r="4273" spans="1:15">
      <c r="A4273" t="str">
        <f>"603616"</f>
        <v>603616</v>
      </c>
      <c r="B4273" t="s">
        <v>4317</v>
      </c>
      <c r="C4273">
        <v>10.05</v>
      </c>
      <c r="D4273">
        <v>6.46</v>
      </c>
      <c r="E4273">
        <v>2680.71</v>
      </c>
      <c r="F4273">
        <v>1</v>
      </c>
      <c r="H4273">
        <v>0</v>
      </c>
      <c r="I4273">
        <v>10.43</v>
      </c>
      <c r="J4273">
        <v>0</v>
      </c>
      <c r="K4273" t="s">
        <v>140</v>
      </c>
      <c r="L4273">
        <v>0.68</v>
      </c>
      <c r="M4273">
        <v>380.19</v>
      </c>
      <c r="N4273">
        <v>0.26</v>
      </c>
      <c r="O4273">
        <v>2.03</v>
      </c>
    </row>
    <row r="4274" spans="1:15">
      <c r="A4274" t="str">
        <f>"603617"</f>
        <v>603617</v>
      </c>
      <c r="B4274" t="s">
        <v>4318</v>
      </c>
      <c r="C4274">
        <v>-2.38</v>
      </c>
      <c r="D4274">
        <v>7.37</v>
      </c>
      <c r="E4274" t="s">
        <v>16</v>
      </c>
      <c r="F4274" t="s">
        <v>16</v>
      </c>
      <c r="H4274">
        <v>0.27</v>
      </c>
      <c r="I4274">
        <v>1.52</v>
      </c>
      <c r="J4274">
        <v>-2.64</v>
      </c>
      <c r="L4274">
        <v>-1.06</v>
      </c>
      <c r="M4274">
        <v>14.12</v>
      </c>
      <c r="N4274">
        <v>0.01</v>
      </c>
      <c r="O4274">
        <v>0.4</v>
      </c>
    </row>
    <row r="4275" spans="1:15">
      <c r="A4275" t="str">
        <f>"603618"</f>
        <v>603618</v>
      </c>
      <c r="B4275" t="s">
        <v>4319</v>
      </c>
      <c r="C4275">
        <v>0.08</v>
      </c>
      <c r="D4275">
        <v>51.77</v>
      </c>
      <c r="E4275" t="s">
        <v>16</v>
      </c>
      <c r="F4275" t="s">
        <v>16</v>
      </c>
      <c r="H4275">
        <v>0.08</v>
      </c>
      <c r="I4275">
        <v>18.79</v>
      </c>
      <c r="J4275">
        <v>-2.83</v>
      </c>
      <c r="K4275" t="s">
        <v>296</v>
      </c>
      <c r="L4275">
        <v>-1.41</v>
      </c>
      <c r="M4275">
        <v>7064.52</v>
      </c>
      <c r="N4275">
        <v>0.42</v>
      </c>
      <c r="O4275">
        <v>0.95</v>
      </c>
    </row>
    <row r="4276" spans="1:15">
      <c r="A4276" t="str">
        <f>"603619"</f>
        <v>603619</v>
      </c>
      <c r="B4276" t="s">
        <v>4320</v>
      </c>
      <c r="C4276">
        <v>-0.8</v>
      </c>
      <c r="D4276">
        <v>22.42</v>
      </c>
      <c r="E4276" t="s">
        <v>16</v>
      </c>
      <c r="F4276" t="s">
        <v>16</v>
      </c>
      <c r="H4276">
        <v>0.09</v>
      </c>
      <c r="I4276">
        <v>-12.76</v>
      </c>
      <c r="J4276">
        <v>-2.18</v>
      </c>
      <c r="L4276">
        <v>0.35</v>
      </c>
      <c r="M4276">
        <v>156.95</v>
      </c>
      <c r="N4276">
        <v>0.02</v>
      </c>
      <c r="O4276">
        <v>0.49</v>
      </c>
    </row>
    <row r="4277" spans="1:15">
      <c r="A4277" t="str">
        <f>"603626"</f>
        <v>603626</v>
      </c>
      <c r="B4277" t="s">
        <v>4321</v>
      </c>
      <c r="C4277">
        <v>-1.07</v>
      </c>
      <c r="D4277">
        <v>21.18</v>
      </c>
      <c r="E4277" t="s">
        <v>16</v>
      </c>
      <c r="F4277" t="s">
        <v>16</v>
      </c>
      <c r="H4277">
        <v>0.09</v>
      </c>
      <c r="I4277">
        <v>-8.23</v>
      </c>
      <c r="J4277">
        <v>-2.22</v>
      </c>
      <c r="L4277">
        <v>-0.23</v>
      </c>
      <c r="M4277">
        <v>716.63</v>
      </c>
      <c r="N4277">
        <v>0.09</v>
      </c>
      <c r="O4277">
        <v>6.26</v>
      </c>
    </row>
    <row r="4278" spans="1:15">
      <c r="A4278" t="str">
        <f>"603628"</f>
        <v>603628</v>
      </c>
      <c r="B4278" t="s">
        <v>4322</v>
      </c>
      <c r="C4278">
        <v>-0.8</v>
      </c>
      <c r="D4278">
        <v>9.94</v>
      </c>
      <c r="E4278" t="s">
        <v>16</v>
      </c>
      <c r="F4278" t="s">
        <v>16</v>
      </c>
      <c r="H4278">
        <v>0</v>
      </c>
      <c r="I4278">
        <v>-5.51</v>
      </c>
      <c r="J4278">
        <v>-0.9</v>
      </c>
      <c r="L4278">
        <v>0</v>
      </c>
      <c r="M4278">
        <v>10.82</v>
      </c>
      <c r="N4278">
        <v>0.01</v>
      </c>
      <c r="O4278">
        <v>1.77</v>
      </c>
    </row>
    <row r="4279" spans="1:15">
      <c r="A4279" t="str">
        <f>"603629"</f>
        <v>603629</v>
      </c>
      <c r="B4279" t="s">
        <v>4323</v>
      </c>
      <c r="C4279">
        <v>7</v>
      </c>
      <c r="D4279">
        <v>176.58</v>
      </c>
      <c r="E4279" t="s">
        <v>16</v>
      </c>
      <c r="F4279" t="s">
        <v>16</v>
      </c>
      <c r="H4279">
        <v>0.2</v>
      </c>
      <c r="I4279">
        <v>-11.9</v>
      </c>
      <c r="J4279">
        <v>-0.8</v>
      </c>
      <c r="K4279" t="s">
        <v>57</v>
      </c>
      <c r="L4279">
        <v>1.99</v>
      </c>
      <c r="M4279">
        <v>8351.54</v>
      </c>
      <c r="N4279">
        <v>0.35</v>
      </c>
      <c r="O4279">
        <v>2.17</v>
      </c>
    </row>
    <row r="4280" spans="1:15">
      <c r="A4280" t="str">
        <f>"603630"</f>
        <v>603630</v>
      </c>
      <c r="B4280" t="s">
        <v>4324</v>
      </c>
      <c r="C4280">
        <v>0</v>
      </c>
      <c r="D4280">
        <v>12.9</v>
      </c>
      <c r="E4280" t="s">
        <v>16</v>
      </c>
      <c r="F4280" t="s">
        <v>16</v>
      </c>
      <c r="H4280">
        <v>-0.14</v>
      </c>
      <c r="I4280">
        <v>-4.8</v>
      </c>
      <c r="J4280">
        <v>-1.6</v>
      </c>
      <c r="L4280">
        <v>-1.01</v>
      </c>
      <c r="M4280">
        <v>7.02</v>
      </c>
      <c r="N4280">
        <v>0.01</v>
      </c>
      <c r="O4280">
        <v>0.6</v>
      </c>
    </row>
    <row r="4281" spans="1:15">
      <c r="A4281" t="str">
        <f>"603633"</f>
        <v>603633</v>
      </c>
      <c r="B4281" t="s">
        <v>4325</v>
      </c>
      <c r="C4281">
        <v>0.62</v>
      </c>
      <c r="D4281">
        <v>8.07</v>
      </c>
      <c r="E4281" t="s">
        <v>16</v>
      </c>
      <c r="F4281" t="s">
        <v>16</v>
      </c>
      <c r="H4281">
        <v>0.25</v>
      </c>
      <c r="I4281">
        <v>-6.38</v>
      </c>
      <c r="J4281">
        <v>-5.94</v>
      </c>
      <c r="L4281">
        <v>-0.75</v>
      </c>
      <c r="M4281">
        <v>67.1</v>
      </c>
      <c r="N4281">
        <v>0.03</v>
      </c>
      <c r="O4281">
        <v>6.48</v>
      </c>
    </row>
    <row r="4282" spans="1:15">
      <c r="A4282" t="str">
        <f>"603636"</f>
        <v>603636</v>
      </c>
      <c r="B4282" t="s">
        <v>4326</v>
      </c>
      <c r="C4282">
        <v>-1.93</v>
      </c>
      <c r="D4282">
        <v>9.15</v>
      </c>
      <c r="E4282" t="s">
        <v>16</v>
      </c>
      <c r="F4282" t="s">
        <v>16</v>
      </c>
      <c r="H4282">
        <v>0.11</v>
      </c>
      <c r="I4282">
        <v>2.12</v>
      </c>
      <c r="J4282">
        <v>-2.87</v>
      </c>
      <c r="L4282">
        <v>0</v>
      </c>
      <c r="M4282">
        <v>146.67</v>
      </c>
      <c r="N4282">
        <v>0.04</v>
      </c>
      <c r="O4282">
        <v>0.62</v>
      </c>
    </row>
    <row r="4283" spans="1:15">
      <c r="A4283" t="str">
        <f>"603637"</f>
        <v>603637</v>
      </c>
      <c r="B4283" t="s">
        <v>4327</v>
      </c>
      <c r="C4283">
        <v>2.46</v>
      </c>
      <c r="D4283">
        <v>18.72</v>
      </c>
      <c r="E4283" t="s">
        <v>16</v>
      </c>
      <c r="F4283" t="s">
        <v>16</v>
      </c>
      <c r="H4283">
        <v>-0.1</v>
      </c>
      <c r="I4283">
        <v>10.25</v>
      </c>
      <c r="J4283">
        <v>-2.5</v>
      </c>
      <c r="K4283" t="s">
        <v>54</v>
      </c>
      <c r="L4283">
        <v>0</v>
      </c>
      <c r="M4283">
        <v>431.76</v>
      </c>
      <c r="N4283">
        <v>0.13</v>
      </c>
      <c r="O4283">
        <v>10.01</v>
      </c>
    </row>
    <row r="4284" spans="1:15">
      <c r="A4284" t="str">
        <f>"603638"</f>
        <v>603638</v>
      </c>
      <c r="B4284" t="s">
        <v>4328</v>
      </c>
      <c r="C4284">
        <v>3.52</v>
      </c>
      <c r="D4284">
        <v>24.98</v>
      </c>
      <c r="E4284" t="s">
        <v>16</v>
      </c>
      <c r="F4284" t="s">
        <v>16</v>
      </c>
      <c r="H4284">
        <v>-0.11</v>
      </c>
      <c r="I4284">
        <v>14.69</v>
      </c>
      <c r="J4284">
        <v>-1.65</v>
      </c>
      <c r="L4284">
        <v>-0.12</v>
      </c>
      <c r="M4284">
        <v>117.85</v>
      </c>
      <c r="N4284">
        <v>0.02</v>
      </c>
      <c r="O4284">
        <v>2.03</v>
      </c>
    </row>
    <row r="4285" spans="1:15">
      <c r="A4285" t="str">
        <f>"603639"</f>
        <v>603639</v>
      </c>
      <c r="B4285" t="s">
        <v>4329</v>
      </c>
      <c r="C4285">
        <v>-1.24</v>
      </c>
      <c r="D4285">
        <v>10.37</v>
      </c>
      <c r="E4285" t="s">
        <v>16</v>
      </c>
      <c r="F4285" t="s">
        <v>16</v>
      </c>
      <c r="H4285">
        <v>-0.18</v>
      </c>
      <c r="I4285">
        <v>-4.86</v>
      </c>
      <c r="J4285">
        <v>-1.61</v>
      </c>
      <c r="L4285">
        <v>0</v>
      </c>
      <c r="M4285">
        <v>5.67</v>
      </c>
      <c r="N4285">
        <v>0</v>
      </c>
      <c r="O4285">
        <v>3</v>
      </c>
    </row>
    <row r="4286" spans="1:15">
      <c r="A4286" t="str">
        <f>"603648"</f>
        <v>603648</v>
      </c>
      <c r="B4286" t="s">
        <v>4330</v>
      </c>
      <c r="C4286">
        <v>0.95</v>
      </c>
      <c r="D4286">
        <v>8.5</v>
      </c>
      <c r="E4286" t="s">
        <v>16</v>
      </c>
      <c r="F4286" t="s">
        <v>16</v>
      </c>
      <c r="H4286">
        <v>0.12</v>
      </c>
      <c r="I4286">
        <v>-4.17</v>
      </c>
      <c r="J4286">
        <v>-0.12</v>
      </c>
      <c r="L4286">
        <v>0.48</v>
      </c>
      <c r="M4286">
        <v>0.17</v>
      </c>
      <c r="N4286">
        <v>0</v>
      </c>
      <c r="O4286">
        <v>0.15</v>
      </c>
    </row>
    <row r="4287" spans="1:15">
      <c r="A4287" t="str">
        <f>"603650"</f>
        <v>603650</v>
      </c>
      <c r="B4287" t="s">
        <v>4331</v>
      </c>
      <c r="C4287">
        <v>-2.71</v>
      </c>
      <c r="D4287">
        <v>65.98</v>
      </c>
      <c r="E4287" t="s">
        <v>16</v>
      </c>
      <c r="F4287" t="s">
        <v>16</v>
      </c>
      <c r="H4287">
        <v>0.37</v>
      </c>
      <c r="I4287">
        <v>22.98</v>
      </c>
      <c r="J4287">
        <v>-1.52</v>
      </c>
      <c r="L4287">
        <v>-1.5</v>
      </c>
      <c r="M4287">
        <v>1155.64</v>
      </c>
      <c r="N4287">
        <v>0.07</v>
      </c>
      <c r="O4287">
        <v>0.8</v>
      </c>
    </row>
    <row r="4288" spans="1:15">
      <c r="A4288" t="str">
        <f>"603655"</f>
        <v>603655</v>
      </c>
      <c r="B4288" t="s">
        <v>4332</v>
      </c>
      <c r="C4288">
        <v>0.79</v>
      </c>
      <c r="D4288">
        <v>32.08</v>
      </c>
      <c r="E4288" t="s">
        <v>16</v>
      </c>
      <c r="F4288" t="s">
        <v>16</v>
      </c>
      <c r="H4288">
        <v>0.03</v>
      </c>
      <c r="I4288">
        <v>-11.92</v>
      </c>
      <c r="J4288">
        <v>-2.05</v>
      </c>
      <c r="L4288">
        <v>-0.31</v>
      </c>
      <c r="M4288">
        <v>2.86</v>
      </c>
      <c r="N4288">
        <v>0</v>
      </c>
      <c r="O4288">
        <v>0.09</v>
      </c>
    </row>
    <row r="4289" spans="1:15">
      <c r="A4289" t="str">
        <f>"603656"</f>
        <v>603656</v>
      </c>
      <c r="B4289" t="s">
        <v>4333</v>
      </c>
      <c r="C4289">
        <v>1.92</v>
      </c>
      <c r="D4289">
        <v>18.55</v>
      </c>
      <c r="E4289" t="s">
        <v>16</v>
      </c>
      <c r="F4289" t="s">
        <v>16</v>
      </c>
      <c r="H4289">
        <v>-0.15</v>
      </c>
      <c r="I4289">
        <v>-5.41</v>
      </c>
      <c r="J4289">
        <v>-2.32</v>
      </c>
      <c r="L4289">
        <v>-0.55</v>
      </c>
      <c r="M4289">
        <v>2.17</v>
      </c>
      <c r="N4289">
        <v>0</v>
      </c>
      <c r="O4289">
        <v>0.23</v>
      </c>
    </row>
    <row r="4290" spans="1:15">
      <c r="A4290" t="str">
        <f>"603657"</f>
        <v>603657</v>
      </c>
      <c r="B4290" t="s">
        <v>4334</v>
      </c>
      <c r="C4290">
        <v>-4.9</v>
      </c>
      <c r="D4290">
        <v>23.3</v>
      </c>
      <c r="E4290" t="s">
        <v>16</v>
      </c>
      <c r="F4290" t="s">
        <v>16</v>
      </c>
      <c r="H4290">
        <v>-0.12</v>
      </c>
      <c r="I4290">
        <v>-9.79</v>
      </c>
      <c r="J4290">
        <v>-5.86</v>
      </c>
      <c r="L4290">
        <v>-1.35</v>
      </c>
      <c r="M4290">
        <v>50.52</v>
      </c>
      <c r="N4290">
        <v>0.05</v>
      </c>
      <c r="O4290">
        <v>0.44</v>
      </c>
    </row>
    <row r="4291" spans="1:15">
      <c r="A4291" t="str">
        <f>"603658"</f>
        <v>603658</v>
      </c>
      <c r="B4291" t="s">
        <v>4335</v>
      </c>
      <c r="C4291">
        <v>-1.74</v>
      </c>
      <c r="D4291">
        <v>30.49</v>
      </c>
      <c r="E4291" t="s">
        <v>16</v>
      </c>
      <c r="F4291" t="s">
        <v>16</v>
      </c>
      <c r="H4291">
        <v>-0.19</v>
      </c>
      <c r="I4291">
        <v>-0.29</v>
      </c>
      <c r="J4291">
        <v>-1.96</v>
      </c>
      <c r="L4291">
        <v>0.23</v>
      </c>
      <c r="M4291">
        <v>11.2</v>
      </c>
      <c r="N4291">
        <v>0</v>
      </c>
      <c r="O4291">
        <v>1.29</v>
      </c>
    </row>
    <row r="4292" spans="1:15">
      <c r="A4292" t="str">
        <f>"603659"</f>
        <v>603659</v>
      </c>
      <c r="B4292" t="s">
        <v>4336</v>
      </c>
      <c r="C4292">
        <v>-0.03</v>
      </c>
      <c r="D4292">
        <v>29.5</v>
      </c>
      <c r="E4292" t="s">
        <v>16</v>
      </c>
      <c r="F4292" t="s">
        <v>16</v>
      </c>
      <c r="H4292">
        <v>-0.26</v>
      </c>
      <c r="I4292">
        <v>3.87</v>
      </c>
      <c r="J4292">
        <v>-1.8</v>
      </c>
      <c r="L4292">
        <v>-0.14</v>
      </c>
      <c r="M4292">
        <v>226.33</v>
      </c>
      <c r="N4292">
        <v>0.01</v>
      </c>
      <c r="O4292">
        <v>0.51</v>
      </c>
    </row>
    <row r="4293" spans="1:15">
      <c r="A4293" t="str">
        <f>"603660"</f>
        <v>603660</v>
      </c>
      <c r="B4293" t="s">
        <v>4337</v>
      </c>
      <c r="C4293">
        <v>0</v>
      </c>
      <c r="D4293">
        <v>12.17</v>
      </c>
      <c r="E4293" t="s">
        <v>16</v>
      </c>
      <c r="F4293" t="s">
        <v>16</v>
      </c>
      <c r="H4293">
        <v>0</v>
      </c>
      <c r="I4293">
        <v>2.18</v>
      </c>
      <c r="J4293">
        <v>-1.46</v>
      </c>
      <c r="L4293">
        <v>0</v>
      </c>
      <c r="M4293">
        <v>79.35</v>
      </c>
      <c r="N4293">
        <v>0.01</v>
      </c>
      <c r="O4293">
        <v>0.9</v>
      </c>
    </row>
    <row r="4294" spans="1:15">
      <c r="A4294" t="str">
        <f>"603661"</f>
        <v>603661</v>
      </c>
      <c r="B4294" t="s">
        <v>4338</v>
      </c>
      <c r="C4294">
        <v>-3.45</v>
      </c>
      <c r="D4294">
        <v>32.48</v>
      </c>
      <c r="E4294" t="s">
        <v>16</v>
      </c>
      <c r="F4294" t="s">
        <v>16</v>
      </c>
      <c r="H4294">
        <v>-0.45</v>
      </c>
      <c r="I4294">
        <v>-10.79</v>
      </c>
      <c r="J4294">
        <v>-4.95</v>
      </c>
      <c r="L4294">
        <v>-0.62</v>
      </c>
      <c r="M4294">
        <v>131.38</v>
      </c>
      <c r="N4294">
        <v>0.1</v>
      </c>
      <c r="O4294">
        <v>0.76</v>
      </c>
    </row>
    <row r="4295" spans="1:15">
      <c r="A4295" t="str">
        <f>"603662"</f>
        <v>603662</v>
      </c>
      <c r="B4295" t="s">
        <v>4339</v>
      </c>
      <c r="C4295">
        <v>-0.33</v>
      </c>
      <c r="D4295">
        <v>70.09</v>
      </c>
      <c r="E4295" t="s">
        <v>16</v>
      </c>
      <c r="F4295" t="s">
        <v>16</v>
      </c>
      <c r="H4295">
        <v>0.06</v>
      </c>
      <c r="I4295">
        <v>11.38</v>
      </c>
      <c r="J4295">
        <v>-2.56</v>
      </c>
      <c r="L4295">
        <v>-0.9</v>
      </c>
      <c r="M4295">
        <v>322.66</v>
      </c>
      <c r="N4295">
        <v>0.04</v>
      </c>
      <c r="O4295">
        <v>0.51</v>
      </c>
    </row>
    <row r="4296" spans="1:15">
      <c r="A4296" t="str">
        <f>"603663"</f>
        <v>603663</v>
      </c>
      <c r="B4296" t="s">
        <v>4340</v>
      </c>
      <c r="C4296">
        <v>9.99</v>
      </c>
      <c r="D4296">
        <v>87.49</v>
      </c>
      <c r="E4296">
        <v>3651.83</v>
      </c>
      <c r="F4296">
        <v>1</v>
      </c>
      <c r="H4296">
        <v>0</v>
      </c>
      <c r="I4296">
        <v>30.78</v>
      </c>
      <c r="J4296">
        <v>0</v>
      </c>
      <c r="K4296" t="s">
        <v>233</v>
      </c>
      <c r="L4296">
        <v>4.68</v>
      </c>
      <c r="M4296">
        <v>5508.09</v>
      </c>
      <c r="N4296">
        <v>0.36</v>
      </c>
      <c r="O4296">
        <v>2.42</v>
      </c>
    </row>
    <row r="4297" spans="1:15">
      <c r="A4297" t="str">
        <f>"603665"</f>
        <v>603665</v>
      </c>
      <c r="B4297" t="s">
        <v>4341</v>
      </c>
      <c r="C4297">
        <v>8.99</v>
      </c>
      <c r="D4297">
        <v>28.61</v>
      </c>
      <c r="E4297" t="s">
        <v>16</v>
      </c>
      <c r="F4297" t="s">
        <v>16</v>
      </c>
      <c r="H4297">
        <v>0.07</v>
      </c>
      <c r="I4297">
        <v>6.08</v>
      </c>
      <c r="J4297">
        <v>-0.83</v>
      </c>
      <c r="L4297">
        <v>0.15</v>
      </c>
      <c r="M4297">
        <v>1.84</v>
      </c>
      <c r="N4297">
        <v>0</v>
      </c>
      <c r="O4297">
        <v>1.4</v>
      </c>
    </row>
    <row r="4298" spans="1:15">
      <c r="A4298" t="str">
        <f>"603666"</f>
        <v>603666</v>
      </c>
      <c r="B4298" t="s">
        <v>4342</v>
      </c>
      <c r="C4298">
        <v>3.27</v>
      </c>
      <c r="D4298">
        <v>27.83</v>
      </c>
      <c r="E4298" t="s">
        <v>16</v>
      </c>
      <c r="F4298" t="s">
        <v>16</v>
      </c>
      <c r="H4298">
        <v>-0.1</v>
      </c>
      <c r="I4298">
        <v>-0.78</v>
      </c>
      <c r="J4298">
        <v>-2.56</v>
      </c>
      <c r="L4298">
        <v>-1.3</v>
      </c>
      <c r="M4298">
        <v>15.69</v>
      </c>
      <c r="N4298">
        <v>0</v>
      </c>
      <c r="O4298">
        <v>2.46</v>
      </c>
    </row>
    <row r="4299" spans="1:15">
      <c r="A4299" t="str">
        <f>"603667"</f>
        <v>603667</v>
      </c>
      <c r="B4299" t="s">
        <v>4343</v>
      </c>
      <c r="C4299">
        <v>1.82</v>
      </c>
      <c r="D4299">
        <v>67.73</v>
      </c>
      <c r="E4299" t="s">
        <v>16</v>
      </c>
      <c r="F4299" t="s">
        <v>16</v>
      </c>
      <c r="H4299">
        <v>0.03</v>
      </c>
      <c r="I4299">
        <v>-5.56</v>
      </c>
      <c r="J4299">
        <v>-1.04</v>
      </c>
      <c r="L4299">
        <v>0.35</v>
      </c>
      <c r="M4299">
        <v>686.19</v>
      </c>
      <c r="N4299">
        <v>0.04</v>
      </c>
      <c r="O4299">
        <v>2.44</v>
      </c>
    </row>
    <row r="4300" spans="1:15">
      <c r="A4300" t="str">
        <f>"603668"</f>
        <v>603668</v>
      </c>
      <c r="B4300" t="s">
        <v>4344</v>
      </c>
      <c r="C4300">
        <v>4.02</v>
      </c>
      <c r="D4300">
        <v>11.13</v>
      </c>
      <c r="E4300" t="s">
        <v>16</v>
      </c>
      <c r="F4300" t="s">
        <v>16</v>
      </c>
      <c r="H4300">
        <v>0.36</v>
      </c>
      <c r="I4300">
        <v>0.54</v>
      </c>
      <c r="J4300">
        <v>-0.18</v>
      </c>
      <c r="L4300">
        <v>-1.87</v>
      </c>
      <c r="M4300">
        <v>35.39</v>
      </c>
      <c r="N4300">
        <v>0.01</v>
      </c>
      <c r="O4300">
        <v>0.6</v>
      </c>
    </row>
    <row r="4301" spans="1:15">
      <c r="A4301" t="str">
        <f>"603669"</f>
        <v>603669</v>
      </c>
      <c r="B4301" t="s">
        <v>4345</v>
      </c>
      <c r="C4301">
        <v>0.62</v>
      </c>
      <c r="D4301">
        <v>4.85</v>
      </c>
      <c r="E4301" t="s">
        <v>16</v>
      </c>
      <c r="F4301" t="s">
        <v>16</v>
      </c>
      <c r="H4301">
        <v>0</v>
      </c>
      <c r="I4301">
        <v>19.16</v>
      </c>
      <c r="J4301">
        <v>-0.82</v>
      </c>
      <c r="L4301">
        <v>-1.04</v>
      </c>
      <c r="M4301">
        <v>63.15</v>
      </c>
      <c r="N4301">
        <v>0.04</v>
      </c>
      <c r="O4301">
        <v>3.56</v>
      </c>
    </row>
    <row r="4302" spans="1:15">
      <c r="A4302" t="str">
        <f>"603676"</f>
        <v>603676</v>
      </c>
      <c r="B4302" t="s">
        <v>4346</v>
      </c>
      <c r="C4302">
        <v>0.47</v>
      </c>
      <c r="D4302">
        <v>8.64</v>
      </c>
      <c r="E4302" t="s">
        <v>16</v>
      </c>
      <c r="F4302" t="s">
        <v>16</v>
      </c>
      <c r="H4302">
        <v>-0.11</v>
      </c>
      <c r="I4302">
        <v>-2.7</v>
      </c>
      <c r="J4302">
        <v>-1.26</v>
      </c>
      <c r="L4302">
        <v>0</v>
      </c>
      <c r="M4302">
        <v>3.27</v>
      </c>
      <c r="N4302">
        <v>0</v>
      </c>
      <c r="O4302">
        <v>1.73</v>
      </c>
    </row>
    <row r="4303" spans="1:15">
      <c r="A4303" t="str">
        <f>"603677"</f>
        <v>603677</v>
      </c>
      <c r="B4303" t="s">
        <v>4347</v>
      </c>
      <c r="C4303">
        <v>-2.89</v>
      </c>
      <c r="D4303">
        <v>13.45</v>
      </c>
      <c r="E4303" t="s">
        <v>16</v>
      </c>
      <c r="F4303" t="s">
        <v>16</v>
      </c>
      <c r="H4303">
        <v>-0.06</v>
      </c>
      <c r="I4303">
        <v>-15.62</v>
      </c>
      <c r="J4303">
        <v>-3.93</v>
      </c>
      <c r="L4303">
        <v>-0.22</v>
      </c>
      <c r="M4303">
        <v>6.22</v>
      </c>
      <c r="N4303">
        <v>0.01</v>
      </c>
      <c r="O4303">
        <v>1.36</v>
      </c>
    </row>
    <row r="4304" spans="1:15">
      <c r="A4304" t="str">
        <f>"603678"</f>
        <v>603678</v>
      </c>
      <c r="B4304" t="s">
        <v>4348</v>
      </c>
      <c r="C4304">
        <v>-2.81</v>
      </c>
      <c r="D4304">
        <v>67.75</v>
      </c>
      <c r="E4304" t="s">
        <v>16</v>
      </c>
      <c r="F4304" t="s">
        <v>16</v>
      </c>
      <c r="H4304">
        <v>-0.05</v>
      </c>
      <c r="I4304">
        <v>5.09</v>
      </c>
      <c r="J4304">
        <v>-9.43</v>
      </c>
      <c r="K4304" t="s">
        <v>971</v>
      </c>
      <c r="L4304">
        <v>-2.45</v>
      </c>
      <c r="M4304">
        <v>1981.52</v>
      </c>
      <c r="N4304">
        <v>0.1</v>
      </c>
      <c r="O4304">
        <v>0.36</v>
      </c>
    </row>
    <row r="4305" spans="1:15">
      <c r="A4305" t="str">
        <f>"603679"</f>
        <v>603679</v>
      </c>
      <c r="B4305" t="s">
        <v>4349</v>
      </c>
      <c r="C4305">
        <v>10.01</v>
      </c>
      <c r="D4305">
        <v>21.43</v>
      </c>
      <c r="E4305">
        <v>3270.22</v>
      </c>
      <c r="F4305">
        <v>1</v>
      </c>
      <c r="H4305">
        <v>0</v>
      </c>
      <c r="I4305">
        <v>31.31</v>
      </c>
      <c r="J4305">
        <v>0</v>
      </c>
      <c r="K4305" t="s">
        <v>140</v>
      </c>
      <c r="L4305">
        <v>-0.98</v>
      </c>
      <c r="M4305">
        <v>9.07</v>
      </c>
      <c r="N4305">
        <v>0</v>
      </c>
      <c r="O4305">
        <v>0.42</v>
      </c>
    </row>
    <row r="4306" spans="1:15">
      <c r="A4306" t="str">
        <f>"603680"</f>
        <v>603680</v>
      </c>
      <c r="B4306" t="s">
        <v>4350</v>
      </c>
      <c r="C4306">
        <v>-1.91</v>
      </c>
      <c r="D4306">
        <v>10.8</v>
      </c>
      <c r="E4306" t="s">
        <v>16</v>
      </c>
      <c r="F4306" t="s">
        <v>16</v>
      </c>
      <c r="H4306">
        <v>0.09</v>
      </c>
      <c r="I4306">
        <v>-8.01</v>
      </c>
      <c r="J4306">
        <v>-2.09</v>
      </c>
      <c r="L4306">
        <v>-0.64</v>
      </c>
      <c r="M4306">
        <v>1.75</v>
      </c>
      <c r="N4306">
        <v>0</v>
      </c>
      <c r="O4306">
        <v>0.52</v>
      </c>
    </row>
    <row r="4307" spans="1:15">
      <c r="A4307" t="str">
        <f>"603681"</f>
        <v>603681</v>
      </c>
      <c r="B4307" t="s">
        <v>4351</v>
      </c>
      <c r="C4307">
        <v>-5.19</v>
      </c>
      <c r="D4307">
        <v>24.84</v>
      </c>
      <c r="E4307" t="s">
        <v>16</v>
      </c>
      <c r="F4307" t="s">
        <v>16</v>
      </c>
      <c r="H4307">
        <v>-0.15</v>
      </c>
      <c r="I4307">
        <v>-6.62</v>
      </c>
      <c r="J4307">
        <v>-4.39</v>
      </c>
      <c r="K4307" t="s">
        <v>57</v>
      </c>
      <c r="L4307">
        <v>-0.99</v>
      </c>
      <c r="M4307">
        <v>602.33</v>
      </c>
      <c r="N4307">
        <v>0.14</v>
      </c>
      <c r="O4307">
        <v>0.51</v>
      </c>
    </row>
    <row r="4308" spans="1:15">
      <c r="A4308" t="str">
        <f>"603682"</f>
        <v>603682</v>
      </c>
      <c r="B4308" t="s">
        <v>4352</v>
      </c>
      <c r="C4308">
        <v>-2.24</v>
      </c>
      <c r="D4308">
        <v>7.86</v>
      </c>
      <c r="E4308" t="s">
        <v>16</v>
      </c>
      <c r="F4308" t="s">
        <v>16</v>
      </c>
      <c r="H4308">
        <v>-0.37</v>
      </c>
      <c r="I4308">
        <v>-8.18</v>
      </c>
      <c r="J4308">
        <v>-1.75</v>
      </c>
      <c r="L4308">
        <v>-0.87</v>
      </c>
      <c r="M4308">
        <v>5.42</v>
      </c>
      <c r="N4308">
        <v>0</v>
      </c>
      <c r="O4308">
        <v>0.07</v>
      </c>
    </row>
    <row r="4309" spans="1:15">
      <c r="A4309" t="str">
        <f>"603683"</f>
        <v>603683</v>
      </c>
      <c r="B4309" t="s">
        <v>4353</v>
      </c>
      <c r="C4309">
        <v>2.95</v>
      </c>
      <c r="D4309">
        <v>32.8</v>
      </c>
      <c r="E4309" t="s">
        <v>16</v>
      </c>
      <c r="F4309" t="s">
        <v>16</v>
      </c>
      <c r="H4309">
        <v>0.34</v>
      </c>
      <c r="I4309">
        <v>4.73</v>
      </c>
      <c r="J4309">
        <v>-1</v>
      </c>
      <c r="L4309">
        <v>0</v>
      </c>
      <c r="M4309">
        <v>124.89</v>
      </c>
      <c r="N4309">
        <v>0.02</v>
      </c>
      <c r="O4309">
        <v>0.59</v>
      </c>
    </row>
    <row r="4310" spans="1:15">
      <c r="A4310" t="str">
        <f>"603685"</f>
        <v>603685</v>
      </c>
      <c r="B4310" t="s">
        <v>4354</v>
      </c>
      <c r="C4310">
        <v>-2.3</v>
      </c>
      <c r="D4310">
        <v>31.07</v>
      </c>
      <c r="E4310" t="s">
        <v>16</v>
      </c>
      <c r="F4310" t="s">
        <v>16</v>
      </c>
      <c r="H4310">
        <v>0.03</v>
      </c>
      <c r="I4310">
        <v>-7.8</v>
      </c>
      <c r="J4310">
        <v>-2.2</v>
      </c>
      <c r="L4310">
        <v>-0.94</v>
      </c>
      <c r="M4310">
        <v>37.17</v>
      </c>
      <c r="N4310">
        <v>0.01</v>
      </c>
      <c r="O4310">
        <v>2.57</v>
      </c>
    </row>
    <row r="4311" spans="1:15">
      <c r="A4311" t="str">
        <f>"603686"</f>
        <v>603686</v>
      </c>
      <c r="B4311" t="s">
        <v>4355</v>
      </c>
      <c r="C4311">
        <v>-0.42</v>
      </c>
      <c r="D4311">
        <v>14.23</v>
      </c>
      <c r="E4311" t="s">
        <v>16</v>
      </c>
      <c r="F4311" t="s">
        <v>16</v>
      </c>
      <c r="H4311">
        <v>0</v>
      </c>
      <c r="I4311">
        <v>-5.51</v>
      </c>
      <c r="J4311">
        <v>-2.13</v>
      </c>
      <c r="L4311">
        <v>-0.42</v>
      </c>
      <c r="M4311">
        <v>87.37</v>
      </c>
      <c r="N4311">
        <v>0.02</v>
      </c>
      <c r="O4311">
        <v>3.53</v>
      </c>
    </row>
    <row r="4312" spans="1:15">
      <c r="A4312" t="str">
        <f>"603687"</f>
        <v>603687</v>
      </c>
      <c r="B4312" t="s">
        <v>4356</v>
      </c>
      <c r="C4312">
        <v>5.42</v>
      </c>
      <c r="D4312">
        <v>19.45</v>
      </c>
      <c r="E4312" t="s">
        <v>16</v>
      </c>
      <c r="F4312" t="s">
        <v>16</v>
      </c>
      <c r="H4312">
        <v>-0.2</v>
      </c>
      <c r="I4312">
        <v>5.14</v>
      </c>
      <c r="J4312">
        <v>-1.77</v>
      </c>
      <c r="L4312">
        <v>-1.63</v>
      </c>
      <c r="M4312">
        <v>204.37</v>
      </c>
      <c r="N4312">
        <v>0.04</v>
      </c>
      <c r="O4312">
        <v>0.88</v>
      </c>
    </row>
    <row r="4313" spans="1:15">
      <c r="A4313" t="str">
        <f>"603688"</f>
        <v>603688</v>
      </c>
      <c r="B4313" t="s">
        <v>4357</v>
      </c>
      <c r="C4313">
        <v>1.53</v>
      </c>
      <c r="D4313">
        <v>80.55</v>
      </c>
      <c r="E4313" t="s">
        <v>16</v>
      </c>
      <c r="F4313" t="s">
        <v>16</v>
      </c>
      <c r="H4313">
        <v>-0.03</v>
      </c>
      <c r="I4313">
        <v>21.51</v>
      </c>
      <c r="J4313">
        <v>-3.01</v>
      </c>
      <c r="L4313">
        <v>-1.69</v>
      </c>
      <c r="M4313">
        <v>1255.8</v>
      </c>
      <c r="N4313">
        <v>0.06</v>
      </c>
      <c r="O4313">
        <v>0.66</v>
      </c>
    </row>
    <row r="4314" spans="1:15">
      <c r="A4314" t="str">
        <f>"603689"</f>
        <v>603689</v>
      </c>
      <c r="B4314" t="s">
        <v>4358</v>
      </c>
      <c r="C4314">
        <v>-1.59</v>
      </c>
      <c r="D4314">
        <v>7.43</v>
      </c>
      <c r="E4314" t="s">
        <v>16</v>
      </c>
      <c r="F4314" t="s">
        <v>16</v>
      </c>
      <c r="H4314">
        <v>0.13</v>
      </c>
      <c r="I4314">
        <v>-6.31</v>
      </c>
      <c r="J4314">
        <v>-1.85</v>
      </c>
      <c r="L4314">
        <v>-0.26</v>
      </c>
      <c r="M4314">
        <v>7.15</v>
      </c>
      <c r="N4314">
        <v>0</v>
      </c>
      <c r="O4314">
        <v>4.52</v>
      </c>
    </row>
    <row r="4315" spans="1:15">
      <c r="A4315" t="str">
        <f>"603690"</f>
        <v>603690</v>
      </c>
      <c r="B4315" t="s">
        <v>4359</v>
      </c>
      <c r="C4315">
        <v>1.35</v>
      </c>
      <c r="D4315">
        <v>29.32</v>
      </c>
      <c r="E4315" t="s">
        <v>16</v>
      </c>
      <c r="F4315" t="s">
        <v>16</v>
      </c>
      <c r="H4315">
        <v>-0.02</v>
      </c>
      <c r="I4315">
        <v>10.35</v>
      </c>
      <c r="J4315">
        <v>-3.46</v>
      </c>
      <c r="L4315">
        <v>-0.93</v>
      </c>
      <c r="M4315">
        <v>275.42</v>
      </c>
      <c r="N4315">
        <v>0.03</v>
      </c>
      <c r="O4315">
        <v>0.46</v>
      </c>
    </row>
    <row r="4316" spans="1:15">
      <c r="A4316" t="str">
        <f>"603693"</f>
        <v>603693</v>
      </c>
      <c r="B4316" t="s">
        <v>4360</v>
      </c>
      <c r="C4316">
        <v>-7.27</v>
      </c>
      <c r="D4316">
        <v>13.52</v>
      </c>
      <c r="E4316" t="s">
        <v>16</v>
      </c>
      <c r="F4316" t="s">
        <v>16</v>
      </c>
      <c r="H4316">
        <v>-0.21</v>
      </c>
      <c r="I4316">
        <v>-17.76</v>
      </c>
      <c r="J4316">
        <v>-7.46</v>
      </c>
      <c r="L4316">
        <v>-0.14</v>
      </c>
      <c r="M4316">
        <v>56.78</v>
      </c>
      <c r="N4316">
        <v>0.03</v>
      </c>
      <c r="O4316">
        <v>0.76</v>
      </c>
    </row>
    <row r="4317" spans="1:15">
      <c r="A4317" t="str">
        <f>"603696"</f>
        <v>603696</v>
      </c>
      <c r="B4317" t="s">
        <v>4361</v>
      </c>
      <c r="C4317">
        <v>-1.2</v>
      </c>
      <c r="D4317">
        <v>12.37</v>
      </c>
      <c r="E4317" t="s">
        <v>16</v>
      </c>
      <c r="F4317" t="s">
        <v>16</v>
      </c>
      <c r="H4317">
        <v>-0.07</v>
      </c>
      <c r="I4317">
        <v>-3.59</v>
      </c>
      <c r="J4317">
        <v>-1.83</v>
      </c>
      <c r="L4317">
        <v>-0.4</v>
      </c>
      <c r="M4317">
        <v>6.61</v>
      </c>
      <c r="N4317">
        <v>0.01</v>
      </c>
      <c r="O4317">
        <v>0.33</v>
      </c>
    </row>
    <row r="4318" spans="1:15">
      <c r="A4318" t="str">
        <f>"603697"</f>
        <v>603697</v>
      </c>
      <c r="B4318" t="s">
        <v>4362</v>
      </c>
      <c r="C4318">
        <v>-2.18</v>
      </c>
      <c r="D4318">
        <v>10.78</v>
      </c>
      <c r="E4318" t="s">
        <v>16</v>
      </c>
      <c r="F4318" t="s">
        <v>16</v>
      </c>
      <c r="H4318">
        <v>0.19</v>
      </c>
      <c r="I4318">
        <v>2.96</v>
      </c>
      <c r="J4318">
        <v>-2.09</v>
      </c>
      <c r="L4318">
        <v>-1</v>
      </c>
      <c r="M4318">
        <v>26.84</v>
      </c>
      <c r="N4318">
        <v>0.02</v>
      </c>
      <c r="O4318">
        <v>1.24</v>
      </c>
    </row>
    <row r="4319" spans="1:15">
      <c r="A4319" t="str">
        <f>"603698"</f>
        <v>603698</v>
      </c>
      <c r="B4319" t="s">
        <v>4363</v>
      </c>
      <c r="C4319">
        <v>4.13</v>
      </c>
      <c r="D4319">
        <v>33.03</v>
      </c>
      <c r="E4319" t="s">
        <v>16</v>
      </c>
      <c r="F4319" t="s">
        <v>16</v>
      </c>
      <c r="H4319">
        <v>0.03</v>
      </c>
      <c r="I4319">
        <v>-0.12</v>
      </c>
      <c r="J4319">
        <v>-2.08</v>
      </c>
      <c r="L4319">
        <v>-0.76</v>
      </c>
      <c r="M4319">
        <v>196.44</v>
      </c>
      <c r="N4319">
        <v>0.04</v>
      </c>
      <c r="O4319">
        <v>0.39</v>
      </c>
    </row>
    <row r="4320" spans="1:15">
      <c r="A4320" t="str">
        <f>"603699"</f>
        <v>603699</v>
      </c>
      <c r="B4320" t="s">
        <v>4364</v>
      </c>
      <c r="C4320">
        <v>2.63</v>
      </c>
      <c r="D4320">
        <v>57.46</v>
      </c>
      <c r="E4320" t="s">
        <v>16</v>
      </c>
      <c r="F4320" t="s">
        <v>16</v>
      </c>
      <c r="H4320">
        <v>-0.2</v>
      </c>
      <c r="I4320">
        <v>1.2</v>
      </c>
      <c r="J4320">
        <v>-0.67</v>
      </c>
      <c r="L4320">
        <v>0.41</v>
      </c>
      <c r="M4320">
        <v>32.05</v>
      </c>
      <c r="N4320">
        <v>0</v>
      </c>
      <c r="O4320">
        <v>0.63</v>
      </c>
    </row>
    <row r="4321" spans="1:15">
      <c r="A4321" t="str">
        <f>"603700"</f>
        <v>603700</v>
      </c>
      <c r="B4321" t="s">
        <v>4365</v>
      </c>
      <c r="C4321">
        <v>-0.19</v>
      </c>
      <c r="D4321">
        <v>10.73</v>
      </c>
      <c r="E4321" t="s">
        <v>16</v>
      </c>
      <c r="F4321" t="s">
        <v>16</v>
      </c>
      <c r="H4321">
        <v>0</v>
      </c>
      <c r="I4321">
        <v>-3.51</v>
      </c>
      <c r="J4321">
        <v>-0.92</v>
      </c>
      <c r="L4321">
        <v>-1.12</v>
      </c>
      <c r="M4321">
        <v>12.01</v>
      </c>
      <c r="N4321">
        <v>0.01</v>
      </c>
      <c r="O4321">
        <v>1.27</v>
      </c>
    </row>
    <row r="4322" spans="1:15">
      <c r="A4322" t="str">
        <f>"603701"</f>
        <v>603701</v>
      </c>
      <c r="B4322" t="s">
        <v>4366</v>
      </c>
      <c r="C4322">
        <v>0.34</v>
      </c>
      <c r="D4322">
        <v>23.88</v>
      </c>
      <c r="E4322" t="s">
        <v>16</v>
      </c>
      <c r="F4322" t="s">
        <v>16</v>
      </c>
      <c r="H4322">
        <v>-0.03</v>
      </c>
      <c r="I4322">
        <v>-1.32</v>
      </c>
      <c r="J4322">
        <v>-4.4</v>
      </c>
      <c r="L4322">
        <v>0.55</v>
      </c>
      <c r="M4322">
        <v>55.52</v>
      </c>
      <c r="N4322">
        <v>0.02</v>
      </c>
      <c r="O4322">
        <v>0.25</v>
      </c>
    </row>
    <row r="4323" spans="1:15">
      <c r="A4323" t="str">
        <f>"603703"</f>
        <v>603703</v>
      </c>
      <c r="B4323" t="s">
        <v>4367</v>
      </c>
      <c r="C4323">
        <v>-2.29</v>
      </c>
      <c r="D4323">
        <v>11.94</v>
      </c>
      <c r="E4323" t="s">
        <v>16</v>
      </c>
      <c r="F4323" t="s">
        <v>16</v>
      </c>
      <c r="H4323">
        <v>0</v>
      </c>
      <c r="I4323">
        <v>-5.31</v>
      </c>
      <c r="J4323">
        <v>-3.08</v>
      </c>
      <c r="L4323">
        <v>-0.98</v>
      </c>
      <c r="M4323">
        <v>42.11</v>
      </c>
      <c r="N4323">
        <v>0.01</v>
      </c>
      <c r="O4323">
        <v>0.26</v>
      </c>
    </row>
    <row r="4324" spans="1:15">
      <c r="A4324" t="str">
        <f>"603706"</f>
        <v>603706</v>
      </c>
      <c r="B4324" t="s">
        <v>4368</v>
      </c>
      <c r="C4324">
        <v>-1.01</v>
      </c>
      <c r="D4324">
        <v>19.58</v>
      </c>
      <c r="E4324" t="s">
        <v>16</v>
      </c>
      <c r="F4324" t="s">
        <v>16</v>
      </c>
      <c r="H4324">
        <v>0.36</v>
      </c>
      <c r="I4324">
        <v>-7.16</v>
      </c>
      <c r="J4324">
        <v>-1.81</v>
      </c>
      <c r="L4324">
        <v>-0.51</v>
      </c>
      <c r="M4324">
        <v>17.91</v>
      </c>
      <c r="N4324">
        <v>0.02</v>
      </c>
      <c r="O4324">
        <v>0.88</v>
      </c>
    </row>
    <row r="4325" spans="1:15">
      <c r="A4325" t="str">
        <f>"603707"</f>
        <v>603707</v>
      </c>
      <c r="B4325" t="s">
        <v>4369</v>
      </c>
      <c r="C4325">
        <v>-0.14</v>
      </c>
      <c r="D4325">
        <v>7.15</v>
      </c>
      <c r="E4325" t="s">
        <v>16</v>
      </c>
      <c r="F4325" t="s">
        <v>16</v>
      </c>
      <c r="H4325">
        <v>-0.41</v>
      </c>
      <c r="I4325">
        <v>-8.68</v>
      </c>
      <c r="J4325">
        <v>-1.38</v>
      </c>
      <c r="L4325">
        <v>-0.42</v>
      </c>
      <c r="M4325">
        <v>18.4</v>
      </c>
      <c r="N4325">
        <v>0.01</v>
      </c>
      <c r="O4325">
        <v>0.53</v>
      </c>
    </row>
    <row r="4326" spans="1:15">
      <c r="A4326" t="str">
        <f>"603708"</f>
        <v>603708</v>
      </c>
      <c r="B4326" t="s">
        <v>4370</v>
      </c>
      <c r="C4326">
        <v>-1.52</v>
      </c>
      <c r="D4326">
        <v>9.07</v>
      </c>
      <c r="E4326" t="s">
        <v>16</v>
      </c>
      <c r="F4326" t="s">
        <v>16</v>
      </c>
      <c r="H4326">
        <v>-0.54</v>
      </c>
      <c r="I4326">
        <v>-4.12</v>
      </c>
      <c r="J4326">
        <v>-1.84</v>
      </c>
      <c r="L4326">
        <v>0.22</v>
      </c>
      <c r="M4326">
        <v>0.37</v>
      </c>
      <c r="N4326">
        <v>0</v>
      </c>
      <c r="O4326">
        <v>0.5</v>
      </c>
    </row>
    <row r="4327" spans="1:15">
      <c r="A4327" t="str">
        <f>"603709"</f>
        <v>603709</v>
      </c>
      <c r="B4327" t="s">
        <v>4371</v>
      </c>
      <c r="C4327">
        <v>-0.2</v>
      </c>
      <c r="D4327">
        <v>14.7</v>
      </c>
      <c r="E4327" t="s">
        <v>16</v>
      </c>
      <c r="F4327" t="s">
        <v>16</v>
      </c>
      <c r="H4327">
        <v>-0.19</v>
      </c>
      <c r="I4327">
        <v>-6.49</v>
      </c>
      <c r="J4327">
        <v>-0.68</v>
      </c>
      <c r="L4327">
        <v>-0.54</v>
      </c>
      <c r="M4327">
        <v>22.85</v>
      </c>
      <c r="N4327">
        <v>0.04</v>
      </c>
      <c r="O4327">
        <v>0.52</v>
      </c>
    </row>
    <row r="4328" spans="1:15">
      <c r="A4328" t="str">
        <f>"603711"</f>
        <v>603711</v>
      </c>
      <c r="B4328" t="s">
        <v>4372</v>
      </c>
      <c r="C4328">
        <v>-0.64</v>
      </c>
      <c r="D4328">
        <v>12.33</v>
      </c>
      <c r="E4328" t="s">
        <v>16</v>
      </c>
      <c r="F4328" t="s">
        <v>16</v>
      </c>
      <c r="H4328">
        <v>0</v>
      </c>
      <c r="I4328">
        <v>-9.54</v>
      </c>
      <c r="J4328">
        <v>-0.96</v>
      </c>
      <c r="L4328">
        <v>-0.73</v>
      </c>
      <c r="M4328">
        <v>43.98</v>
      </c>
      <c r="N4328">
        <v>0.05</v>
      </c>
      <c r="O4328">
        <v>3.1</v>
      </c>
    </row>
    <row r="4329" spans="1:15">
      <c r="A4329" t="str">
        <f>"603712"</f>
        <v>603712</v>
      </c>
      <c r="B4329" t="s">
        <v>4373</v>
      </c>
      <c r="C4329">
        <v>0.53</v>
      </c>
      <c r="D4329">
        <v>13.23</v>
      </c>
      <c r="E4329" t="s">
        <v>16</v>
      </c>
      <c r="F4329" t="s">
        <v>16</v>
      </c>
      <c r="H4329">
        <v>-0.07</v>
      </c>
      <c r="I4329">
        <v>-5.16</v>
      </c>
      <c r="J4329">
        <v>-1.56</v>
      </c>
      <c r="L4329">
        <v>-0.08</v>
      </c>
      <c r="M4329">
        <v>29.85</v>
      </c>
      <c r="N4329">
        <v>0.01</v>
      </c>
      <c r="O4329">
        <v>2.1</v>
      </c>
    </row>
    <row r="4330" spans="1:15">
      <c r="A4330" t="str">
        <f>"603713"</f>
        <v>603713</v>
      </c>
      <c r="B4330" t="s">
        <v>4374</v>
      </c>
      <c r="C4330">
        <v>-0.97</v>
      </c>
      <c r="D4330">
        <v>60.3</v>
      </c>
      <c r="E4330" t="s">
        <v>16</v>
      </c>
      <c r="F4330" t="s">
        <v>16</v>
      </c>
      <c r="H4330">
        <v>-0.19</v>
      </c>
      <c r="I4330">
        <v>13.62</v>
      </c>
      <c r="J4330">
        <v>-2.55</v>
      </c>
      <c r="L4330">
        <v>-0.64</v>
      </c>
      <c r="M4330">
        <v>124.03</v>
      </c>
      <c r="N4330">
        <v>0.02</v>
      </c>
      <c r="O4330">
        <v>2.01</v>
      </c>
    </row>
    <row r="4331" spans="1:15">
      <c r="A4331" t="str">
        <f>"603716"</f>
        <v>603716</v>
      </c>
      <c r="B4331" t="s">
        <v>4375</v>
      </c>
      <c r="C4331">
        <v>-1.15</v>
      </c>
      <c r="D4331">
        <v>15.52</v>
      </c>
      <c r="E4331" t="s">
        <v>16</v>
      </c>
      <c r="F4331" t="s">
        <v>16</v>
      </c>
      <c r="H4331">
        <v>0.19</v>
      </c>
      <c r="I4331">
        <v>-4.2</v>
      </c>
      <c r="J4331">
        <v>-2.57</v>
      </c>
      <c r="L4331">
        <v>-0.25</v>
      </c>
      <c r="M4331">
        <v>30.07</v>
      </c>
      <c r="N4331">
        <v>0.01</v>
      </c>
      <c r="O4331">
        <v>0.51</v>
      </c>
    </row>
    <row r="4332" spans="1:15">
      <c r="A4332" t="str">
        <f>"603717"</f>
        <v>603717</v>
      </c>
      <c r="B4332" t="s">
        <v>4376</v>
      </c>
      <c r="C4332">
        <v>-3.08</v>
      </c>
      <c r="D4332">
        <v>5.98</v>
      </c>
      <c r="E4332" t="s">
        <v>16</v>
      </c>
      <c r="F4332" t="s">
        <v>16</v>
      </c>
      <c r="H4332">
        <v>0</v>
      </c>
      <c r="I4332">
        <v>-9.12</v>
      </c>
      <c r="J4332">
        <v>-3.08</v>
      </c>
      <c r="L4332">
        <v>-0.49</v>
      </c>
      <c r="M4332">
        <v>17.13</v>
      </c>
      <c r="N4332">
        <v>0.01</v>
      </c>
      <c r="O4332">
        <v>1.15</v>
      </c>
    </row>
    <row r="4333" spans="1:15">
      <c r="A4333" t="str">
        <f>"603718"</f>
        <v>603718</v>
      </c>
      <c r="B4333" t="s">
        <v>4377</v>
      </c>
      <c r="C4333">
        <v>-3.68</v>
      </c>
      <c r="D4333">
        <v>2.88</v>
      </c>
      <c r="E4333" t="s">
        <v>16</v>
      </c>
      <c r="F4333" t="s">
        <v>16</v>
      </c>
      <c r="H4333">
        <v>0</v>
      </c>
      <c r="I4333">
        <v>-15.29</v>
      </c>
      <c r="J4333">
        <v>-4.32</v>
      </c>
      <c r="L4333">
        <v>0</v>
      </c>
      <c r="M4333">
        <v>33.07</v>
      </c>
      <c r="N4333">
        <v>0.03</v>
      </c>
      <c r="O4333">
        <v>1.31</v>
      </c>
    </row>
    <row r="4334" spans="1:15">
      <c r="A4334" t="str">
        <f>"603719"</f>
        <v>603719</v>
      </c>
      <c r="B4334" t="s">
        <v>4378</v>
      </c>
      <c r="C4334">
        <v>-0.33</v>
      </c>
      <c r="D4334">
        <v>8.94</v>
      </c>
      <c r="E4334" t="s">
        <v>16</v>
      </c>
      <c r="F4334" t="s">
        <v>16</v>
      </c>
      <c r="H4334">
        <v>-0.55</v>
      </c>
      <c r="I4334">
        <v>-7.74</v>
      </c>
      <c r="J4334">
        <v>-1.97</v>
      </c>
      <c r="L4334">
        <v>-0.56</v>
      </c>
      <c r="M4334">
        <v>13.83</v>
      </c>
      <c r="N4334">
        <v>0.01</v>
      </c>
      <c r="O4334">
        <v>1.74</v>
      </c>
    </row>
    <row r="4335" spans="1:15">
      <c r="A4335" t="str">
        <f>"603721"</f>
        <v>603721</v>
      </c>
      <c r="B4335" t="s">
        <v>4379</v>
      </c>
      <c r="C4335">
        <v>0</v>
      </c>
      <c r="D4335">
        <v>20.49</v>
      </c>
      <c r="E4335" t="s">
        <v>16</v>
      </c>
      <c r="F4335" t="s">
        <v>16</v>
      </c>
      <c r="H4335">
        <v>0</v>
      </c>
      <c r="I4335">
        <v>0.84</v>
      </c>
      <c r="J4335" t="s">
        <v>16</v>
      </c>
      <c r="K4335" t="s">
        <v>140</v>
      </c>
      <c r="L4335" t="s">
        <v>16</v>
      </c>
      <c r="M4335">
        <v>0</v>
      </c>
      <c r="N4335" t="s">
        <v>16</v>
      </c>
      <c r="O4335" t="s">
        <v>16</v>
      </c>
    </row>
    <row r="4336" spans="1:15">
      <c r="A4336" t="str">
        <f>"603722"</f>
        <v>603722</v>
      </c>
      <c r="B4336" t="s">
        <v>4380</v>
      </c>
      <c r="C4336">
        <v>5.31</v>
      </c>
      <c r="D4336">
        <v>39.44</v>
      </c>
      <c r="E4336" t="s">
        <v>16</v>
      </c>
      <c r="F4336" t="s">
        <v>16</v>
      </c>
      <c r="H4336">
        <v>0.28</v>
      </c>
      <c r="I4336">
        <v>14.48</v>
      </c>
      <c r="J4336">
        <v>-3.05</v>
      </c>
      <c r="L4336">
        <v>-0.99</v>
      </c>
      <c r="M4336">
        <v>23.36</v>
      </c>
      <c r="N4336">
        <v>0.01</v>
      </c>
      <c r="O4336">
        <v>2.62</v>
      </c>
    </row>
    <row r="4337" spans="1:15">
      <c r="A4337" t="str">
        <f>"603725"</f>
        <v>603725</v>
      </c>
      <c r="B4337" t="s">
        <v>4381</v>
      </c>
      <c r="C4337">
        <v>6.71</v>
      </c>
      <c r="D4337">
        <v>11.13</v>
      </c>
      <c r="E4337" t="s">
        <v>16</v>
      </c>
      <c r="F4337" t="s">
        <v>16</v>
      </c>
      <c r="H4337">
        <v>-0.26</v>
      </c>
      <c r="I4337">
        <v>-4.63</v>
      </c>
      <c r="J4337">
        <v>-0.62</v>
      </c>
      <c r="L4337">
        <v>0.58</v>
      </c>
      <c r="M4337">
        <v>45.21</v>
      </c>
      <c r="N4337">
        <v>0.02</v>
      </c>
      <c r="O4337">
        <v>2.84</v>
      </c>
    </row>
    <row r="4338" spans="1:15">
      <c r="A4338" t="str">
        <f>"603726"</f>
        <v>603726</v>
      </c>
      <c r="B4338" t="s">
        <v>4382</v>
      </c>
      <c r="C4338">
        <v>0.84</v>
      </c>
      <c r="D4338">
        <v>28.77</v>
      </c>
      <c r="E4338" t="s">
        <v>16</v>
      </c>
      <c r="F4338" t="s">
        <v>16</v>
      </c>
      <c r="H4338">
        <v>0.07</v>
      </c>
      <c r="I4338">
        <v>13.67</v>
      </c>
      <c r="J4338">
        <v>-0.72</v>
      </c>
      <c r="K4338" t="s">
        <v>57</v>
      </c>
      <c r="L4338">
        <v>0.04</v>
      </c>
      <c r="M4338">
        <v>123.86</v>
      </c>
      <c r="N4338">
        <v>0.05</v>
      </c>
      <c r="O4338">
        <v>0.69</v>
      </c>
    </row>
    <row r="4339" spans="1:15">
      <c r="A4339" t="str">
        <f>"603727"</f>
        <v>603727</v>
      </c>
      <c r="B4339" t="s">
        <v>4383</v>
      </c>
      <c r="C4339">
        <v>1.28</v>
      </c>
      <c r="D4339">
        <v>15.84</v>
      </c>
      <c r="E4339" t="s">
        <v>16</v>
      </c>
      <c r="F4339" t="s">
        <v>16</v>
      </c>
      <c r="H4339">
        <v>-0.05</v>
      </c>
      <c r="I4339">
        <v>9.17</v>
      </c>
      <c r="J4339">
        <v>-2.7</v>
      </c>
      <c r="K4339" t="s">
        <v>57</v>
      </c>
      <c r="L4339">
        <v>0.96</v>
      </c>
      <c r="M4339">
        <v>78.79</v>
      </c>
      <c r="N4339">
        <v>0.03</v>
      </c>
      <c r="O4339">
        <v>0.55</v>
      </c>
    </row>
    <row r="4340" spans="1:15">
      <c r="A4340" t="str">
        <f>"603728"</f>
        <v>603728</v>
      </c>
      <c r="B4340" t="s">
        <v>4384</v>
      </c>
      <c r="C4340">
        <v>4.16</v>
      </c>
      <c r="D4340">
        <v>63.86</v>
      </c>
      <c r="E4340" t="s">
        <v>16</v>
      </c>
      <c r="F4340" t="s">
        <v>16</v>
      </c>
      <c r="H4340">
        <v>-0.15</v>
      </c>
      <c r="I4340">
        <v>0.57</v>
      </c>
      <c r="J4340">
        <v>-2.65</v>
      </c>
      <c r="L4340">
        <v>-0.24</v>
      </c>
      <c r="M4340">
        <v>71.56</v>
      </c>
      <c r="N4340">
        <v>0.01</v>
      </c>
      <c r="O4340">
        <v>0.42</v>
      </c>
    </row>
    <row r="4341" spans="1:15">
      <c r="A4341" t="str">
        <f>"603729"</f>
        <v>603729</v>
      </c>
      <c r="B4341" t="s">
        <v>4385</v>
      </c>
      <c r="C4341">
        <v>-2.46</v>
      </c>
      <c r="D4341">
        <v>11.5</v>
      </c>
      <c r="E4341" t="s">
        <v>16</v>
      </c>
      <c r="F4341" t="s">
        <v>16</v>
      </c>
      <c r="H4341">
        <v>-0.08</v>
      </c>
      <c r="I4341">
        <v>-9.73</v>
      </c>
      <c r="J4341">
        <v>-3.2</v>
      </c>
      <c r="L4341">
        <v>-0.59</v>
      </c>
      <c r="M4341">
        <v>2.46</v>
      </c>
      <c r="N4341">
        <v>0</v>
      </c>
      <c r="O4341">
        <v>0.21</v>
      </c>
    </row>
    <row r="4342" spans="1:15">
      <c r="A4342" t="str">
        <f>"603730"</f>
        <v>603730</v>
      </c>
      <c r="B4342" t="s">
        <v>4386</v>
      </c>
      <c r="C4342">
        <v>0.08</v>
      </c>
      <c r="D4342">
        <v>13.01</v>
      </c>
      <c r="E4342" t="s">
        <v>16</v>
      </c>
      <c r="F4342" t="s">
        <v>16</v>
      </c>
      <c r="H4342">
        <v>-0.07</v>
      </c>
      <c r="I4342">
        <v>6.81</v>
      </c>
      <c r="J4342">
        <v>-2.03</v>
      </c>
      <c r="L4342">
        <v>0.23</v>
      </c>
      <c r="M4342">
        <v>667.01</v>
      </c>
      <c r="N4342">
        <v>0.12</v>
      </c>
      <c r="O4342">
        <v>0.94</v>
      </c>
    </row>
    <row r="4343" spans="1:15">
      <c r="A4343" t="str">
        <f>"603733"</f>
        <v>603733</v>
      </c>
      <c r="B4343" t="s">
        <v>4387</v>
      </c>
      <c r="C4343">
        <v>-8.28</v>
      </c>
      <c r="D4343">
        <v>26.71</v>
      </c>
      <c r="E4343" t="s">
        <v>16</v>
      </c>
      <c r="F4343" t="s">
        <v>16</v>
      </c>
      <c r="H4343">
        <v>-0.55</v>
      </c>
      <c r="I4343">
        <v>2.73</v>
      </c>
      <c r="J4343">
        <v>-9.46</v>
      </c>
      <c r="L4343">
        <v>0.03</v>
      </c>
      <c r="M4343">
        <v>295.49</v>
      </c>
      <c r="N4343">
        <v>0.07</v>
      </c>
      <c r="O4343">
        <v>0.62</v>
      </c>
    </row>
    <row r="4344" spans="1:15">
      <c r="A4344" t="str">
        <f>"603737"</f>
        <v>603737</v>
      </c>
      <c r="B4344" t="s">
        <v>4388</v>
      </c>
      <c r="C4344">
        <v>-1.92</v>
      </c>
      <c r="D4344">
        <v>26.02</v>
      </c>
      <c r="E4344" t="s">
        <v>16</v>
      </c>
      <c r="F4344" t="s">
        <v>16</v>
      </c>
      <c r="H4344">
        <v>0.12</v>
      </c>
      <c r="I4344">
        <v>-13.15</v>
      </c>
      <c r="J4344">
        <v>-2.58</v>
      </c>
      <c r="L4344">
        <v>0</v>
      </c>
      <c r="M4344">
        <v>33.77</v>
      </c>
      <c r="N4344">
        <v>0</v>
      </c>
      <c r="O4344">
        <v>1.48</v>
      </c>
    </row>
    <row r="4345" spans="1:15">
      <c r="A4345" t="str">
        <f>"603738"</f>
        <v>603738</v>
      </c>
      <c r="B4345" t="s">
        <v>4389</v>
      </c>
      <c r="C4345">
        <v>-0.02</v>
      </c>
      <c r="D4345">
        <v>58.99</v>
      </c>
      <c r="E4345" t="s">
        <v>16</v>
      </c>
      <c r="F4345" t="s">
        <v>16</v>
      </c>
      <c r="H4345">
        <v>0</v>
      </c>
      <c r="I4345">
        <v>30.08</v>
      </c>
      <c r="J4345">
        <v>-4.67</v>
      </c>
      <c r="K4345" t="s">
        <v>116</v>
      </c>
      <c r="L4345">
        <v>0</v>
      </c>
      <c r="M4345">
        <v>4292.84</v>
      </c>
      <c r="N4345">
        <v>0.26</v>
      </c>
      <c r="O4345">
        <v>0.68</v>
      </c>
    </row>
    <row r="4346" spans="1:15">
      <c r="A4346" t="str">
        <f>"603739"</f>
        <v>603739</v>
      </c>
      <c r="B4346" t="s">
        <v>4390</v>
      </c>
      <c r="C4346">
        <v>1.16</v>
      </c>
      <c r="D4346">
        <v>12.21</v>
      </c>
      <c r="E4346" t="s">
        <v>16</v>
      </c>
      <c r="F4346" t="s">
        <v>16</v>
      </c>
      <c r="H4346">
        <v>0</v>
      </c>
      <c r="I4346">
        <v>-3.25</v>
      </c>
      <c r="J4346">
        <v>-0.57</v>
      </c>
      <c r="L4346">
        <v>-0.33</v>
      </c>
      <c r="M4346">
        <v>23.7</v>
      </c>
      <c r="N4346">
        <v>0.02</v>
      </c>
      <c r="O4346">
        <v>4.81</v>
      </c>
    </row>
    <row r="4347" spans="1:15">
      <c r="A4347" t="str">
        <f>"603755"</f>
        <v>603755</v>
      </c>
      <c r="B4347" t="s">
        <v>4391</v>
      </c>
      <c r="C4347">
        <v>-0.95</v>
      </c>
      <c r="D4347">
        <v>25</v>
      </c>
      <c r="E4347" t="s">
        <v>16</v>
      </c>
      <c r="F4347" t="s">
        <v>16</v>
      </c>
      <c r="H4347">
        <v>0.2</v>
      </c>
      <c r="I4347">
        <v>2.17</v>
      </c>
      <c r="J4347">
        <v>-2.31</v>
      </c>
      <c r="L4347">
        <v>1.39</v>
      </c>
      <c r="M4347">
        <v>6.14</v>
      </c>
      <c r="N4347">
        <v>0.01</v>
      </c>
      <c r="O4347">
        <v>1.09</v>
      </c>
    </row>
    <row r="4348" spans="1:15">
      <c r="A4348" t="str">
        <f>"603757"</f>
        <v>603757</v>
      </c>
      <c r="B4348" t="s">
        <v>4392</v>
      </c>
      <c r="C4348">
        <v>5.59</v>
      </c>
      <c r="D4348">
        <v>56.06</v>
      </c>
      <c r="E4348" t="s">
        <v>16</v>
      </c>
      <c r="F4348" t="s">
        <v>16</v>
      </c>
      <c r="H4348">
        <v>-0.06</v>
      </c>
      <c r="I4348">
        <v>-2.56</v>
      </c>
      <c r="J4348">
        <v>-1.39</v>
      </c>
      <c r="L4348">
        <v>0.02</v>
      </c>
      <c r="M4348">
        <v>64.78</v>
      </c>
      <c r="N4348">
        <v>0.01</v>
      </c>
      <c r="O4348">
        <v>0.23</v>
      </c>
    </row>
    <row r="4349" spans="1:15">
      <c r="A4349" t="str">
        <f>"603758"</f>
        <v>603758</v>
      </c>
      <c r="B4349" t="s">
        <v>4393</v>
      </c>
      <c r="C4349">
        <v>-1.4</v>
      </c>
      <c r="D4349">
        <v>9.86</v>
      </c>
      <c r="E4349" t="s">
        <v>16</v>
      </c>
      <c r="F4349" t="s">
        <v>16</v>
      </c>
      <c r="H4349">
        <v>-0.19</v>
      </c>
      <c r="I4349">
        <v>-7.24</v>
      </c>
      <c r="J4349">
        <v>-2.28</v>
      </c>
      <c r="L4349">
        <v>-0.4</v>
      </c>
      <c r="M4349">
        <v>14.24</v>
      </c>
      <c r="N4349">
        <v>0.01</v>
      </c>
      <c r="O4349">
        <v>2.31</v>
      </c>
    </row>
    <row r="4350" spans="1:15">
      <c r="A4350" t="str">
        <f>"603759"</f>
        <v>603759</v>
      </c>
      <c r="B4350" t="s">
        <v>4394</v>
      </c>
      <c r="C4350">
        <v>-2.02</v>
      </c>
      <c r="D4350">
        <v>7.26</v>
      </c>
      <c r="E4350" t="s">
        <v>16</v>
      </c>
      <c r="F4350" t="s">
        <v>16</v>
      </c>
      <c r="H4350">
        <v>-0.26</v>
      </c>
      <c r="I4350">
        <v>-8.56</v>
      </c>
      <c r="J4350">
        <v>-2.02</v>
      </c>
      <c r="L4350">
        <v>0</v>
      </c>
      <c r="M4350">
        <v>2.96</v>
      </c>
      <c r="N4350">
        <v>0</v>
      </c>
      <c r="O4350">
        <v>0.26</v>
      </c>
    </row>
    <row r="4351" spans="1:15">
      <c r="A4351" t="str">
        <f>"603766"</f>
        <v>603766</v>
      </c>
      <c r="B4351" t="s">
        <v>4395</v>
      </c>
      <c r="C4351">
        <v>-1.05</v>
      </c>
      <c r="D4351">
        <v>11.3</v>
      </c>
      <c r="E4351" t="s">
        <v>16</v>
      </c>
      <c r="F4351" t="s">
        <v>16</v>
      </c>
      <c r="H4351">
        <v>0</v>
      </c>
      <c r="I4351">
        <v>-10.17</v>
      </c>
      <c r="J4351">
        <v>-5.83</v>
      </c>
      <c r="L4351">
        <v>0.26</v>
      </c>
      <c r="M4351">
        <v>112.78</v>
      </c>
      <c r="N4351">
        <v>0.01</v>
      </c>
      <c r="O4351">
        <v>0.69</v>
      </c>
    </row>
    <row r="4352" spans="1:15">
      <c r="A4352" t="str">
        <f>"603767"</f>
        <v>603767</v>
      </c>
      <c r="B4352" t="s">
        <v>4396</v>
      </c>
      <c r="C4352">
        <v>0.06</v>
      </c>
      <c r="D4352">
        <v>15.71</v>
      </c>
      <c r="E4352" t="s">
        <v>16</v>
      </c>
      <c r="F4352" t="s">
        <v>16</v>
      </c>
      <c r="H4352">
        <v>-0.05</v>
      </c>
      <c r="I4352">
        <v>-6.99</v>
      </c>
      <c r="J4352">
        <v>-1.38</v>
      </c>
      <c r="L4352">
        <v>0.32</v>
      </c>
      <c r="M4352">
        <v>47.57</v>
      </c>
      <c r="N4352">
        <v>0.03</v>
      </c>
      <c r="O4352">
        <v>6.57</v>
      </c>
    </row>
    <row r="4353" spans="1:15">
      <c r="A4353" t="str">
        <f>"603768"</f>
        <v>603768</v>
      </c>
      <c r="B4353" t="s">
        <v>4397</v>
      </c>
      <c r="C4353">
        <v>0.4</v>
      </c>
      <c r="D4353">
        <v>10.07</v>
      </c>
      <c r="E4353" t="s">
        <v>16</v>
      </c>
      <c r="F4353" t="s">
        <v>16</v>
      </c>
      <c r="H4353">
        <v>-0.19</v>
      </c>
      <c r="I4353">
        <v>-9.77</v>
      </c>
      <c r="J4353">
        <v>-0.69</v>
      </c>
      <c r="L4353">
        <v>-0.3</v>
      </c>
      <c r="M4353">
        <v>11.9</v>
      </c>
      <c r="N4353">
        <v>0.01</v>
      </c>
      <c r="O4353">
        <v>0.59</v>
      </c>
    </row>
    <row r="4354" spans="1:15">
      <c r="A4354" t="str">
        <f>"603773"</f>
        <v>603773</v>
      </c>
      <c r="B4354" t="s">
        <v>4398</v>
      </c>
      <c r="C4354">
        <v>-0.86</v>
      </c>
      <c r="D4354">
        <v>164.7</v>
      </c>
      <c r="E4354" t="s">
        <v>16</v>
      </c>
      <c r="F4354" t="s">
        <v>16</v>
      </c>
      <c r="H4354">
        <v>-0.11</v>
      </c>
      <c r="I4354">
        <v>34.56</v>
      </c>
      <c r="J4354">
        <v>-4.79</v>
      </c>
      <c r="K4354" t="s">
        <v>233</v>
      </c>
      <c r="L4354">
        <v>3</v>
      </c>
      <c r="M4354">
        <v>12961.58</v>
      </c>
      <c r="N4354">
        <v>0.55</v>
      </c>
      <c r="O4354">
        <v>1.67</v>
      </c>
    </row>
    <row r="4355" spans="1:15">
      <c r="A4355" t="str">
        <f>"603776"</f>
        <v>603776</v>
      </c>
      <c r="B4355" t="s">
        <v>4399</v>
      </c>
      <c r="C4355">
        <v>2.95</v>
      </c>
      <c r="D4355">
        <v>21.98</v>
      </c>
      <c r="E4355" t="s">
        <v>16</v>
      </c>
      <c r="F4355" t="s">
        <v>16</v>
      </c>
      <c r="H4355">
        <v>-0.35</v>
      </c>
      <c r="I4355">
        <v>7.8</v>
      </c>
      <c r="J4355">
        <v>-0.45</v>
      </c>
      <c r="L4355">
        <v>-0.66</v>
      </c>
      <c r="M4355">
        <v>36.27</v>
      </c>
      <c r="N4355">
        <v>0.01</v>
      </c>
      <c r="O4355">
        <v>6.11</v>
      </c>
    </row>
    <row r="4356" spans="1:15">
      <c r="A4356" t="str">
        <f>"603777"</f>
        <v>603777</v>
      </c>
      <c r="B4356" t="s">
        <v>4400</v>
      </c>
      <c r="C4356">
        <v>-9.77</v>
      </c>
      <c r="D4356">
        <v>16.81</v>
      </c>
      <c r="E4356" t="s">
        <v>16</v>
      </c>
      <c r="F4356" t="s">
        <v>16</v>
      </c>
      <c r="H4356">
        <v>-0.05</v>
      </c>
      <c r="I4356">
        <v>-1.81</v>
      </c>
      <c r="J4356">
        <v>-11.53</v>
      </c>
      <c r="L4356">
        <v>-3.38</v>
      </c>
      <c r="M4356">
        <v>1437.66</v>
      </c>
      <c r="N4356">
        <v>0.61</v>
      </c>
      <c r="O4356">
        <v>37.85</v>
      </c>
    </row>
    <row r="4357" spans="1:15">
      <c r="A4357" t="str">
        <f>"603778"</f>
        <v>603778</v>
      </c>
      <c r="B4357" t="s">
        <v>4401</v>
      </c>
      <c r="C4357">
        <v>-9.98</v>
      </c>
      <c r="D4357">
        <v>14.98</v>
      </c>
      <c r="E4357">
        <v>3682.53</v>
      </c>
      <c r="F4357" t="s">
        <v>16</v>
      </c>
      <c r="H4357">
        <v>0</v>
      </c>
      <c r="I4357">
        <v>-17.15</v>
      </c>
      <c r="J4357">
        <v>-8.32</v>
      </c>
      <c r="L4357">
        <v>-2.16</v>
      </c>
      <c r="M4357">
        <v>938.22</v>
      </c>
      <c r="N4357">
        <v>0.12</v>
      </c>
      <c r="O4357">
        <v>0.53</v>
      </c>
    </row>
    <row r="4358" spans="1:15">
      <c r="A4358" t="str">
        <f>"603779"</f>
        <v>603779</v>
      </c>
      <c r="B4358" t="s">
        <v>4402</v>
      </c>
      <c r="C4358">
        <v>1.42</v>
      </c>
      <c r="D4358">
        <v>7.85</v>
      </c>
      <c r="E4358" t="s">
        <v>16</v>
      </c>
      <c r="F4358" t="s">
        <v>16</v>
      </c>
      <c r="H4358">
        <v>-0.12</v>
      </c>
      <c r="I4358">
        <v>-11.4</v>
      </c>
      <c r="J4358">
        <v>-5.76</v>
      </c>
      <c r="L4358">
        <v>2.71</v>
      </c>
      <c r="M4358">
        <v>714.63</v>
      </c>
      <c r="N4358">
        <v>0.41</v>
      </c>
      <c r="O4358">
        <v>2.23</v>
      </c>
    </row>
    <row r="4359" spans="1:15">
      <c r="A4359" t="str">
        <f>"603786"</f>
        <v>603786</v>
      </c>
      <c r="B4359" t="s">
        <v>4403</v>
      </c>
      <c r="C4359">
        <v>-0.71</v>
      </c>
      <c r="D4359">
        <v>47.52</v>
      </c>
      <c r="E4359" t="s">
        <v>16</v>
      </c>
      <c r="F4359" t="s">
        <v>16</v>
      </c>
      <c r="H4359">
        <v>-0.16</v>
      </c>
      <c r="I4359">
        <v>-1.1</v>
      </c>
      <c r="J4359">
        <v>-2.12</v>
      </c>
      <c r="L4359">
        <v>0.29</v>
      </c>
      <c r="M4359">
        <v>70.08</v>
      </c>
      <c r="N4359">
        <v>0.02</v>
      </c>
      <c r="O4359">
        <v>4.56</v>
      </c>
    </row>
    <row r="4360" spans="1:15">
      <c r="A4360" t="str">
        <f>"603787"</f>
        <v>603787</v>
      </c>
      <c r="B4360" t="s">
        <v>4404</v>
      </c>
      <c r="C4360">
        <v>0.52</v>
      </c>
      <c r="D4360">
        <v>9.66</v>
      </c>
      <c r="E4360" t="s">
        <v>16</v>
      </c>
      <c r="F4360" t="s">
        <v>16</v>
      </c>
      <c r="H4360">
        <v>0</v>
      </c>
      <c r="I4360">
        <v>-3.4</v>
      </c>
      <c r="J4360">
        <v>-0.72</v>
      </c>
      <c r="L4360">
        <v>-0.21</v>
      </c>
      <c r="M4360">
        <v>3.26</v>
      </c>
      <c r="N4360">
        <v>0</v>
      </c>
      <c r="O4360">
        <v>0.52</v>
      </c>
    </row>
    <row r="4361" spans="1:15">
      <c r="A4361" t="str">
        <f>"603788"</f>
        <v>603788</v>
      </c>
      <c r="B4361" t="s">
        <v>4405</v>
      </c>
      <c r="C4361">
        <v>-0.56</v>
      </c>
      <c r="D4361">
        <v>14.29</v>
      </c>
      <c r="E4361" t="s">
        <v>16</v>
      </c>
      <c r="F4361" t="s">
        <v>16</v>
      </c>
      <c r="H4361">
        <v>0</v>
      </c>
      <c r="I4361">
        <v>-4.22</v>
      </c>
      <c r="J4361">
        <v>-1.24</v>
      </c>
      <c r="L4361">
        <v>0</v>
      </c>
      <c r="M4361">
        <v>1.87</v>
      </c>
      <c r="N4361">
        <v>0</v>
      </c>
      <c r="O4361">
        <v>0.65</v>
      </c>
    </row>
    <row r="4362" spans="1:15">
      <c r="A4362" t="str">
        <f>"603789"</f>
        <v>603789</v>
      </c>
      <c r="B4362" t="s">
        <v>4406</v>
      </c>
      <c r="C4362">
        <v>-1.31</v>
      </c>
      <c r="D4362">
        <v>5.26</v>
      </c>
      <c r="E4362" t="s">
        <v>16</v>
      </c>
      <c r="F4362" t="s">
        <v>16</v>
      </c>
      <c r="H4362">
        <v>0</v>
      </c>
      <c r="I4362">
        <v>-9.31</v>
      </c>
      <c r="J4362">
        <v>-2.59</v>
      </c>
      <c r="L4362">
        <v>-0.56</v>
      </c>
      <c r="M4362">
        <v>1.11</v>
      </c>
      <c r="N4362">
        <v>0</v>
      </c>
      <c r="O4362">
        <v>0.72</v>
      </c>
    </row>
    <row r="4363" spans="1:15">
      <c r="A4363" t="str">
        <f>"603790"</f>
        <v>603790</v>
      </c>
      <c r="B4363" t="s">
        <v>4407</v>
      </c>
      <c r="C4363">
        <v>4.46</v>
      </c>
      <c r="D4363">
        <v>27.18</v>
      </c>
      <c r="E4363" t="s">
        <v>16</v>
      </c>
      <c r="F4363" t="s">
        <v>16</v>
      </c>
      <c r="H4363">
        <v>-0.03</v>
      </c>
      <c r="I4363">
        <v>9.86</v>
      </c>
      <c r="J4363">
        <v>-1.09</v>
      </c>
      <c r="L4363">
        <v>0</v>
      </c>
      <c r="M4363">
        <v>17.43</v>
      </c>
      <c r="N4363">
        <v>0.01</v>
      </c>
      <c r="O4363">
        <v>0.71</v>
      </c>
    </row>
    <row r="4364" spans="1:15">
      <c r="A4364" t="str">
        <f>"603797"</f>
        <v>603797</v>
      </c>
      <c r="B4364" t="s">
        <v>4408</v>
      </c>
      <c r="C4364">
        <v>-0.75</v>
      </c>
      <c r="D4364">
        <v>3.99</v>
      </c>
      <c r="E4364" t="s">
        <v>16</v>
      </c>
      <c r="F4364" t="s">
        <v>16</v>
      </c>
      <c r="H4364">
        <v>0.5</v>
      </c>
      <c r="I4364">
        <v>-5.45</v>
      </c>
      <c r="J4364">
        <v>-0.5</v>
      </c>
      <c r="L4364">
        <v>-0.75</v>
      </c>
      <c r="M4364">
        <v>13.77</v>
      </c>
      <c r="N4364">
        <v>0.01</v>
      </c>
      <c r="O4364">
        <v>0.84</v>
      </c>
    </row>
    <row r="4365" spans="1:15">
      <c r="A4365" t="str">
        <f>"603798"</f>
        <v>603798</v>
      </c>
      <c r="B4365" t="s">
        <v>4409</v>
      </c>
      <c r="C4365">
        <v>-3.98</v>
      </c>
      <c r="D4365">
        <v>15.44</v>
      </c>
      <c r="E4365" t="s">
        <v>16</v>
      </c>
      <c r="F4365" t="s">
        <v>16</v>
      </c>
      <c r="H4365">
        <v>-0.05</v>
      </c>
      <c r="I4365">
        <v>0.06</v>
      </c>
      <c r="J4365">
        <v>-3.62</v>
      </c>
      <c r="L4365">
        <v>-0.37</v>
      </c>
      <c r="M4365">
        <v>0.32</v>
      </c>
      <c r="N4365">
        <v>0</v>
      </c>
      <c r="O4365">
        <v>0.12</v>
      </c>
    </row>
    <row r="4366" spans="1:15">
      <c r="A4366" t="str">
        <f>"603799"</f>
        <v>603799</v>
      </c>
      <c r="B4366" t="s">
        <v>4410</v>
      </c>
      <c r="C4366">
        <v>-0.93</v>
      </c>
      <c r="D4366">
        <v>52.1</v>
      </c>
      <c r="E4366" t="s">
        <v>16</v>
      </c>
      <c r="F4366" t="s">
        <v>16</v>
      </c>
      <c r="H4366">
        <v>-0.07</v>
      </c>
      <c r="I4366">
        <v>1.56</v>
      </c>
      <c r="J4366">
        <v>-3.79</v>
      </c>
      <c r="L4366">
        <v>-1.12</v>
      </c>
      <c r="M4366">
        <v>2810.6</v>
      </c>
      <c r="N4366">
        <v>0.04</v>
      </c>
      <c r="O4366">
        <v>1.34</v>
      </c>
    </row>
    <row r="4367" spans="1:15">
      <c r="A4367" t="str">
        <f>"603800"</f>
        <v>603800</v>
      </c>
      <c r="B4367" t="s">
        <v>4411</v>
      </c>
      <c r="C4367">
        <v>-0.87</v>
      </c>
      <c r="D4367">
        <v>80.62</v>
      </c>
      <c r="E4367" t="s">
        <v>16</v>
      </c>
      <c r="F4367" t="s">
        <v>16</v>
      </c>
      <c r="H4367">
        <v>0.02</v>
      </c>
      <c r="I4367">
        <v>4.7</v>
      </c>
      <c r="J4367">
        <v>-1.44</v>
      </c>
      <c r="K4367" t="s">
        <v>57</v>
      </c>
      <c r="L4367">
        <v>-0.41</v>
      </c>
      <c r="M4367">
        <v>380.7</v>
      </c>
      <c r="N4367">
        <v>0.04</v>
      </c>
      <c r="O4367">
        <v>0.57</v>
      </c>
    </row>
    <row r="4368" spans="1:15">
      <c r="A4368" t="str">
        <f>"603801"</f>
        <v>603801</v>
      </c>
      <c r="B4368" t="s">
        <v>4412</v>
      </c>
      <c r="C4368">
        <v>-0.47</v>
      </c>
      <c r="D4368">
        <v>6.42</v>
      </c>
      <c r="E4368" t="s">
        <v>16</v>
      </c>
      <c r="F4368" t="s">
        <v>16</v>
      </c>
      <c r="H4368">
        <v>-0.15</v>
      </c>
      <c r="I4368">
        <v>-7.63</v>
      </c>
      <c r="J4368">
        <v>-0.93</v>
      </c>
      <c r="L4368">
        <v>-1.24</v>
      </c>
      <c r="M4368">
        <v>13.99</v>
      </c>
      <c r="N4368">
        <v>0.01</v>
      </c>
      <c r="O4368">
        <v>3.72</v>
      </c>
    </row>
    <row r="4369" spans="1:15">
      <c r="A4369" t="str">
        <f>"603803"</f>
        <v>603803</v>
      </c>
      <c r="B4369" t="s">
        <v>4413</v>
      </c>
      <c r="C4369">
        <v>1.09</v>
      </c>
      <c r="D4369">
        <v>13.03</v>
      </c>
      <c r="E4369" t="s">
        <v>16</v>
      </c>
      <c r="F4369" t="s">
        <v>16</v>
      </c>
      <c r="H4369">
        <v>0.31</v>
      </c>
      <c r="I4369">
        <v>0.54</v>
      </c>
      <c r="J4369">
        <v>-1.51</v>
      </c>
      <c r="K4369" t="s">
        <v>26</v>
      </c>
      <c r="L4369">
        <v>0.62</v>
      </c>
      <c r="M4369">
        <v>261.73</v>
      </c>
      <c r="N4369">
        <v>0.08</v>
      </c>
      <c r="O4369">
        <v>0.42</v>
      </c>
    </row>
    <row r="4370" spans="1:15">
      <c r="A4370" t="str">
        <f>"603806"</f>
        <v>603806</v>
      </c>
      <c r="B4370" t="s">
        <v>4414</v>
      </c>
      <c r="C4370">
        <v>1.04</v>
      </c>
      <c r="D4370">
        <v>17.52</v>
      </c>
      <c r="E4370" t="s">
        <v>16</v>
      </c>
      <c r="F4370" t="s">
        <v>16</v>
      </c>
      <c r="H4370">
        <v>-0.05</v>
      </c>
      <c r="I4370">
        <v>-1.52</v>
      </c>
      <c r="J4370">
        <v>-3.1</v>
      </c>
      <c r="K4370" t="s">
        <v>57</v>
      </c>
      <c r="L4370">
        <v>1.33</v>
      </c>
      <c r="M4370">
        <v>531.32</v>
      </c>
      <c r="N4370">
        <v>0.03</v>
      </c>
      <c r="O4370">
        <v>1.36</v>
      </c>
    </row>
    <row r="4371" spans="1:15">
      <c r="A4371" t="str">
        <f>"603808"</f>
        <v>603808</v>
      </c>
      <c r="B4371" t="s">
        <v>4415</v>
      </c>
      <c r="C4371">
        <v>-0.71</v>
      </c>
      <c r="D4371">
        <v>8.37</v>
      </c>
      <c r="E4371" t="s">
        <v>16</v>
      </c>
      <c r="F4371" t="s">
        <v>16</v>
      </c>
      <c r="H4371">
        <v>-0.11</v>
      </c>
      <c r="I4371">
        <v>-7.72</v>
      </c>
      <c r="J4371">
        <v>-1.3</v>
      </c>
      <c r="L4371">
        <v>-0.71</v>
      </c>
      <c r="M4371">
        <v>18.25</v>
      </c>
      <c r="N4371">
        <v>0.01</v>
      </c>
      <c r="O4371">
        <v>1.02</v>
      </c>
    </row>
    <row r="4372" spans="1:15">
      <c r="A4372" t="str">
        <f>"603809"</f>
        <v>603809</v>
      </c>
      <c r="B4372" t="s">
        <v>4416</v>
      </c>
      <c r="C4372">
        <v>1.77</v>
      </c>
      <c r="D4372">
        <v>9.78</v>
      </c>
      <c r="E4372" t="s">
        <v>16</v>
      </c>
      <c r="F4372" t="s">
        <v>16</v>
      </c>
      <c r="H4372">
        <v>-0.09</v>
      </c>
      <c r="I4372">
        <v>-2.1</v>
      </c>
      <c r="J4372">
        <v>-0.71</v>
      </c>
      <c r="L4372">
        <v>-0.31</v>
      </c>
      <c r="M4372">
        <v>34.06</v>
      </c>
      <c r="N4372">
        <v>0.01</v>
      </c>
      <c r="O4372">
        <v>0.88</v>
      </c>
    </row>
    <row r="4373" spans="1:15">
      <c r="A4373" t="str">
        <f>"603810"</f>
        <v>603810</v>
      </c>
      <c r="B4373" t="s">
        <v>4417</v>
      </c>
      <c r="C4373">
        <v>0.34</v>
      </c>
      <c r="D4373">
        <v>11.93</v>
      </c>
      <c r="E4373" t="s">
        <v>16</v>
      </c>
      <c r="F4373" t="s">
        <v>16</v>
      </c>
      <c r="H4373">
        <v>-0.41</v>
      </c>
      <c r="I4373">
        <v>-5.84</v>
      </c>
      <c r="J4373">
        <v>-1.32</v>
      </c>
      <c r="L4373">
        <v>-0.76</v>
      </c>
      <c r="M4373">
        <v>20.18</v>
      </c>
      <c r="N4373">
        <v>0.02</v>
      </c>
      <c r="O4373">
        <v>1.84</v>
      </c>
    </row>
    <row r="4374" spans="1:15">
      <c r="A4374" t="str">
        <f>"603811"</f>
        <v>603811</v>
      </c>
      <c r="B4374" t="s">
        <v>4418</v>
      </c>
      <c r="C4374">
        <v>-0.09</v>
      </c>
      <c r="D4374">
        <v>10.65</v>
      </c>
      <c r="E4374" t="s">
        <v>16</v>
      </c>
      <c r="F4374" t="s">
        <v>16</v>
      </c>
      <c r="H4374">
        <v>-0.08</v>
      </c>
      <c r="I4374">
        <v>-0.09</v>
      </c>
      <c r="J4374">
        <v>-0.37</v>
      </c>
      <c r="L4374">
        <v>-0.19</v>
      </c>
      <c r="M4374">
        <v>0.96</v>
      </c>
      <c r="N4374">
        <v>0</v>
      </c>
      <c r="O4374">
        <v>0.05</v>
      </c>
    </row>
    <row r="4375" spans="1:15">
      <c r="A4375" t="str">
        <f>"603813"</f>
        <v>603813</v>
      </c>
      <c r="B4375" t="s">
        <v>4419</v>
      </c>
      <c r="C4375">
        <v>8.26</v>
      </c>
      <c r="D4375">
        <v>41.41</v>
      </c>
      <c r="E4375" t="s">
        <v>16</v>
      </c>
      <c r="F4375" t="s">
        <v>16</v>
      </c>
      <c r="H4375">
        <v>0.17</v>
      </c>
      <c r="I4375">
        <v>17.48</v>
      </c>
      <c r="J4375">
        <v>-1.08</v>
      </c>
      <c r="L4375">
        <v>-0.63</v>
      </c>
      <c r="M4375">
        <v>91.22</v>
      </c>
      <c r="N4375">
        <v>0.07</v>
      </c>
      <c r="O4375">
        <v>0.71</v>
      </c>
    </row>
    <row r="4376" spans="1:15">
      <c r="A4376" t="str">
        <f>"603815"</f>
        <v>603815</v>
      </c>
      <c r="B4376" t="s">
        <v>4420</v>
      </c>
      <c r="C4376">
        <v>0.17</v>
      </c>
      <c r="D4376">
        <v>5.94</v>
      </c>
      <c r="E4376" t="s">
        <v>16</v>
      </c>
      <c r="F4376" t="s">
        <v>16</v>
      </c>
      <c r="H4376">
        <v>0</v>
      </c>
      <c r="I4376">
        <v>-1.16</v>
      </c>
      <c r="J4376">
        <v>-1.49</v>
      </c>
      <c r="L4376">
        <v>1.35</v>
      </c>
      <c r="M4376">
        <v>250.38</v>
      </c>
      <c r="N4376">
        <v>0.14</v>
      </c>
      <c r="O4376">
        <v>2.69</v>
      </c>
    </row>
    <row r="4377" spans="1:15">
      <c r="A4377" t="str">
        <f>"603816"</f>
        <v>603816</v>
      </c>
      <c r="B4377" t="s">
        <v>4421</v>
      </c>
      <c r="C4377">
        <v>-3.63</v>
      </c>
      <c r="D4377">
        <v>23.88</v>
      </c>
      <c r="E4377" t="s">
        <v>16</v>
      </c>
      <c r="F4377" t="s">
        <v>16</v>
      </c>
      <c r="H4377">
        <v>0.04</v>
      </c>
      <c r="I4377">
        <v>-16.45</v>
      </c>
      <c r="J4377">
        <v>-4.44</v>
      </c>
      <c r="L4377">
        <v>0.85</v>
      </c>
      <c r="M4377">
        <v>109.71</v>
      </c>
      <c r="N4377">
        <v>0.01</v>
      </c>
      <c r="O4377">
        <v>3.35</v>
      </c>
    </row>
    <row r="4378" spans="1:15">
      <c r="A4378" t="str">
        <f>"603817"</f>
        <v>603817</v>
      </c>
      <c r="B4378" t="s">
        <v>4422</v>
      </c>
      <c r="C4378">
        <v>-2.1</v>
      </c>
      <c r="D4378">
        <v>5.59</v>
      </c>
      <c r="E4378" t="s">
        <v>16</v>
      </c>
      <c r="F4378" t="s">
        <v>16</v>
      </c>
      <c r="H4378">
        <v>-0.17</v>
      </c>
      <c r="I4378">
        <v>-8.36</v>
      </c>
      <c r="J4378">
        <v>-2.1</v>
      </c>
      <c r="L4378">
        <v>-0.18</v>
      </c>
      <c r="M4378">
        <v>8.78</v>
      </c>
      <c r="N4378">
        <v>0.01</v>
      </c>
      <c r="O4378">
        <v>3.76</v>
      </c>
    </row>
    <row r="4379" spans="1:15">
      <c r="A4379" t="str">
        <f>"603818"</f>
        <v>603818</v>
      </c>
      <c r="B4379" t="s">
        <v>4423</v>
      </c>
      <c r="C4379">
        <v>5.73</v>
      </c>
      <c r="D4379">
        <v>2.95</v>
      </c>
      <c r="E4379" t="s">
        <v>16</v>
      </c>
      <c r="F4379" t="s">
        <v>16</v>
      </c>
      <c r="H4379">
        <v>-0.33</v>
      </c>
      <c r="I4379">
        <v>-5.45</v>
      </c>
      <c r="J4379">
        <v>-3.91</v>
      </c>
      <c r="L4379">
        <v>0</v>
      </c>
      <c r="M4379">
        <v>28.65</v>
      </c>
      <c r="N4379">
        <v>0.03</v>
      </c>
      <c r="O4379">
        <v>0.83</v>
      </c>
    </row>
    <row r="4380" spans="1:15">
      <c r="A4380" t="str">
        <f>"603819"</f>
        <v>603819</v>
      </c>
      <c r="B4380" t="s">
        <v>4424</v>
      </c>
      <c r="C4380">
        <v>0.43</v>
      </c>
      <c r="D4380">
        <v>11.67</v>
      </c>
      <c r="E4380" t="s">
        <v>16</v>
      </c>
      <c r="F4380" t="s">
        <v>16</v>
      </c>
      <c r="H4380">
        <v>0.09</v>
      </c>
      <c r="I4380">
        <v>-6.79</v>
      </c>
      <c r="J4380">
        <v>-0.34</v>
      </c>
      <c r="L4380">
        <v>0.09</v>
      </c>
      <c r="M4380">
        <v>19.42</v>
      </c>
      <c r="N4380">
        <v>0.02</v>
      </c>
      <c r="O4380">
        <v>0.71</v>
      </c>
    </row>
    <row r="4381" spans="1:15">
      <c r="A4381" t="str">
        <f>"603822"</f>
        <v>603822</v>
      </c>
      <c r="B4381" t="s">
        <v>4425</v>
      </c>
      <c r="C4381">
        <v>-3.21</v>
      </c>
      <c r="D4381">
        <v>72.4</v>
      </c>
      <c r="E4381" t="s">
        <v>16</v>
      </c>
      <c r="F4381" t="s">
        <v>16</v>
      </c>
      <c r="H4381">
        <v>-0.81</v>
      </c>
      <c r="I4381">
        <v>-11.39</v>
      </c>
      <c r="J4381">
        <v>-4.47</v>
      </c>
      <c r="L4381">
        <v>0.63</v>
      </c>
      <c r="M4381">
        <v>3.01</v>
      </c>
      <c r="N4381">
        <v>0</v>
      </c>
      <c r="O4381">
        <v>0.04</v>
      </c>
    </row>
    <row r="4382" spans="1:15">
      <c r="A4382" t="str">
        <f>"603823"</f>
        <v>603823</v>
      </c>
      <c r="B4382" t="s">
        <v>4426</v>
      </c>
      <c r="C4382">
        <v>-0.36</v>
      </c>
      <c r="D4382">
        <v>46.71</v>
      </c>
      <c r="E4382" t="s">
        <v>16</v>
      </c>
      <c r="F4382" t="s">
        <v>16</v>
      </c>
      <c r="H4382">
        <v>-0.12</v>
      </c>
      <c r="I4382">
        <v>73.45</v>
      </c>
      <c r="J4382">
        <v>-4.18</v>
      </c>
      <c r="L4382">
        <v>-2.97</v>
      </c>
      <c r="M4382">
        <v>800.62</v>
      </c>
      <c r="N4382">
        <v>0.13</v>
      </c>
      <c r="O4382">
        <v>0.38</v>
      </c>
    </row>
    <row r="4383" spans="1:15">
      <c r="A4383" t="str">
        <f>"603825"</f>
        <v>603825</v>
      </c>
      <c r="B4383" t="s">
        <v>4427</v>
      </c>
      <c r="C4383">
        <v>-5.01</v>
      </c>
      <c r="D4383">
        <v>6.64</v>
      </c>
      <c r="E4383">
        <v>356.24</v>
      </c>
      <c r="F4383" t="s">
        <v>16</v>
      </c>
      <c r="H4383">
        <v>0</v>
      </c>
      <c r="I4383">
        <v>-17.62</v>
      </c>
      <c r="J4383">
        <v>-5.82</v>
      </c>
      <c r="L4383">
        <v>0.14</v>
      </c>
      <c r="M4383">
        <v>7.56</v>
      </c>
      <c r="N4383">
        <v>0.01</v>
      </c>
      <c r="O4383">
        <v>0.12</v>
      </c>
    </row>
    <row r="4384" spans="1:15">
      <c r="A4384" t="str">
        <f>"603826"</f>
        <v>603826</v>
      </c>
      <c r="B4384" t="s">
        <v>4428</v>
      </c>
      <c r="C4384">
        <v>-3.12</v>
      </c>
      <c r="D4384">
        <v>31.08</v>
      </c>
      <c r="E4384" t="s">
        <v>16</v>
      </c>
      <c r="F4384" t="s">
        <v>16</v>
      </c>
      <c r="H4384">
        <v>-0.28</v>
      </c>
      <c r="I4384">
        <v>5.75</v>
      </c>
      <c r="J4384">
        <v>-3.63</v>
      </c>
      <c r="L4384">
        <v>-0.12</v>
      </c>
      <c r="M4384">
        <v>64.4</v>
      </c>
      <c r="N4384">
        <v>0.01</v>
      </c>
      <c r="O4384">
        <v>0.89</v>
      </c>
    </row>
    <row r="4385" spans="1:15">
      <c r="A4385" t="str">
        <f>"603828"</f>
        <v>603828</v>
      </c>
      <c r="B4385" t="s">
        <v>4429</v>
      </c>
      <c r="C4385">
        <v>-0.67</v>
      </c>
      <c r="D4385">
        <v>4.48</v>
      </c>
      <c r="E4385" t="s">
        <v>16</v>
      </c>
      <c r="F4385" t="s">
        <v>16</v>
      </c>
      <c r="H4385">
        <v>-0.66</v>
      </c>
      <c r="I4385">
        <v>-17.34</v>
      </c>
      <c r="J4385">
        <v>-4.88</v>
      </c>
      <c r="L4385">
        <v>1.11</v>
      </c>
      <c r="M4385">
        <v>0.05</v>
      </c>
      <c r="N4385">
        <v>0</v>
      </c>
      <c r="O4385">
        <v>0.04</v>
      </c>
    </row>
    <row r="4386" spans="1:15">
      <c r="A4386" t="str">
        <f>"603829"</f>
        <v>603829</v>
      </c>
      <c r="B4386" t="s">
        <v>4430</v>
      </c>
      <c r="C4386">
        <v>-5.08</v>
      </c>
      <c r="D4386">
        <v>18.32</v>
      </c>
      <c r="E4386" t="s">
        <v>16</v>
      </c>
      <c r="F4386" t="s">
        <v>16</v>
      </c>
      <c r="H4386">
        <v>-0.26</v>
      </c>
      <c r="I4386">
        <v>-10.24</v>
      </c>
      <c r="J4386">
        <v>-5.13</v>
      </c>
      <c r="L4386">
        <v>0</v>
      </c>
      <c r="M4386">
        <v>2.32</v>
      </c>
      <c r="N4386">
        <v>0</v>
      </c>
      <c r="O4386">
        <v>0.17</v>
      </c>
    </row>
    <row r="4387" spans="1:15">
      <c r="A4387" t="str">
        <f>"603833"</f>
        <v>603833</v>
      </c>
      <c r="B4387" t="s">
        <v>4431</v>
      </c>
      <c r="C4387">
        <v>-1.47</v>
      </c>
      <c r="D4387">
        <v>33.56</v>
      </c>
      <c r="E4387" t="s">
        <v>16</v>
      </c>
      <c r="F4387" t="s">
        <v>16</v>
      </c>
      <c r="H4387">
        <v>-0.11</v>
      </c>
      <c r="I4387">
        <v>-6.65</v>
      </c>
      <c r="J4387">
        <v>-2.36</v>
      </c>
      <c r="L4387">
        <v>-0.47</v>
      </c>
      <c r="M4387">
        <v>20.34</v>
      </c>
      <c r="N4387">
        <v>0</v>
      </c>
      <c r="O4387">
        <v>0.26</v>
      </c>
    </row>
    <row r="4388" spans="1:15">
      <c r="A4388" t="str">
        <f>"603836"</f>
        <v>603836</v>
      </c>
      <c r="B4388" t="s">
        <v>4432</v>
      </c>
      <c r="C4388">
        <v>0.09</v>
      </c>
      <c r="D4388">
        <v>11.49</v>
      </c>
      <c r="E4388" t="s">
        <v>16</v>
      </c>
      <c r="F4388" t="s">
        <v>16</v>
      </c>
      <c r="H4388">
        <v>0.52</v>
      </c>
      <c r="I4388">
        <v>-6.74</v>
      </c>
      <c r="J4388">
        <v>-0.61</v>
      </c>
      <c r="L4388">
        <v>-1.13</v>
      </c>
      <c r="M4388">
        <v>18.39</v>
      </c>
      <c r="N4388">
        <v>0.01</v>
      </c>
      <c r="O4388">
        <v>3.6</v>
      </c>
    </row>
    <row r="4389" spans="1:15">
      <c r="A4389" t="str">
        <f>"603838"</f>
        <v>603838</v>
      </c>
      <c r="B4389" t="s">
        <v>4433</v>
      </c>
      <c r="C4389">
        <v>1.67</v>
      </c>
      <c r="D4389">
        <v>9.76</v>
      </c>
      <c r="E4389" t="s">
        <v>16</v>
      </c>
      <c r="F4389" t="s">
        <v>16</v>
      </c>
      <c r="H4389">
        <v>-0.5</v>
      </c>
      <c r="I4389">
        <v>9.91</v>
      </c>
      <c r="J4389">
        <v>-3.17</v>
      </c>
      <c r="K4389" t="s">
        <v>26</v>
      </c>
      <c r="L4389">
        <v>0.1</v>
      </c>
      <c r="M4389">
        <v>34.69</v>
      </c>
      <c r="N4389">
        <v>0.03</v>
      </c>
      <c r="O4389">
        <v>2.17</v>
      </c>
    </row>
    <row r="4390" spans="1:15">
      <c r="A4390" t="str">
        <f>"603839"</f>
        <v>603839</v>
      </c>
      <c r="B4390" t="s">
        <v>4434</v>
      </c>
      <c r="C4390">
        <v>-0.32</v>
      </c>
      <c r="D4390">
        <v>6.18</v>
      </c>
      <c r="E4390" t="s">
        <v>16</v>
      </c>
      <c r="F4390" t="s">
        <v>16</v>
      </c>
      <c r="H4390">
        <v>-0.31</v>
      </c>
      <c r="I4390">
        <v>-6.65</v>
      </c>
      <c r="J4390">
        <v>-1.28</v>
      </c>
      <c r="L4390">
        <v>-0.16</v>
      </c>
      <c r="M4390">
        <v>11.58</v>
      </c>
      <c r="N4390">
        <v>0.02</v>
      </c>
      <c r="O4390">
        <v>1.78</v>
      </c>
    </row>
    <row r="4391" spans="1:15">
      <c r="A4391" t="str">
        <f>"603843"</f>
        <v>603843</v>
      </c>
      <c r="B4391" t="s">
        <v>4435</v>
      </c>
      <c r="C4391">
        <v>5.01</v>
      </c>
      <c r="D4391">
        <v>8.8</v>
      </c>
      <c r="E4391">
        <v>941.34</v>
      </c>
      <c r="F4391">
        <v>1</v>
      </c>
      <c r="H4391">
        <v>0</v>
      </c>
      <c r="I4391">
        <v>15.03</v>
      </c>
      <c r="J4391">
        <v>0</v>
      </c>
      <c r="K4391" t="s">
        <v>807</v>
      </c>
      <c r="L4391">
        <v>4.77</v>
      </c>
      <c r="M4391">
        <v>570.52</v>
      </c>
      <c r="N4391">
        <v>0.13</v>
      </c>
      <c r="O4391">
        <v>4.93</v>
      </c>
    </row>
    <row r="4392" spans="1:15">
      <c r="A4392" t="str">
        <f>"603848"</f>
        <v>603848</v>
      </c>
      <c r="B4392" t="s">
        <v>4436</v>
      </c>
      <c r="C4392">
        <v>0.51</v>
      </c>
      <c r="D4392">
        <v>13.76</v>
      </c>
      <c r="E4392" t="s">
        <v>16</v>
      </c>
      <c r="F4392" t="s">
        <v>16</v>
      </c>
      <c r="H4392">
        <v>0</v>
      </c>
      <c r="I4392">
        <v>-2.27</v>
      </c>
      <c r="J4392">
        <v>-1.22</v>
      </c>
      <c r="L4392">
        <v>-0.58</v>
      </c>
      <c r="M4392">
        <v>0.27</v>
      </c>
      <c r="N4392">
        <v>0</v>
      </c>
      <c r="O4392">
        <v>0.05</v>
      </c>
    </row>
    <row r="4393" spans="1:15">
      <c r="A4393" t="str">
        <f>"603855"</f>
        <v>603855</v>
      </c>
      <c r="B4393" t="s">
        <v>4437</v>
      </c>
      <c r="C4393">
        <v>-2.1</v>
      </c>
      <c r="D4393">
        <v>17.24</v>
      </c>
      <c r="E4393" t="s">
        <v>16</v>
      </c>
      <c r="F4393" t="s">
        <v>16</v>
      </c>
      <c r="H4393">
        <v>0.06</v>
      </c>
      <c r="I4393">
        <v>-3.31</v>
      </c>
      <c r="J4393">
        <v>-2.1</v>
      </c>
      <c r="L4393">
        <v>0</v>
      </c>
      <c r="M4393">
        <v>0.18</v>
      </c>
      <c r="N4393">
        <v>0</v>
      </c>
      <c r="O4393">
        <v>0.15</v>
      </c>
    </row>
    <row r="4394" spans="1:15">
      <c r="A4394" t="str">
        <f>"603856"</f>
        <v>603856</v>
      </c>
      <c r="B4394" t="s">
        <v>4438</v>
      </c>
      <c r="C4394">
        <v>0.4</v>
      </c>
      <c r="D4394">
        <v>12.55</v>
      </c>
      <c r="E4394" t="s">
        <v>16</v>
      </c>
      <c r="F4394" t="s">
        <v>16</v>
      </c>
      <c r="H4394">
        <v>0.64</v>
      </c>
      <c r="I4394">
        <v>6.18</v>
      </c>
      <c r="J4394">
        <v>-0.55</v>
      </c>
      <c r="L4394">
        <v>-0.24</v>
      </c>
      <c r="M4394">
        <v>4.61</v>
      </c>
      <c r="N4394">
        <v>0</v>
      </c>
      <c r="O4394">
        <v>0.17</v>
      </c>
    </row>
    <row r="4395" spans="1:15">
      <c r="A4395" t="str">
        <f>"603858"</f>
        <v>603858</v>
      </c>
      <c r="B4395" t="s">
        <v>4439</v>
      </c>
      <c r="C4395">
        <v>-0.71</v>
      </c>
      <c r="D4395">
        <v>15.28</v>
      </c>
      <c r="E4395" t="s">
        <v>16</v>
      </c>
      <c r="F4395" t="s">
        <v>16</v>
      </c>
      <c r="H4395">
        <v>-0.19</v>
      </c>
      <c r="I4395">
        <v>2.96</v>
      </c>
      <c r="J4395">
        <v>-2.24</v>
      </c>
      <c r="L4395">
        <v>0.78</v>
      </c>
      <c r="M4395">
        <v>39.55</v>
      </c>
      <c r="N4395">
        <v>0.01</v>
      </c>
      <c r="O4395">
        <v>3.23</v>
      </c>
    </row>
    <row r="4396" spans="1:15">
      <c r="A4396" t="str">
        <f>"603859"</f>
        <v>603859</v>
      </c>
      <c r="B4396" t="s">
        <v>4440</v>
      </c>
      <c r="C4396">
        <v>4.2</v>
      </c>
      <c r="D4396">
        <v>52.9</v>
      </c>
      <c r="E4396" t="s">
        <v>16</v>
      </c>
      <c r="F4396" t="s">
        <v>16</v>
      </c>
      <c r="H4396">
        <v>0.23</v>
      </c>
      <c r="I4396">
        <v>28.62</v>
      </c>
      <c r="J4396">
        <v>-0.92</v>
      </c>
      <c r="L4396">
        <v>1.04</v>
      </c>
      <c r="M4396">
        <v>534.03</v>
      </c>
      <c r="N4396">
        <v>0.06</v>
      </c>
      <c r="O4396">
        <v>1.04</v>
      </c>
    </row>
    <row r="4397" spans="1:15">
      <c r="A4397" t="str">
        <f>"603860"</f>
        <v>603860</v>
      </c>
      <c r="B4397" t="s">
        <v>4441</v>
      </c>
      <c r="C4397">
        <v>-1.27</v>
      </c>
      <c r="D4397">
        <v>25.56</v>
      </c>
      <c r="E4397" t="s">
        <v>16</v>
      </c>
      <c r="F4397" t="s">
        <v>16</v>
      </c>
      <c r="H4397">
        <v>-0.15</v>
      </c>
      <c r="I4397">
        <v>-5.99</v>
      </c>
      <c r="J4397">
        <v>-1.43</v>
      </c>
      <c r="L4397">
        <v>-0.7</v>
      </c>
      <c r="M4397">
        <v>48.33</v>
      </c>
      <c r="N4397">
        <v>0.05</v>
      </c>
      <c r="O4397">
        <v>3.69</v>
      </c>
    </row>
    <row r="4398" spans="1:15">
      <c r="A4398" t="str">
        <f>"603861"</f>
        <v>603861</v>
      </c>
      <c r="B4398" t="s">
        <v>4442</v>
      </c>
      <c r="C4398">
        <v>-2.89</v>
      </c>
      <c r="D4398">
        <v>15.43</v>
      </c>
      <c r="E4398" t="s">
        <v>16</v>
      </c>
      <c r="F4398" t="s">
        <v>16</v>
      </c>
      <c r="H4398">
        <v>0.19</v>
      </c>
      <c r="I4398">
        <v>-11.07</v>
      </c>
      <c r="J4398">
        <v>-3.44</v>
      </c>
      <c r="K4398" t="s">
        <v>26</v>
      </c>
      <c r="L4398">
        <v>0.06</v>
      </c>
      <c r="M4398">
        <v>206.86</v>
      </c>
      <c r="N4398">
        <v>0.05</v>
      </c>
      <c r="O4398">
        <v>0.33</v>
      </c>
    </row>
    <row r="4399" spans="1:15">
      <c r="A4399" t="str">
        <f>"603863"</f>
        <v>603863</v>
      </c>
      <c r="B4399" t="s">
        <v>4443</v>
      </c>
      <c r="C4399">
        <v>-2.27</v>
      </c>
      <c r="D4399">
        <v>14.18</v>
      </c>
      <c r="E4399" t="s">
        <v>16</v>
      </c>
      <c r="F4399" t="s">
        <v>16</v>
      </c>
      <c r="H4399">
        <v>-0.41</v>
      </c>
      <c r="I4399">
        <v>-10.71</v>
      </c>
      <c r="J4399">
        <v>-2.88</v>
      </c>
      <c r="L4399">
        <v>-0.83</v>
      </c>
      <c r="M4399">
        <v>11.94</v>
      </c>
      <c r="N4399">
        <v>0.01</v>
      </c>
      <c r="O4399">
        <v>2.44</v>
      </c>
    </row>
    <row r="4400" spans="1:15">
      <c r="A4400" t="str">
        <f>"603866"</f>
        <v>603866</v>
      </c>
      <c r="B4400" t="s">
        <v>4444</v>
      </c>
      <c r="C4400">
        <v>-2.94</v>
      </c>
      <c r="D4400">
        <v>3.96</v>
      </c>
      <c r="E4400" t="s">
        <v>16</v>
      </c>
      <c r="F4400" t="s">
        <v>16</v>
      </c>
      <c r="H4400">
        <v>0</v>
      </c>
      <c r="I4400">
        <v>-13.91</v>
      </c>
      <c r="J4400">
        <v>-2.7</v>
      </c>
      <c r="L4400">
        <v>-0.25</v>
      </c>
      <c r="M4400">
        <v>14.16</v>
      </c>
      <c r="N4400">
        <v>0.01</v>
      </c>
      <c r="O4400">
        <v>0.29</v>
      </c>
    </row>
    <row r="4401" spans="1:15">
      <c r="A4401" t="str">
        <f>"603867"</f>
        <v>603867</v>
      </c>
      <c r="B4401" t="s">
        <v>4445</v>
      </c>
      <c r="C4401">
        <v>-1.26</v>
      </c>
      <c r="D4401">
        <v>39.1</v>
      </c>
      <c r="E4401" t="s">
        <v>16</v>
      </c>
      <c r="F4401" t="s">
        <v>16</v>
      </c>
      <c r="H4401">
        <v>0.08</v>
      </c>
      <c r="I4401">
        <v>6.45</v>
      </c>
      <c r="J4401">
        <v>-3.12</v>
      </c>
      <c r="L4401">
        <v>-0.68</v>
      </c>
      <c r="M4401">
        <v>72.37</v>
      </c>
      <c r="N4401">
        <v>0.01</v>
      </c>
      <c r="O4401">
        <v>1.69</v>
      </c>
    </row>
    <row r="4402" spans="1:15">
      <c r="A4402" t="str">
        <f>"603868"</f>
        <v>603868</v>
      </c>
      <c r="B4402" t="s">
        <v>4446</v>
      </c>
      <c r="C4402">
        <v>5.97</v>
      </c>
      <c r="D4402">
        <v>34.44</v>
      </c>
      <c r="E4402" t="s">
        <v>16</v>
      </c>
      <c r="F4402" t="s">
        <v>16</v>
      </c>
      <c r="H4402">
        <v>-0.39</v>
      </c>
      <c r="I4402">
        <v>1.2</v>
      </c>
      <c r="J4402">
        <v>-0.81</v>
      </c>
      <c r="L4402">
        <v>0</v>
      </c>
      <c r="M4402">
        <v>19.18</v>
      </c>
      <c r="N4402">
        <v>0.01</v>
      </c>
      <c r="O4402">
        <v>1.41</v>
      </c>
    </row>
    <row r="4403" spans="1:15">
      <c r="A4403" t="str">
        <f>"603869"</f>
        <v>603869</v>
      </c>
      <c r="B4403" t="s">
        <v>4447</v>
      </c>
      <c r="C4403">
        <v>-0.67</v>
      </c>
      <c r="D4403">
        <v>8.85</v>
      </c>
      <c r="E4403" t="s">
        <v>16</v>
      </c>
      <c r="F4403" t="s">
        <v>16</v>
      </c>
      <c r="H4403">
        <v>-0.1</v>
      </c>
      <c r="I4403">
        <v>-9.42</v>
      </c>
      <c r="J4403">
        <v>-1.56</v>
      </c>
      <c r="L4403">
        <v>-0.34</v>
      </c>
      <c r="M4403">
        <v>0</v>
      </c>
      <c r="N4403">
        <v>0</v>
      </c>
      <c r="O4403">
        <v>0</v>
      </c>
    </row>
    <row r="4404" spans="1:15">
      <c r="A4404" t="str">
        <f>"603871"</f>
        <v>603871</v>
      </c>
      <c r="B4404" t="s">
        <v>4448</v>
      </c>
      <c r="C4404">
        <v>-4.3</v>
      </c>
      <c r="D4404">
        <v>11.14</v>
      </c>
      <c r="E4404" t="s">
        <v>16</v>
      </c>
      <c r="F4404" t="s">
        <v>16</v>
      </c>
      <c r="H4404">
        <v>0.27</v>
      </c>
      <c r="I4404">
        <v>-10.23</v>
      </c>
      <c r="J4404">
        <v>-4.3</v>
      </c>
      <c r="L4404">
        <v>-0.09</v>
      </c>
      <c r="M4404">
        <v>28.73</v>
      </c>
      <c r="N4404">
        <v>0</v>
      </c>
      <c r="O4404">
        <v>1.38</v>
      </c>
    </row>
    <row r="4405" spans="1:15">
      <c r="A4405" t="str">
        <f>"603876"</f>
        <v>603876</v>
      </c>
      <c r="B4405" t="s">
        <v>4449</v>
      </c>
      <c r="C4405">
        <v>-2.65</v>
      </c>
      <c r="D4405">
        <v>25.35</v>
      </c>
      <c r="E4405" t="s">
        <v>16</v>
      </c>
      <c r="F4405" t="s">
        <v>16</v>
      </c>
      <c r="H4405">
        <v>0.04</v>
      </c>
      <c r="I4405">
        <v>0.4</v>
      </c>
      <c r="J4405">
        <v>-5.41</v>
      </c>
      <c r="L4405">
        <v>-1.38</v>
      </c>
      <c r="M4405">
        <v>265.27</v>
      </c>
      <c r="N4405">
        <v>0.02</v>
      </c>
      <c r="O4405">
        <v>1.81</v>
      </c>
    </row>
    <row r="4406" spans="1:15">
      <c r="A4406" t="str">
        <f>"603877"</f>
        <v>603877</v>
      </c>
      <c r="B4406" t="s">
        <v>4450</v>
      </c>
      <c r="C4406">
        <v>-1.23</v>
      </c>
      <c r="D4406">
        <v>12.87</v>
      </c>
      <c r="E4406" t="s">
        <v>16</v>
      </c>
      <c r="F4406" t="s">
        <v>16</v>
      </c>
      <c r="H4406">
        <v>-0.22</v>
      </c>
      <c r="I4406">
        <v>2.55</v>
      </c>
      <c r="J4406">
        <v>-1.23</v>
      </c>
      <c r="L4406">
        <v>-0.46</v>
      </c>
      <c r="M4406">
        <v>4.02</v>
      </c>
      <c r="N4406">
        <v>0</v>
      </c>
      <c r="O4406">
        <v>0.76</v>
      </c>
    </row>
    <row r="4407" spans="1:15">
      <c r="A4407" t="str">
        <f>"603878"</f>
        <v>603878</v>
      </c>
      <c r="B4407" t="s">
        <v>4451</v>
      </c>
      <c r="C4407">
        <v>2.36</v>
      </c>
      <c r="D4407">
        <v>6.07</v>
      </c>
      <c r="E4407" t="s">
        <v>16</v>
      </c>
      <c r="F4407" t="s">
        <v>16</v>
      </c>
      <c r="H4407">
        <v>0.17</v>
      </c>
      <c r="I4407">
        <v>-6.33</v>
      </c>
      <c r="J4407">
        <v>-2.57</v>
      </c>
      <c r="L4407">
        <v>-1.35</v>
      </c>
      <c r="M4407">
        <v>22.35</v>
      </c>
      <c r="N4407">
        <v>0.01</v>
      </c>
      <c r="O4407">
        <v>0.34</v>
      </c>
    </row>
    <row r="4408" spans="1:15">
      <c r="A4408" t="str">
        <f>"603879"</f>
        <v>603879</v>
      </c>
      <c r="B4408" t="s">
        <v>4452</v>
      </c>
      <c r="C4408">
        <v>-0.65</v>
      </c>
      <c r="D4408">
        <v>4.56</v>
      </c>
      <c r="E4408" t="s">
        <v>16</v>
      </c>
      <c r="F4408" t="s">
        <v>16</v>
      </c>
      <c r="H4408">
        <v>0</v>
      </c>
      <c r="I4408">
        <v>-7.32</v>
      </c>
      <c r="J4408">
        <v>-1.72</v>
      </c>
      <c r="L4408">
        <v>-1.53</v>
      </c>
      <c r="M4408">
        <v>29.2</v>
      </c>
      <c r="N4408">
        <v>0.03</v>
      </c>
      <c r="O4408">
        <v>1.05</v>
      </c>
    </row>
    <row r="4409" spans="1:15">
      <c r="A4409" t="str">
        <f>"603880"</f>
        <v>603880</v>
      </c>
      <c r="B4409" t="s">
        <v>4453</v>
      </c>
      <c r="C4409">
        <v>-4.47</v>
      </c>
      <c r="D4409">
        <v>7.7</v>
      </c>
      <c r="E4409" t="s">
        <v>16</v>
      </c>
      <c r="F4409" t="s">
        <v>16</v>
      </c>
      <c r="H4409">
        <v>-0.12</v>
      </c>
      <c r="I4409">
        <v>-2.65</v>
      </c>
      <c r="J4409">
        <v>-6.89</v>
      </c>
      <c r="K4409" t="s">
        <v>54</v>
      </c>
      <c r="L4409">
        <v>-0.87</v>
      </c>
      <c r="M4409">
        <v>117.85</v>
      </c>
      <c r="N4409">
        <v>0.1</v>
      </c>
      <c r="O4409">
        <v>28.92</v>
      </c>
    </row>
    <row r="4410" spans="1:15">
      <c r="A4410" t="str">
        <f>"603881"</f>
        <v>603881</v>
      </c>
      <c r="B4410" t="s">
        <v>4454</v>
      </c>
      <c r="C4410">
        <v>2.14</v>
      </c>
      <c r="D4410">
        <v>32.44</v>
      </c>
      <c r="E4410" t="s">
        <v>16</v>
      </c>
      <c r="F4410" t="s">
        <v>16</v>
      </c>
      <c r="H4410">
        <v>0.03</v>
      </c>
      <c r="I4410">
        <v>-13.26</v>
      </c>
      <c r="J4410">
        <v>-1.1</v>
      </c>
      <c r="L4410">
        <v>0</v>
      </c>
      <c r="M4410">
        <v>108.94</v>
      </c>
      <c r="N4410">
        <v>0.01</v>
      </c>
      <c r="O4410">
        <v>0.47</v>
      </c>
    </row>
    <row r="4411" spans="1:15">
      <c r="A4411" t="str">
        <f>"603882"</f>
        <v>603882</v>
      </c>
      <c r="B4411" t="s">
        <v>4455</v>
      </c>
      <c r="C4411">
        <v>0.37</v>
      </c>
      <c r="D4411">
        <v>24.59</v>
      </c>
      <c r="E4411" t="s">
        <v>16</v>
      </c>
      <c r="F4411" t="s">
        <v>16</v>
      </c>
      <c r="H4411">
        <v>0.04</v>
      </c>
      <c r="I4411">
        <v>2.29</v>
      </c>
      <c r="J4411">
        <v>-1.64</v>
      </c>
      <c r="L4411">
        <v>0.2</v>
      </c>
      <c r="M4411">
        <v>22.1</v>
      </c>
      <c r="N4411">
        <v>0</v>
      </c>
      <c r="O4411">
        <v>2.14</v>
      </c>
    </row>
    <row r="4412" spans="1:15">
      <c r="A4412" t="str">
        <f>"603883"</f>
        <v>603883</v>
      </c>
      <c r="B4412" t="s">
        <v>4456</v>
      </c>
      <c r="C4412">
        <v>-0.17</v>
      </c>
      <c r="D4412">
        <v>11.82</v>
      </c>
      <c r="E4412" t="s">
        <v>16</v>
      </c>
      <c r="F4412" t="s">
        <v>16</v>
      </c>
      <c r="H4412">
        <v>0.08</v>
      </c>
      <c r="I4412">
        <v>0.51</v>
      </c>
      <c r="J4412">
        <v>-0.84</v>
      </c>
      <c r="L4412">
        <v>-0.42</v>
      </c>
      <c r="M4412">
        <v>27</v>
      </c>
      <c r="N4412">
        <v>0.01</v>
      </c>
      <c r="O4412">
        <v>2.27</v>
      </c>
    </row>
    <row r="4413" spans="1:15">
      <c r="A4413" t="str">
        <f>"603885"</f>
        <v>603885</v>
      </c>
      <c r="B4413" t="s">
        <v>4457</v>
      </c>
      <c r="C4413">
        <v>-4.4</v>
      </c>
      <c r="D4413">
        <v>10.86</v>
      </c>
      <c r="E4413" t="s">
        <v>16</v>
      </c>
      <c r="F4413" t="s">
        <v>16</v>
      </c>
      <c r="H4413">
        <v>0.18</v>
      </c>
      <c r="I4413">
        <v>1.12</v>
      </c>
      <c r="J4413">
        <v>-4.4</v>
      </c>
      <c r="L4413">
        <v>0</v>
      </c>
      <c r="M4413">
        <v>127.12</v>
      </c>
      <c r="N4413">
        <v>0.01</v>
      </c>
      <c r="O4413">
        <v>0.86</v>
      </c>
    </row>
    <row r="4414" spans="1:15">
      <c r="A4414" t="str">
        <f>"603886"</f>
        <v>603886</v>
      </c>
      <c r="B4414" t="s">
        <v>4458</v>
      </c>
      <c r="C4414">
        <v>-3.46</v>
      </c>
      <c r="D4414">
        <v>13.12</v>
      </c>
      <c r="E4414" t="s">
        <v>16</v>
      </c>
      <c r="F4414" t="s">
        <v>16</v>
      </c>
      <c r="H4414">
        <v>-0.22</v>
      </c>
      <c r="I4414">
        <v>8.43</v>
      </c>
      <c r="J4414">
        <v>-5.2</v>
      </c>
      <c r="L4414">
        <v>-0.29</v>
      </c>
      <c r="M4414">
        <v>108.26</v>
      </c>
      <c r="N4414">
        <v>0.07</v>
      </c>
      <c r="O4414">
        <v>1.29</v>
      </c>
    </row>
    <row r="4415" spans="1:15">
      <c r="A4415" t="str">
        <f>"603887"</f>
        <v>603887</v>
      </c>
      <c r="B4415" t="s">
        <v>4459</v>
      </c>
      <c r="C4415">
        <v>-0.66</v>
      </c>
      <c r="D4415">
        <v>10.53</v>
      </c>
      <c r="E4415" t="s">
        <v>16</v>
      </c>
      <c r="F4415" t="s">
        <v>16</v>
      </c>
      <c r="H4415">
        <v>-0.08</v>
      </c>
      <c r="I4415">
        <v>-11.51</v>
      </c>
      <c r="J4415">
        <v>-2.14</v>
      </c>
      <c r="L4415">
        <v>0.66</v>
      </c>
      <c r="M4415">
        <v>62.53</v>
      </c>
      <c r="N4415">
        <v>0.01</v>
      </c>
      <c r="O4415">
        <v>1.56</v>
      </c>
    </row>
    <row r="4416" spans="1:15">
      <c r="A4416" t="str">
        <f>"603888"</f>
        <v>603888</v>
      </c>
      <c r="B4416" t="s">
        <v>4460</v>
      </c>
      <c r="C4416">
        <v>0.7</v>
      </c>
      <c r="D4416">
        <v>18.82</v>
      </c>
      <c r="E4416" t="s">
        <v>16</v>
      </c>
      <c r="F4416" t="s">
        <v>16</v>
      </c>
      <c r="H4416">
        <v>0</v>
      </c>
      <c r="I4416">
        <v>7.54</v>
      </c>
      <c r="J4416">
        <v>-1.21</v>
      </c>
      <c r="L4416">
        <v>-0.11</v>
      </c>
      <c r="M4416">
        <v>36.8</v>
      </c>
      <c r="N4416">
        <v>0.01</v>
      </c>
      <c r="O4416">
        <v>0.24</v>
      </c>
    </row>
    <row r="4417" spans="1:15">
      <c r="A4417" t="str">
        <f>"603889"</f>
        <v>603889</v>
      </c>
      <c r="B4417" t="s">
        <v>4461</v>
      </c>
      <c r="C4417">
        <v>-0.52</v>
      </c>
      <c r="D4417">
        <v>5.7</v>
      </c>
      <c r="E4417" t="s">
        <v>16</v>
      </c>
      <c r="F4417" t="s">
        <v>16</v>
      </c>
      <c r="H4417">
        <v>-0.17</v>
      </c>
      <c r="I4417">
        <v>-3.88</v>
      </c>
      <c r="J4417">
        <v>-1.38</v>
      </c>
      <c r="L4417">
        <v>-0.7</v>
      </c>
      <c r="M4417">
        <v>6.14</v>
      </c>
      <c r="N4417">
        <v>0</v>
      </c>
      <c r="O4417">
        <v>1.52</v>
      </c>
    </row>
    <row r="4418" spans="1:15">
      <c r="A4418" t="str">
        <f>"603890"</f>
        <v>603890</v>
      </c>
      <c r="B4418" t="s">
        <v>4462</v>
      </c>
      <c r="C4418">
        <v>3.46</v>
      </c>
      <c r="D4418">
        <v>25.75</v>
      </c>
      <c r="E4418" t="s">
        <v>16</v>
      </c>
      <c r="F4418" t="s">
        <v>16</v>
      </c>
      <c r="H4418">
        <v>0.12</v>
      </c>
      <c r="I4418">
        <v>-11.69</v>
      </c>
      <c r="J4418">
        <v>-0.66</v>
      </c>
      <c r="L4418">
        <v>-0.88</v>
      </c>
      <c r="M4418">
        <v>433.45</v>
      </c>
      <c r="N4418">
        <v>0.06</v>
      </c>
      <c r="O4418">
        <v>0.34</v>
      </c>
    </row>
    <row r="4419" spans="1:15">
      <c r="A4419" t="str">
        <f>"603893"</f>
        <v>603893</v>
      </c>
      <c r="B4419" t="s">
        <v>4463</v>
      </c>
      <c r="C4419">
        <v>2.68</v>
      </c>
      <c r="D4419">
        <v>180.66</v>
      </c>
      <c r="E4419" t="s">
        <v>16</v>
      </c>
      <c r="F4419" t="s">
        <v>16</v>
      </c>
      <c r="H4419">
        <v>-0.31</v>
      </c>
      <c r="I4419">
        <v>4.24</v>
      </c>
      <c r="J4419">
        <v>-2.33</v>
      </c>
      <c r="L4419">
        <v>-0.24</v>
      </c>
      <c r="M4419">
        <v>559.94</v>
      </c>
      <c r="N4419">
        <v>0.02</v>
      </c>
      <c r="O4419">
        <v>0.53</v>
      </c>
    </row>
    <row r="4420" spans="1:15">
      <c r="A4420" t="str">
        <f>"603895"</f>
        <v>603895</v>
      </c>
      <c r="B4420" t="s">
        <v>4464</v>
      </c>
      <c r="C4420">
        <v>1.46</v>
      </c>
      <c r="D4420">
        <v>30.6</v>
      </c>
      <c r="E4420" t="s">
        <v>16</v>
      </c>
      <c r="F4420" t="s">
        <v>16</v>
      </c>
      <c r="H4420">
        <v>0</v>
      </c>
      <c r="I4420">
        <v>-7.1</v>
      </c>
      <c r="J4420">
        <v>-1.29</v>
      </c>
      <c r="L4420">
        <v>0.2</v>
      </c>
      <c r="M4420">
        <v>2.72</v>
      </c>
      <c r="N4420">
        <v>0</v>
      </c>
      <c r="O4420">
        <v>0.24</v>
      </c>
    </row>
    <row r="4421" spans="1:15">
      <c r="A4421" t="str">
        <f>"603896"</f>
        <v>603896</v>
      </c>
      <c r="B4421" t="s">
        <v>4465</v>
      </c>
      <c r="C4421">
        <v>-7.12</v>
      </c>
      <c r="D4421">
        <v>14.6</v>
      </c>
      <c r="E4421" t="s">
        <v>16</v>
      </c>
      <c r="F4421" t="s">
        <v>16</v>
      </c>
      <c r="H4421">
        <v>-0.26</v>
      </c>
      <c r="I4421">
        <v>-7.59</v>
      </c>
      <c r="J4421">
        <v>-6.71</v>
      </c>
      <c r="L4421">
        <v>-0.45</v>
      </c>
      <c r="M4421">
        <v>26.14</v>
      </c>
      <c r="N4421">
        <v>0.01</v>
      </c>
      <c r="O4421">
        <v>5.97</v>
      </c>
    </row>
    <row r="4422" spans="1:15">
      <c r="A4422" t="str">
        <f>"603897"</f>
        <v>603897</v>
      </c>
      <c r="B4422" t="s">
        <v>4466</v>
      </c>
      <c r="C4422">
        <v>3.12</v>
      </c>
      <c r="D4422">
        <v>38.36</v>
      </c>
      <c r="E4422" t="s">
        <v>16</v>
      </c>
      <c r="F4422" t="s">
        <v>16</v>
      </c>
      <c r="H4422">
        <v>-0.35</v>
      </c>
      <c r="I4422">
        <v>-10.48</v>
      </c>
      <c r="J4422">
        <v>-2.91</v>
      </c>
      <c r="L4422">
        <v>0.03</v>
      </c>
      <c r="M4422">
        <v>78.51</v>
      </c>
      <c r="N4422">
        <v>0.02</v>
      </c>
      <c r="O4422">
        <v>2.09</v>
      </c>
    </row>
    <row r="4423" spans="1:15">
      <c r="A4423" t="str">
        <f>"603898"</f>
        <v>603898</v>
      </c>
      <c r="B4423" t="s">
        <v>4467</v>
      </c>
      <c r="C4423">
        <v>-0.48</v>
      </c>
      <c r="D4423">
        <v>12.5</v>
      </c>
      <c r="E4423" t="s">
        <v>16</v>
      </c>
      <c r="F4423" t="s">
        <v>16</v>
      </c>
      <c r="H4423">
        <v>0.08</v>
      </c>
      <c r="I4423">
        <v>0.16</v>
      </c>
      <c r="J4423">
        <v>-0.71</v>
      </c>
      <c r="L4423">
        <v>-0.72</v>
      </c>
      <c r="M4423">
        <v>4.86</v>
      </c>
      <c r="N4423">
        <v>0</v>
      </c>
      <c r="O4423">
        <v>3</v>
      </c>
    </row>
    <row r="4424" spans="1:15">
      <c r="A4424" t="str">
        <f>"603899"</f>
        <v>603899</v>
      </c>
      <c r="B4424" t="s">
        <v>4468</v>
      </c>
      <c r="C4424">
        <v>-2.29</v>
      </c>
      <c r="D4424">
        <v>21.3</v>
      </c>
      <c r="E4424" t="s">
        <v>16</v>
      </c>
      <c r="F4424" t="s">
        <v>16</v>
      </c>
      <c r="H4424">
        <v>-0.08</v>
      </c>
      <c r="I4424">
        <v>-3.09</v>
      </c>
      <c r="J4424">
        <v>-2.07</v>
      </c>
      <c r="L4424">
        <v>-0.23</v>
      </c>
      <c r="M4424">
        <v>10.01</v>
      </c>
      <c r="N4424">
        <v>0</v>
      </c>
      <c r="O4424">
        <v>0.32</v>
      </c>
    </row>
    <row r="4425" spans="1:15">
      <c r="A4425" t="str">
        <f>"603900"</f>
        <v>603900</v>
      </c>
      <c r="B4425" t="s">
        <v>4469</v>
      </c>
      <c r="C4425">
        <v>-0.66</v>
      </c>
      <c r="D4425">
        <v>6.03</v>
      </c>
      <c r="E4425" t="s">
        <v>16</v>
      </c>
      <c r="F4425" t="s">
        <v>16</v>
      </c>
      <c r="H4425">
        <v>-0.32</v>
      </c>
      <c r="I4425">
        <v>-6.66</v>
      </c>
      <c r="J4425">
        <v>-1.47</v>
      </c>
      <c r="L4425">
        <v>-0.33</v>
      </c>
      <c r="M4425">
        <v>17.61</v>
      </c>
      <c r="N4425">
        <v>0.01</v>
      </c>
      <c r="O4425">
        <v>1.48</v>
      </c>
    </row>
    <row r="4426" spans="1:15">
      <c r="A4426" t="str">
        <f>"603901"</f>
        <v>603901</v>
      </c>
      <c r="B4426" t="s">
        <v>4470</v>
      </c>
      <c r="C4426">
        <v>0.47</v>
      </c>
      <c r="D4426">
        <v>10.78</v>
      </c>
      <c r="E4426" t="s">
        <v>16</v>
      </c>
      <c r="F4426" t="s">
        <v>16</v>
      </c>
      <c r="H4426">
        <v>-0.27</v>
      </c>
      <c r="I4426">
        <v>-1.55</v>
      </c>
      <c r="J4426">
        <v>-0.92</v>
      </c>
      <c r="L4426">
        <v>-0.65</v>
      </c>
      <c r="M4426">
        <v>20.25</v>
      </c>
      <c r="N4426">
        <v>0.01</v>
      </c>
      <c r="O4426">
        <v>1.3</v>
      </c>
    </row>
    <row r="4427" spans="1:15">
      <c r="A4427" t="str">
        <f>"603903"</f>
        <v>603903</v>
      </c>
      <c r="B4427" t="s">
        <v>4471</v>
      </c>
      <c r="C4427">
        <v>-0.68</v>
      </c>
      <c r="D4427">
        <v>11.65</v>
      </c>
      <c r="E4427" t="s">
        <v>16</v>
      </c>
      <c r="F4427" t="s">
        <v>16</v>
      </c>
      <c r="H4427">
        <v>0.26</v>
      </c>
      <c r="I4427">
        <v>-5.44</v>
      </c>
      <c r="J4427">
        <v>-1.6</v>
      </c>
      <c r="L4427">
        <v>0.09</v>
      </c>
      <c r="M4427">
        <v>62.69</v>
      </c>
      <c r="N4427">
        <v>0.04</v>
      </c>
      <c r="O4427">
        <v>1.09</v>
      </c>
    </row>
    <row r="4428" spans="1:15">
      <c r="A4428" t="str">
        <f>"603906"</f>
        <v>603906</v>
      </c>
      <c r="B4428" t="s">
        <v>4472</v>
      </c>
      <c r="C4428">
        <v>-4.69</v>
      </c>
      <c r="D4428">
        <v>23.8</v>
      </c>
      <c r="E4428" t="s">
        <v>16</v>
      </c>
      <c r="F4428" t="s">
        <v>16</v>
      </c>
      <c r="H4428">
        <v>0.04</v>
      </c>
      <c r="I4428">
        <v>0.17</v>
      </c>
      <c r="J4428">
        <v>-7.39</v>
      </c>
      <c r="L4428">
        <v>-0.56</v>
      </c>
      <c r="M4428">
        <v>473.51</v>
      </c>
      <c r="N4428">
        <v>0.06</v>
      </c>
      <c r="O4428">
        <v>0.58</v>
      </c>
    </row>
    <row r="4429" spans="1:15">
      <c r="A4429" t="str">
        <f>"603908"</f>
        <v>603908</v>
      </c>
      <c r="B4429" t="s">
        <v>4473</v>
      </c>
      <c r="C4429">
        <v>-0.32</v>
      </c>
      <c r="D4429">
        <v>18.42</v>
      </c>
      <c r="E4429" t="s">
        <v>16</v>
      </c>
      <c r="F4429" t="s">
        <v>16</v>
      </c>
      <c r="H4429">
        <v>0.16</v>
      </c>
      <c r="I4429">
        <v>-5.73</v>
      </c>
      <c r="J4429">
        <v>-1.34</v>
      </c>
      <c r="L4429">
        <v>-0.43</v>
      </c>
      <c r="M4429">
        <v>28.89</v>
      </c>
      <c r="N4429">
        <v>0.04</v>
      </c>
      <c r="O4429">
        <v>1.3</v>
      </c>
    </row>
    <row r="4430" spans="1:15">
      <c r="A4430" t="str">
        <f>"603909"</f>
        <v>603909</v>
      </c>
      <c r="B4430" t="s">
        <v>4474</v>
      </c>
      <c r="C4430">
        <v>-0.63</v>
      </c>
      <c r="D4430">
        <v>9.42</v>
      </c>
      <c r="E4430" t="s">
        <v>16</v>
      </c>
      <c r="F4430" t="s">
        <v>16</v>
      </c>
      <c r="H4430">
        <v>0.75</v>
      </c>
      <c r="I4430">
        <v>-4.46</v>
      </c>
      <c r="J4430">
        <v>-1.57</v>
      </c>
      <c r="L4430">
        <v>0.95</v>
      </c>
      <c r="M4430">
        <v>8.23</v>
      </c>
      <c r="N4430">
        <v>0.01</v>
      </c>
      <c r="O4430">
        <v>2.1</v>
      </c>
    </row>
    <row r="4431" spans="1:15">
      <c r="A4431" t="str">
        <f>"603912"</f>
        <v>603912</v>
      </c>
      <c r="B4431" t="s">
        <v>4475</v>
      </c>
      <c r="C4431">
        <v>4.08</v>
      </c>
      <c r="D4431">
        <v>8.68</v>
      </c>
      <c r="E4431" t="s">
        <v>16</v>
      </c>
      <c r="F4431" t="s">
        <v>16</v>
      </c>
      <c r="H4431">
        <v>-0.22</v>
      </c>
      <c r="I4431">
        <v>-2.47</v>
      </c>
      <c r="J4431">
        <v>-1.25</v>
      </c>
      <c r="L4431">
        <v>0</v>
      </c>
      <c r="M4431">
        <v>14.85</v>
      </c>
      <c r="N4431">
        <v>0.01</v>
      </c>
      <c r="O4431">
        <v>0.99</v>
      </c>
    </row>
    <row r="4432" spans="1:15">
      <c r="A4432" t="str">
        <f>"603915"</f>
        <v>603915</v>
      </c>
      <c r="B4432" t="s">
        <v>4476</v>
      </c>
      <c r="C4432">
        <v>0.57</v>
      </c>
      <c r="D4432">
        <v>15.92</v>
      </c>
      <c r="E4432" t="s">
        <v>16</v>
      </c>
      <c r="F4432" t="s">
        <v>16</v>
      </c>
      <c r="H4432">
        <v>0</v>
      </c>
      <c r="I4432">
        <v>0.32</v>
      </c>
      <c r="J4432">
        <v>-2.57</v>
      </c>
      <c r="L4432">
        <v>-0.06</v>
      </c>
      <c r="M4432">
        <v>30.37</v>
      </c>
      <c r="N4432">
        <v>0.01</v>
      </c>
      <c r="O4432">
        <v>0.54</v>
      </c>
    </row>
    <row r="4433" spans="1:15">
      <c r="A4433" t="str">
        <f>"603916"</f>
        <v>603916</v>
      </c>
      <c r="B4433" t="s">
        <v>4477</v>
      </c>
      <c r="C4433">
        <v>7.07</v>
      </c>
      <c r="D4433">
        <v>14.23</v>
      </c>
      <c r="E4433" t="s">
        <v>16</v>
      </c>
      <c r="F4433" t="s">
        <v>16</v>
      </c>
      <c r="H4433">
        <v>0.35</v>
      </c>
      <c r="I4433">
        <v>4.02</v>
      </c>
      <c r="J4433">
        <v>-2.53</v>
      </c>
      <c r="L4433">
        <v>0.3</v>
      </c>
      <c r="M4433">
        <v>83.31</v>
      </c>
      <c r="N4433">
        <v>0.03</v>
      </c>
      <c r="O4433">
        <v>1.33</v>
      </c>
    </row>
    <row r="4434" spans="1:15">
      <c r="A4434" t="str">
        <f>"603917"</f>
        <v>603917</v>
      </c>
      <c r="B4434" t="s">
        <v>4478</v>
      </c>
      <c r="C4434">
        <v>1.47</v>
      </c>
      <c r="D4434">
        <v>11.75</v>
      </c>
      <c r="E4434" t="s">
        <v>16</v>
      </c>
      <c r="F4434" t="s">
        <v>16</v>
      </c>
      <c r="H4434">
        <v>0.09</v>
      </c>
      <c r="I4434">
        <v>-1.01</v>
      </c>
      <c r="J4434">
        <v>-3.13</v>
      </c>
      <c r="L4434">
        <v>0.52</v>
      </c>
      <c r="M4434">
        <v>17.23</v>
      </c>
      <c r="N4434">
        <v>0.01</v>
      </c>
      <c r="O4434">
        <v>2.51</v>
      </c>
    </row>
    <row r="4435" spans="1:15">
      <c r="A4435" t="str">
        <f>"603918"</f>
        <v>603918</v>
      </c>
      <c r="B4435" t="s">
        <v>4479</v>
      </c>
      <c r="C4435">
        <v>-0.1</v>
      </c>
      <c r="D4435">
        <v>10.47</v>
      </c>
      <c r="E4435" t="s">
        <v>16</v>
      </c>
      <c r="F4435" t="s">
        <v>16</v>
      </c>
      <c r="H4435">
        <v>-0.09</v>
      </c>
      <c r="I4435">
        <v>-4.9</v>
      </c>
      <c r="J4435">
        <v>-1.69</v>
      </c>
      <c r="L4435">
        <v>-0.67</v>
      </c>
      <c r="M4435">
        <v>18.84</v>
      </c>
      <c r="N4435">
        <v>0.01</v>
      </c>
      <c r="O4435">
        <v>1.81</v>
      </c>
    </row>
    <row r="4436" spans="1:15">
      <c r="A4436" t="str">
        <f>"603919"</f>
        <v>603919</v>
      </c>
      <c r="B4436" t="s">
        <v>4480</v>
      </c>
      <c r="C4436">
        <v>0.11</v>
      </c>
      <c r="D4436">
        <v>18.51</v>
      </c>
      <c r="E4436" t="s">
        <v>16</v>
      </c>
      <c r="F4436" t="s">
        <v>16</v>
      </c>
      <c r="H4436">
        <v>0</v>
      </c>
      <c r="I4436">
        <v>-6.84</v>
      </c>
      <c r="J4436">
        <v>-1.65</v>
      </c>
      <c r="L4436">
        <v>0.43</v>
      </c>
      <c r="M4436">
        <v>36.77</v>
      </c>
      <c r="N4436">
        <v>0.01</v>
      </c>
      <c r="O4436">
        <v>0.64</v>
      </c>
    </row>
    <row r="4437" spans="1:15">
      <c r="A4437" t="str">
        <f>"603920"</f>
        <v>603920</v>
      </c>
      <c r="B4437" t="s">
        <v>4481</v>
      </c>
      <c r="C4437">
        <v>-2.35</v>
      </c>
      <c r="D4437">
        <v>58.5</v>
      </c>
      <c r="E4437" t="s">
        <v>16</v>
      </c>
      <c r="F4437" t="s">
        <v>16</v>
      </c>
      <c r="H4437">
        <v>0.03</v>
      </c>
      <c r="I4437">
        <v>-6.23</v>
      </c>
      <c r="J4437">
        <v>-2.47</v>
      </c>
      <c r="L4437">
        <v>0.12</v>
      </c>
      <c r="M4437">
        <v>385.67</v>
      </c>
      <c r="N4437">
        <v>0.02</v>
      </c>
      <c r="O4437">
        <v>0.46</v>
      </c>
    </row>
    <row r="4438" spans="1:15">
      <c r="A4438" t="str">
        <f>"603922"</f>
        <v>603922</v>
      </c>
      <c r="B4438" t="s">
        <v>4482</v>
      </c>
      <c r="C4438">
        <v>3.34</v>
      </c>
      <c r="D4438">
        <v>15.8</v>
      </c>
      <c r="E4438" t="s">
        <v>16</v>
      </c>
      <c r="F4438" t="s">
        <v>16</v>
      </c>
      <c r="H4438">
        <v>-0.37</v>
      </c>
      <c r="I4438">
        <v>4.15</v>
      </c>
      <c r="J4438">
        <v>-1.56</v>
      </c>
      <c r="K4438" t="s">
        <v>296</v>
      </c>
      <c r="L4438">
        <v>4.97</v>
      </c>
      <c r="M4438">
        <v>118.61</v>
      </c>
      <c r="N4438">
        <v>0.07</v>
      </c>
      <c r="O4438">
        <v>0.37</v>
      </c>
    </row>
    <row r="4439" spans="1:15">
      <c r="A4439" t="str">
        <f>"603926"</f>
        <v>603926</v>
      </c>
      <c r="B4439" t="s">
        <v>4483</v>
      </c>
      <c r="C4439">
        <v>1.23</v>
      </c>
      <c r="D4439">
        <v>19.82</v>
      </c>
      <c r="E4439" t="s">
        <v>16</v>
      </c>
      <c r="F4439" t="s">
        <v>16</v>
      </c>
      <c r="H4439">
        <v>-0.09</v>
      </c>
      <c r="I4439">
        <v>-5.08</v>
      </c>
      <c r="J4439">
        <v>-1.69</v>
      </c>
      <c r="L4439">
        <v>0</v>
      </c>
      <c r="M4439">
        <v>2.55</v>
      </c>
      <c r="N4439">
        <v>0</v>
      </c>
      <c r="O4439">
        <v>0.06</v>
      </c>
    </row>
    <row r="4440" spans="1:15">
      <c r="A4440" t="str">
        <f>"603927"</f>
        <v>603927</v>
      </c>
      <c r="B4440" t="s">
        <v>4484</v>
      </c>
      <c r="C4440">
        <v>-2.12</v>
      </c>
      <c r="D4440">
        <v>13.83</v>
      </c>
      <c r="E4440" t="s">
        <v>16</v>
      </c>
      <c r="F4440" t="s">
        <v>16</v>
      </c>
      <c r="H4440">
        <v>-0.21</v>
      </c>
      <c r="I4440">
        <v>-5.79</v>
      </c>
      <c r="J4440">
        <v>-2.19</v>
      </c>
      <c r="L4440">
        <v>0</v>
      </c>
      <c r="M4440">
        <v>44.37</v>
      </c>
      <c r="N4440">
        <v>0.01</v>
      </c>
      <c r="O4440">
        <v>0.74</v>
      </c>
    </row>
    <row r="4441" spans="1:15">
      <c r="A4441" t="str">
        <f>"603928"</f>
        <v>603928</v>
      </c>
      <c r="B4441" t="s">
        <v>4485</v>
      </c>
      <c r="C4441">
        <v>-1.98</v>
      </c>
      <c r="D4441">
        <v>11.4</v>
      </c>
      <c r="E4441" t="s">
        <v>16</v>
      </c>
      <c r="F4441" t="s">
        <v>16</v>
      </c>
      <c r="H4441">
        <v>0.09</v>
      </c>
      <c r="I4441">
        <v>1.33</v>
      </c>
      <c r="J4441">
        <v>-1.89</v>
      </c>
      <c r="L4441">
        <v>-1.46</v>
      </c>
      <c r="M4441">
        <v>10.2</v>
      </c>
      <c r="N4441">
        <v>0.01</v>
      </c>
      <c r="O4441">
        <v>0.45</v>
      </c>
    </row>
    <row r="4442" spans="1:15">
      <c r="A4442" t="str">
        <f>"603929"</f>
        <v>603929</v>
      </c>
      <c r="B4442" t="s">
        <v>4486</v>
      </c>
      <c r="C4442">
        <v>-7.18</v>
      </c>
      <c r="D4442">
        <v>215.52</v>
      </c>
      <c r="E4442" t="s">
        <v>16</v>
      </c>
      <c r="F4442" t="s">
        <v>16</v>
      </c>
      <c r="H4442">
        <v>0.62</v>
      </c>
      <c r="I4442">
        <v>38.15</v>
      </c>
      <c r="J4442">
        <v>-12.97</v>
      </c>
      <c r="K4442" t="s">
        <v>54</v>
      </c>
      <c r="L4442">
        <v>1.21</v>
      </c>
      <c r="M4442">
        <v>2867</v>
      </c>
      <c r="N4442">
        <v>0.14</v>
      </c>
      <c r="O4442">
        <v>3.36</v>
      </c>
    </row>
    <row r="4443" spans="1:15">
      <c r="A4443" t="str">
        <f>"603931"</f>
        <v>603931</v>
      </c>
      <c r="B4443" t="s">
        <v>4487</v>
      </c>
      <c r="C4443">
        <v>-2.44</v>
      </c>
      <c r="D4443">
        <v>55.99</v>
      </c>
      <c r="E4443" t="s">
        <v>16</v>
      </c>
      <c r="F4443" t="s">
        <v>16</v>
      </c>
      <c r="H4443">
        <v>-0.1</v>
      </c>
      <c r="I4443">
        <v>-6.32</v>
      </c>
      <c r="J4443">
        <v>-3.76</v>
      </c>
      <c r="L4443">
        <v>-0.99</v>
      </c>
      <c r="M4443">
        <v>67.62</v>
      </c>
      <c r="N4443">
        <v>0.02</v>
      </c>
      <c r="O4443">
        <v>0.37</v>
      </c>
    </row>
    <row r="4444" spans="1:15">
      <c r="A4444" t="str">
        <f>"603933"</f>
        <v>603933</v>
      </c>
      <c r="B4444" t="s">
        <v>4488</v>
      </c>
      <c r="C4444">
        <v>2.2</v>
      </c>
      <c r="D4444">
        <v>24.17</v>
      </c>
      <c r="E4444" t="s">
        <v>16</v>
      </c>
      <c r="F4444" t="s">
        <v>16</v>
      </c>
      <c r="H4444">
        <v>-0.03</v>
      </c>
      <c r="I4444">
        <v>4.54</v>
      </c>
      <c r="J4444">
        <v>-0.74</v>
      </c>
      <c r="L4444">
        <v>-0.38</v>
      </c>
      <c r="M4444">
        <v>47.59</v>
      </c>
      <c r="N4444">
        <v>0.03</v>
      </c>
      <c r="O4444">
        <v>1.54</v>
      </c>
    </row>
    <row r="4445" spans="1:15">
      <c r="A4445" t="str">
        <f>"603936"</f>
        <v>603936</v>
      </c>
      <c r="B4445" t="s">
        <v>4489</v>
      </c>
      <c r="C4445">
        <v>7.06</v>
      </c>
      <c r="D4445">
        <v>28.65</v>
      </c>
      <c r="E4445" t="s">
        <v>16</v>
      </c>
      <c r="F4445" t="s">
        <v>16</v>
      </c>
      <c r="H4445">
        <v>-0.23</v>
      </c>
      <c r="I4445">
        <v>32.27</v>
      </c>
      <c r="J4445">
        <v>-2.68</v>
      </c>
      <c r="L4445">
        <v>-0.97</v>
      </c>
      <c r="M4445">
        <v>730.34</v>
      </c>
      <c r="N4445">
        <v>0.06</v>
      </c>
      <c r="O4445">
        <v>0.8</v>
      </c>
    </row>
    <row r="4446" spans="1:15">
      <c r="A4446" t="str">
        <f>"603937"</f>
        <v>603937</v>
      </c>
      <c r="B4446" t="s">
        <v>4490</v>
      </c>
      <c r="C4446">
        <v>-3.08</v>
      </c>
      <c r="D4446">
        <v>13.2</v>
      </c>
      <c r="E4446" t="s">
        <v>16</v>
      </c>
      <c r="F4446" t="s">
        <v>16</v>
      </c>
      <c r="H4446">
        <v>-0.14</v>
      </c>
      <c r="I4446">
        <v>-9.22</v>
      </c>
      <c r="J4446">
        <v>-3.37</v>
      </c>
      <c r="L4446">
        <v>0.22</v>
      </c>
      <c r="M4446">
        <v>46.96</v>
      </c>
      <c r="N4446">
        <v>0.04</v>
      </c>
      <c r="O4446">
        <v>2</v>
      </c>
    </row>
    <row r="4447" spans="1:15">
      <c r="A4447" t="str">
        <f>"603938"</f>
        <v>603938</v>
      </c>
      <c r="B4447" t="s">
        <v>4491</v>
      </c>
      <c r="C4447">
        <v>-2.92</v>
      </c>
      <c r="D4447">
        <v>53.82</v>
      </c>
      <c r="E4447" t="s">
        <v>16</v>
      </c>
      <c r="F4447" t="s">
        <v>16</v>
      </c>
      <c r="H4447">
        <v>-0.16</v>
      </c>
      <c r="I4447">
        <v>12.13</v>
      </c>
      <c r="J4447">
        <v>-4.73</v>
      </c>
      <c r="L4447">
        <v>0.65</v>
      </c>
      <c r="M4447">
        <v>1217</v>
      </c>
      <c r="N4447">
        <v>0.17</v>
      </c>
      <c r="O4447">
        <v>0.72</v>
      </c>
    </row>
    <row r="4448" spans="1:15">
      <c r="A4448" t="str">
        <f>"603939"</f>
        <v>603939</v>
      </c>
      <c r="B4448" t="s">
        <v>4492</v>
      </c>
      <c r="C4448">
        <v>0.61</v>
      </c>
      <c r="D4448">
        <v>19.9</v>
      </c>
      <c r="E4448" t="s">
        <v>16</v>
      </c>
      <c r="F4448" t="s">
        <v>16</v>
      </c>
      <c r="H4448">
        <v>0.15</v>
      </c>
      <c r="I4448">
        <v>1.02</v>
      </c>
      <c r="J4448">
        <v>-0.65</v>
      </c>
      <c r="L4448">
        <v>-0.4</v>
      </c>
      <c r="M4448">
        <v>38.22</v>
      </c>
      <c r="N4448">
        <v>0</v>
      </c>
      <c r="O4448">
        <v>2.73</v>
      </c>
    </row>
    <row r="4449" spans="1:15">
      <c r="A4449" t="str">
        <f>"603948"</f>
        <v>603948</v>
      </c>
      <c r="B4449" t="s">
        <v>4493</v>
      </c>
      <c r="C4449">
        <v>-1.79</v>
      </c>
      <c r="D4449">
        <v>23.61</v>
      </c>
      <c r="E4449" t="s">
        <v>16</v>
      </c>
      <c r="F4449" t="s">
        <v>16</v>
      </c>
      <c r="H4449">
        <v>0.08</v>
      </c>
      <c r="I4449">
        <v>-2.96</v>
      </c>
      <c r="J4449">
        <v>-1.79</v>
      </c>
      <c r="L4449">
        <v>0</v>
      </c>
      <c r="M4449">
        <v>7.21</v>
      </c>
      <c r="N4449">
        <v>0.01</v>
      </c>
      <c r="O4449">
        <v>1.87</v>
      </c>
    </row>
    <row r="4450" spans="1:15">
      <c r="A4450" t="str">
        <f>"603949"</f>
        <v>603949</v>
      </c>
      <c r="B4450" t="s">
        <v>4494</v>
      </c>
      <c r="C4450">
        <v>-0.56</v>
      </c>
      <c r="D4450">
        <v>16.03</v>
      </c>
      <c r="E4450" t="s">
        <v>16</v>
      </c>
      <c r="F4450" t="s">
        <v>16</v>
      </c>
      <c r="H4450">
        <v>-0.05</v>
      </c>
      <c r="I4450">
        <v>5.39</v>
      </c>
      <c r="J4450">
        <v>-2.26</v>
      </c>
      <c r="K4450" t="s">
        <v>26</v>
      </c>
      <c r="L4450">
        <v>0.93</v>
      </c>
      <c r="M4450">
        <v>118.5</v>
      </c>
      <c r="N4450">
        <v>0.12</v>
      </c>
      <c r="O4450">
        <v>0.53</v>
      </c>
    </row>
    <row r="4451" spans="1:15">
      <c r="A4451" t="str">
        <f>"603950"</f>
        <v>603950</v>
      </c>
      <c r="B4451" t="s">
        <v>4495</v>
      </c>
      <c r="C4451">
        <v>5.1</v>
      </c>
      <c r="D4451">
        <v>65.8</v>
      </c>
      <c r="E4451" t="s">
        <v>16</v>
      </c>
      <c r="F4451" t="s">
        <v>16</v>
      </c>
      <c r="H4451">
        <v>-0.01</v>
      </c>
      <c r="I4451">
        <v>-6.07</v>
      </c>
      <c r="J4451">
        <v>-4.46</v>
      </c>
      <c r="K4451" t="s">
        <v>57</v>
      </c>
      <c r="L4451">
        <v>0.57</v>
      </c>
      <c r="M4451">
        <v>166.24</v>
      </c>
      <c r="N4451">
        <v>0.02</v>
      </c>
      <c r="O4451">
        <v>0.72</v>
      </c>
    </row>
    <row r="4452" spans="1:15">
      <c r="A4452" t="str">
        <f>"603955"</f>
        <v>603955</v>
      </c>
      <c r="B4452" t="s">
        <v>4496</v>
      </c>
      <c r="C4452">
        <v>-5.63</v>
      </c>
      <c r="D4452">
        <v>21.62</v>
      </c>
      <c r="E4452" t="s">
        <v>16</v>
      </c>
      <c r="F4452" t="s">
        <v>16</v>
      </c>
      <c r="H4452">
        <v>-0.36</v>
      </c>
      <c r="I4452">
        <v>-6</v>
      </c>
      <c r="J4452">
        <v>-6.45</v>
      </c>
      <c r="L4452">
        <v>0.83</v>
      </c>
      <c r="M4452">
        <v>6.7</v>
      </c>
      <c r="N4452">
        <v>0</v>
      </c>
      <c r="O4452">
        <v>0.43</v>
      </c>
    </row>
    <row r="4453" spans="1:15">
      <c r="A4453" t="str">
        <f>"603956"</f>
        <v>603956</v>
      </c>
      <c r="B4453" t="s">
        <v>4497</v>
      </c>
      <c r="C4453">
        <v>9.93</v>
      </c>
      <c r="D4453">
        <v>4.98</v>
      </c>
      <c r="E4453">
        <v>3264.09</v>
      </c>
      <c r="F4453">
        <v>1</v>
      </c>
      <c r="H4453">
        <v>0</v>
      </c>
      <c r="I4453">
        <v>-4.05</v>
      </c>
      <c r="J4453">
        <v>0</v>
      </c>
      <c r="K4453" t="s">
        <v>140</v>
      </c>
      <c r="L4453">
        <v>-0.22</v>
      </c>
      <c r="M4453">
        <v>21.52</v>
      </c>
      <c r="N4453">
        <v>0.01</v>
      </c>
      <c r="O4453">
        <v>0.32</v>
      </c>
    </row>
    <row r="4454" spans="1:15">
      <c r="A4454" t="str">
        <f>"603958"</f>
        <v>603958</v>
      </c>
      <c r="B4454" t="s">
        <v>4498</v>
      </c>
      <c r="C4454">
        <v>-0.15</v>
      </c>
      <c r="D4454">
        <v>20.42</v>
      </c>
      <c r="E4454" t="s">
        <v>16</v>
      </c>
      <c r="F4454" t="s">
        <v>16</v>
      </c>
      <c r="H4454">
        <v>-0.14</v>
      </c>
      <c r="I4454">
        <v>-0.39</v>
      </c>
      <c r="J4454">
        <v>-2.39</v>
      </c>
      <c r="L4454">
        <v>-0.24</v>
      </c>
      <c r="M4454">
        <v>31.82</v>
      </c>
      <c r="N4454">
        <v>0.02</v>
      </c>
      <c r="O4454">
        <v>1.54</v>
      </c>
    </row>
    <row r="4455" spans="1:15">
      <c r="A4455" t="str">
        <f>"603959"</f>
        <v>603959</v>
      </c>
      <c r="B4455" t="s">
        <v>4499</v>
      </c>
      <c r="C4455">
        <v>-0.89</v>
      </c>
      <c r="D4455">
        <v>4.45</v>
      </c>
      <c r="E4455" t="s">
        <v>16</v>
      </c>
      <c r="F4455" t="s">
        <v>16</v>
      </c>
      <c r="H4455">
        <v>0.68</v>
      </c>
      <c r="I4455">
        <v>8.54</v>
      </c>
      <c r="J4455">
        <v>-5.52</v>
      </c>
      <c r="K4455" t="s">
        <v>4500</v>
      </c>
      <c r="L4455">
        <v>4.9</v>
      </c>
      <c r="M4455">
        <v>120.2</v>
      </c>
      <c r="N4455">
        <v>0.07</v>
      </c>
      <c r="O4455">
        <v>0.14</v>
      </c>
    </row>
    <row r="4456" spans="1:15">
      <c r="A4456" t="str">
        <f>"603960"</f>
        <v>603960</v>
      </c>
      <c r="B4456" t="s">
        <v>4501</v>
      </c>
      <c r="C4456">
        <v>-0.6</v>
      </c>
      <c r="D4456">
        <v>21.5</v>
      </c>
      <c r="E4456" t="s">
        <v>16</v>
      </c>
      <c r="F4456" t="s">
        <v>16</v>
      </c>
      <c r="H4456">
        <v>-0.22</v>
      </c>
      <c r="I4456">
        <v>0.7</v>
      </c>
      <c r="J4456">
        <v>-2.23</v>
      </c>
      <c r="L4456">
        <v>0.32</v>
      </c>
      <c r="M4456">
        <v>67.05</v>
      </c>
      <c r="N4456">
        <v>0.02</v>
      </c>
      <c r="O4456">
        <v>1.47</v>
      </c>
    </row>
    <row r="4457" spans="1:15">
      <c r="A4457" t="str">
        <f>"603966"</f>
        <v>603966</v>
      </c>
      <c r="B4457" t="s">
        <v>4502</v>
      </c>
      <c r="C4457">
        <v>5.5</v>
      </c>
      <c r="D4457">
        <v>9.78</v>
      </c>
      <c r="E4457" t="s">
        <v>16</v>
      </c>
      <c r="F4457" t="s">
        <v>16</v>
      </c>
      <c r="H4457">
        <v>0</v>
      </c>
      <c r="I4457">
        <v>8.43</v>
      </c>
      <c r="J4457">
        <v>-1.11</v>
      </c>
      <c r="L4457">
        <v>0</v>
      </c>
      <c r="M4457">
        <v>14.77</v>
      </c>
      <c r="N4457">
        <v>0</v>
      </c>
      <c r="O4457">
        <v>1.04</v>
      </c>
    </row>
    <row r="4458" spans="1:15">
      <c r="A4458" t="str">
        <f>"603967"</f>
        <v>603967</v>
      </c>
      <c r="B4458" t="s">
        <v>4503</v>
      </c>
      <c r="C4458">
        <v>-0.61</v>
      </c>
      <c r="D4458">
        <v>11.33</v>
      </c>
      <c r="E4458" t="s">
        <v>16</v>
      </c>
      <c r="F4458" t="s">
        <v>16</v>
      </c>
      <c r="H4458">
        <v>-0.52</v>
      </c>
      <c r="I4458">
        <v>-6.6</v>
      </c>
      <c r="J4458">
        <v>-1.73</v>
      </c>
      <c r="L4458">
        <v>-0.26</v>
      </c>
      <c r="M4458">
        <v>1.59</v>
      </c>
      <c r="N4458">
        <v>0</v>
      </c>
      <c r="O4458">
        <v>0.1</v>
      </c>
    </row>
    <row r="4459" spans="1:15">
      <c r="A4459" t="str">
        <f>"603968"</f>
        <v>603968</v>
      </c>
      <c r="B4459" t="s">
        <v>4504</v>
      </c>
      <c r="C4459">
        <v>-2.07</v>
      </c>
      <c r="D4459">
        <v>9.94</v>
      </c>
      <c r="E4459" t="s">
        <v>16</v>
      </c>
      <c r="F4459" t="s">
        <v>16</v>
      </c>
      <c r="H4459">
        <v>-0.29</v>
      </c>
      <c r="I4459">
        <v>-10.05</v>
      </c>
      <c r="J4459">
        <v>-2.55</v>
      </c>
      <c r="L4459">
        <v>-0.59</v>
      </c>
      <c r="M4459">
        <v>11.3</v>
      </c>
      <c r="N4459">
        <v>0.01</v>
      </c>
      <c r="O4459">
        <v>0.67</v>
      </c>
    </row>
    <row r="4460" spans="1:15">
      <c r="A4460" t="str">
        <f>"603969"</f>
        <v>603969</v>
      </c>
      <c r="B4460" t="s">
        <v>4505</v>
      </c>
      <c r="C4460">
        <v>-0.27</v>
      </c>
      <c r="D4460">
        <v>7.35</v>
      </c>
      <c r="E4460" t="s">
        <v>16</v>
      </c>
      <c r="F4460" t="s">
        <v>16</v>
      </c>
      <c r="H4460">
        <v>-0.13</v>
      </c>
      <c r="I4460">
        <v>-10.8</v>
      </c>
      <c r="J4460">
        <v>-1.21</v>
      </c>
      <c r="L4460">
        <v>0.41</v>
      </c>
      <c r="M4460">
        <v>11.62</v>
      </c>
      <c r="N4460">
        <v>0</v>
      </c>
      <c r="O4460">
        <v>2.34</v>
      </c>
    </row>
    <row r="4461" spans="1:15">
      <c r="A4461" t="str">
        <f>"603970"</f>
        <v>603970</v>
      </c>
      <c r="B4461" t="s">
        <v>4506</v>
      </c>
      <c r="C4461">
        <v>-0.77</v>
      </c>
      <c r="D4461">
        <v>10.26</v>
      </c>
      <c r="E4461" t="s">
        <v>16</v>
      </c>
      <c r="F4461" t="s">
        <v>16</v>
      </c>
      <c r="H4461">
        <v>0.29</v>
      </c>
      <c r="I4461">
        <v>-5.26</v>
      </c>
      <c r="J4461">
        <v>-0.29</v>
      </c>
      <c r="L4461">
        <v>-0.48</v>
      </c>
      <c r="M4461">
        <v>2.06</v>
      </c>
      <c r="N4461">
        <v>0</v>
      </c>
      <c r="O4461">
        <v>1.54</v>
      </c>
    </row>
    <row r="4462" spans="1:15">
      <c r="A4462" t="str">
        <f>"603976"</f>
        <v>603976</v>
      </c>
      <c r="B4462" t="s">
        <v>4507</v>
      </c>
      <c r="C4462">
        <v>-7.73</v>
      </c>
      <c r="D4462">
        <v>25.56</v>
      </c>
      <c r="E4462" t="s">
        <v>16</v>
      </c>
      <c r="F4462" t="s">
        <v>16</v>
      </c>
      <c r="H4462">
        <v>0.04</v>
      </c>
      <c r="I4462">
        <v>19.72</v>
      </c>
      <c r="J4462">
        <v>-8.71</v>
      </c>
      <c r="K4462" t="s">
        <v>54</v>
      </c>
      <c r="L4462">
        <v>0</v>
      </c>
      <c r="M4462">
        <v>718.26</v>
      </c>
      <c r="N4462">
        <v>0.6</v>
      </c>
      <c r="O4462">
        <v>3.11</v>
      </c>
    </row>
    <row r="4463" spans="1:15">
      <c r="A4463" t="str">
        <f>"603977"</f>
        <v>603977</v>
      </c>
      <c r="B4463" t="s">
        <v>4508</v>
      </c>
      <c r="C4463">
        <v>2.64</v>
      </c>
      <c r="D4463">
        <v>13.61</v>
      </c>
      <c r="E4463" t="s">
        <v>16</v>
      </c>
      <c r="F4463" t="s">
        <v>16</v>
      </c>
      <c r="H4463">
        <v>0</v>
      </c>
      <c r="I4463">
        <v>-9.69</v>
      </c>
      <c r="J4463">
        <v>-2.02</v>
      </c>
      <c r="L4463">
        <v>-0.23</v>
      </c>
      <c r="M4463">
        <v>31.49</v>
      </c>
      <c r="N4463">
        <v>0.01</v>
      </c>
      <c r="O4463">
        <v>0.24</v>
      </c>
    </row>
    <row r="4464" spans="1:15">
      <c r="A4464" t="str">
        <f>"603978"</f>
        <v>603978</v>
      </c>
      <c r="B4464" t="s">
        <v>4509</v>
      </c>
      <c r="C4464">
        <v>1.63</v>
      </c>
      <c r="D4464">
        <v>27.48</v>
      </c>
      <c r="E4464" t="s">
        <v>16</v>
      </c>
      <c r="F4464" t="s">
        <v>16</v>
      </c>
      <c r="H4464">
        <v>0.22</v>
      </c>
      <c r="I4464">
        <v>-1.47</v>
      </c>
      <c r="J4464">
        <v>-0.9</v>
      </c>
      <c r="L4464">
        <v>-0.74</v>
      </c>
      <c r="M4464">
        <v>90.45</v>
      </c>
      <c r="N4464">
        <v>0.03</v>
      </c>
      <c r="O4464">
        <v>0.9</v>
      </c>
    </row>
    <row r="4465" spans="1:15">
      <c r="A4465" t="str">
        <f>"603979"</f>
        <v>603979</v>
      </c>
      <c r="B4465" t="s">
        <v>4510</v>
      </c>
      <c r="C4465">
        <v>-4.98</v>
      </c>
      <c r="D4465">
        <v>73.45</v>
      </c>
      <c r="E4465" t="s">
        <v>16</v>
      </c>
      <c r="F4465" t="s">
        <v>16</v>
      </c>
      <c r="H4465">
        <v>-0.17</v>
      </c>
      <c r="I4465">
        <v>2.01</v>
      </c>
      <c r="J4465">
        <v>-5.77</v>
      </c>
      <c r="K4465" t="s">
        <v>57</v>
      </c>
      <c r="L4465">
        <v>-2.5</v>
      </c>
      <c r="M4465">
        <v>397.2</v>
      </c>
      <c r="N4465">
        <v>0.01</v>
      </c>
      <c r="O4465">
        <v>1.26</v>
      </c>
    </row>
    <row r="4466" spans="1:15">
      <c r="A4466" t="str">
        <f>"603980"</f>
        <v>603980</v>
      </c>
      <c r="B4466" t="s">
        <v>4511</v>
      </c>
      <c r="C4466">
        <v>0</v>
      </c>
      <c r="D4466">
        <v>5.85</v>
      </c>
      <c r="E4466" t="s">
        <v>16</v>
      </c>
      <c r="F4466" t="s">
        <v>16</v>
      </c>
      <c r="H4466">
        <v>0.34</v>
      </c>
      <c r="I4466">
        <v>4.84</v>
      </c>
      <c r="J4466">
        <v>-2.17</v>
      </c>
      <c r="L4466">
        <v>-0.68</v>
      </c>
      <c r="M4466">
        <v>52.87</v>
      </c>
      <c r="N4466">
        <v>0.02</v>
      </c>
      <c r="O4466">
        <v>0.23</v>
      </c>
    </row>
    <row r="4467" spans="1:15">
      <c r="A4467" t="str">
        <f>"603982"</f>
        <v>603982</v>
      </c>
      <c r="B4467" t="s">
        <v>4512</v>
      </c>
      <c r="C4467">
        <v>-1.14</v>
      </c>
      <c r="D4467">
        <v>6.07</v>
      </c>
      <c r="E4467" t="s">
        <v>16</v>
      </c>
      <c r="F4467" t="s">
        <v>16</v>
      </c>
      <c r="H4467">
        <v>-0.32</v>
      </c>
      <c r="I4467">
        <v>-8.03</v>
      </c>
      <c r="J4467">
        <v>-1.94</v>
      </c>
      <c r="L4467">
        <v>-0.65</v>
      </c>
      <c r="M4467">
        <v>5.98</v>
      </c>
      <c r="N4467">
        <v>0</v>
      </c>
      <c r="O4467">
        <v>0.85</v>
      </c>
    </row>
    <row r="4468" spans="1:15">
      <c r="A4468" t="str">
        <f>"603983"</f>
        <v>603983</v>
      </c>
      <c r="B4468" t="s">
        <v>4513</v>
      </c>
      <c r="C4468">
        <v>3.08</v>
      </c>
      <c r="D4468">
        <v>22.43</v>
      </c>
      <c r="E4468" t="s">
        <v>16</v>
      </c>
      <c r="F4468" t="s">
        <v>16</v>
      </c>
      <c r="H4468">
        <v>-0.03</v>
      </c>
      <c r="I4468">
        <v>-1.36</v>
      </c>
      <c r="J4468">
        <v>-0.71</v>
      </c>
      <c r="L4468">
        <v>-0.55</v>
      </c>
      <c r="M4468">
        <v>21.64</v>
      </c>
      <c r="N4468">
        <v>0.01</v>
      </c>
      <c r="O4468">
        <v>1.47</v>
      </c>
    </row>
    <row r="4469" spans="1:15">
      <c r="A4469" t="str">
        <f>"603985"</f>
        <v>603985</v>
      </c>
      <c r="B4469" t="s">
        <v>4514</v>
      </c>
      <c r="C4469">
        <v>0.08</v>
      </c>
      <c r="D4469">
        <v>25.27</v>
      </c>
      <c r="E4469" t="s">
        <v>16</v>
      </c>
      <c r="F4469" t="s">
        <v>16</v>
      </c>
      <c r="H4469">
        <v>0.08</v>
      </c>
      <c r="I4469">
        <v>5.16</v>
      </c>
      <c r="J4469">
        <v>-1.86</v>
      </c>
      <c r="L4469">
        <v>-0.28</v>
      </c>
      <c r="M4469">
        <v>169.46</v>
      </c>
      <c r="N4469">
        <v>0.03</v>
      </c>
      <c r="O4469">
        <v>1.16</v>
      </c>
    </row>
    <row r="4470" spans="1:15">
      <c r="A4470" t="str">
        <f>"603986"</f>
        <v>603986</v>
      </c>
      <c r="B4470" t="s">
        <v>4515</v>
      </c>
      <c r="C4470">
        <v>7.33</v>
      </c>
      <c r="D4470">
        <v>629</v>
      </c>
      <c r="E4470" t="s">
        <v>16</v>
      </c>
      <c r="F4470" t="s">
        <v>16</v>
      </c>
      <c r="H4470">
        <v>-0.59</v>
      </c>
      <c r="I4470">
        <v>18.83</v>
      </c>
      <c r="J4470">
        <v>-2.43</v>
      </c>
      <c r="K4470" t="s">
        <v>54</v>
      </c>
      <c r="L4470">
        <v>1.36</v>
      </c>
      <c r="M4470">
        <v>51026.91</v>
      </c>
      <c r="N4470">
        <v>0.14</v>
      </c>
      <c r="O4470">
        <v>2.12</v>
      </c>
    </row>
    <row r="4471" spans="1:15">
      <c r="A4471" t="str">
        <f>"603987"</f>
        <v>603987</v>
      </c>
      <c r="B4471" t="s">
        <v>4516</v>
      </c>
      <c r="C4471">
        <v>-0.7</v>
      </c>
      <c r="D4471">
        <v>7.1</v>
      </c>
      <c r="E4471" t="s">
        <v>16</v>
      </c>
      <c r="F4471" t="s">
        <v>16</v>
      </c>
      <c r="H4471">
        <v>-0.13</v>
      </c>
      <c r="I4471">
        <v>-1.39</v>
      </c>
      <c r="J4471">
        <v>-1.39</v>
      </c>
      <c r="L4471">
        <v>-0.98</v>
      </c>
      <c r="M4471">
        <v>10.41</v>
      </c>
      <c r="N4471">
        <v>0.01</v>
      </c>
      <c r="O4471">
        <v>6.68</v>
      </c>
    </row>
    <row r="4472" spans="1:15">
      <c r="A4472" t="str">
        <f>"603988"</f>
        <v>603988</v>
      </c>
      <c r="B4472" t="s">
        <v>4517</v>
      </c>
      <c r="C4472">
        <v>-1.36</v>
      </c>
      <c r="D4472">
        <v>18.88</v>
      </c>
      <c r="E4472" t="s">
        <v>16</v>
      </c>
      <c r="F4472" t="s">
        <v>16</v>
      </c>
      <c r="H4472">
        <v>-0.15</v>
      </c>
      <c r="I4472">
        <v>-7.5</v>
      </c>
      <c r="J4472">
        <v>-2.13</v>
      </c>
      <c r="L4472">
        <v>0</v>
      </c>
      <c r="M4472">
        <v>5.93</v>
      </c>
      <c r="N4472">
        <v>0</v>
      </c>
      <c r="O4472">
        <v>0.24</v>
      </c>
    </row>
    <row r="4473" spans="1:15">
      <c r="A4473" t="str">
        <f>"603989"</f>
        <v>603989</v>
      </c>
      <c r="B4473" t="s">
        <v>4518</v>
      </c>
      <c r="C4473">
        <v>9.99</v>
      </c>
      <c r="D4473">
        <v>41.5</v>
      </c>
      <c r="E4473">
        <v>12783.66</v>
      </c>
      <c r="F4473">
        <v>3</v>
      </c>
      <c r="H4473">
        <v>0</v>
      </c>
      <c r="I4473">
        <v>21.17</v>
      </c>
      <c r="J4473">
        <v>0</v>
      </c>
      <c r="K4473" t="s">
        <v>696</v>
      </c>
      <c r="L4473">
        <v>6.18</v>
      </c>
      <c r="M4473">
        <v>4357.33</v>
      </c>
      <c r="N4473">
        <v>0.8</v>
      </c>
      <c r="O4473">
        <v>2.93</v>
      </c>
    </row>
    <row r="4474" spans="1:15">
      <c r="A4474" t="str">
        <f>"603990"</f>
        <v>603990</v>
      </c>
      <c r="B4474" t="s">
        <v>4519</v>
      </c>
      <c r="C4474">
        <v>-3.15</v>
      </c>
      <c r="D4474">
        <v>21.81</v>
      </c>
      <c r="E4474" t="s">
        <v>16</v>
      </c>
      <c r="F4474" t="s">
        <v>16</v>
      </c>
      <c r="H4474">
        <v>0.09</v>
      </c>
      <c r="I4474">
        <v>-5.01</v>
      </c>
      <c r="J4474">
        <v>-3.07</v>
      </c>
      <c r="L4474">
        <v>-0.98</v>
      </c>
      <c r="M4474">
        <v>244.41</v>
      </c>
      <c r="N4474">
        <v>0.05</v>
      </c>
      <c r="O4474">
        <v>0.89</v>
      </c>
    </row>
    <row r="4475" spans="1:15">
      <c r="A4475" t="str">
        <f>"603991"</f>
        <v>603991</v>
      </c>
      <c r="B4475" t="s">
        <v>4520</v>
      </c>
      <c r="C4475">
        <v>10</v>
      </c>
      <c r="D4475">
        <v>129.69</v>
      </c>
      <c r="E4475">
        <v>3531.46</v>
      </c>
      <c r="F4475">
        <v>1</v>
      </c>
      <c r="H4475">
        <v>0</v>
      </c>
      <c r="I4475">
        <v>17.42</v>
      </c>
      <c r="J4475">
        <v>0</v>
      </c>
      <c r="K4475" t="s">
        <v>140</v>
      </c>
      <c r="L4475">
        <v>-0.49</v>
      </c>
      <c r="M4475">
        <v>185.37</v>
      </c>
      <c r="N4475">
        <v>0.03</v>
      </c>
      <c r="O4475">
        <v>1.03</v>
      </c>
    </row>
    <row r="4476" spans="1:15">
      <c r="A4476" t="str">
        <f>"603992"</f>
        <v>603992</v>
      </c>
      <c r="B4476" t="s">
        <v>4521</v>
      </c>
      <c r="C4476">
        <v>3.94</v>
      </c>
      <c r="D4476">
        <v>33.49</v>
      </c>
      <c r="E4476" t="s">
        <v>16</v>
      </c>
      <c r="F4476" t="s">
        <v>16</v>
      </c>
      <c r="H4476">
        <v>0.03</v>
      </c>
      <c r="I4476">
        <v>12.38</v>
      </c>
      <c r="J4476">
        <v>-2.39</v>
      </c>
      <c r="L4476">
        <v>-0.68</v>
      </c>
      <c r="M4476">
        <v>48.64</v>
      </c>
      <c r="N4476">
        <v>0.02</v>
      </c>
      <c r="O4476">
        <v>0.39</v>
      </c>
    </row>
    <row r="4477" spans="1:15">
      <c r="A4477" t="str">
        <f>"603993"</f>
        <v>603993</v>
      </c>
      <c r="B4477" t="s">
        <v>4522</v>
      </c>
      <c r="C4477">
        <v>-0.64</v>
      </c>
      <c r="D4477">
        <v>20.04</v>
      </c>
      <c r="E4477" t="s">
        <v>16</v>
      </c>
      <c r="F4477" t="s">
        <v>16</v>
      </c>
      <c r="H4477">
        <v>0.05</v>
      </c>
      <c r="I4477">
        <v>6.94</v>
      </c>
      <c r="J4477">
        <v>-5.2</v>
      </c>
      <c r="L4477">
        <v>-1.98</v>
      </c>
      <c r="M4477">
        <v>4900.59</v>
      </c>
      <c r="N4477">
        <v>0.03</v>
      </c>
      <c r="O4477">
        <v>0.7</v>
      </c>
    </row>
    <row r="4478" spans="1:15">
      <c r="A4478" t="str">
        <f>"603995"</f>
        <v>603995</v>
      </c>
      <c r="B4478" t="s">
        <v>4523</v>
      </c>
      <c r="C4478">
        <v>5.57</v>
      </c>
      <c r="D4478">
        <v>22.57</v>
      </c>
      <c r="E4478" t="s">
        <v>16</v>
      </c>
      <c r="F4478" t="s">
        <v>16</v>
      </c>
      <c r="H4478">
        <v>-0.56</v>
      </c>
      <c r="I4478">
        <v>22.66</v>
      </c>
      <c r="J4478">
        <v>-1.31</v>
      </c>
      <c r="L4478">
        <v>0.98</v>
      </c>
      <c r="M4478">
        <v>270.95</v>
      </c>
      <c r="N4478">
        <v>0.07</v>
      </c>
      <c r="O4478">
        <v>1.26</v>
      </c>
    </row>
    <row r="4479" spans="1:15">
      <c r="A4479" t="str">
        <f>"603997"</f>
        <v>603997</v>
      </c>
      <c r="B4479" t="s">
        <v>4524</v>
      </c>
      <c r="C4479">
        <v>-0.51</v>
      </c>
      <c r="D4479">
        <v>13.62</v>
      </c>
      <c r="E4479" t="s">
        <v>16</v>
      </c>
      <c r="F4479" t="s">
        <v>16</v>
      </c>
      <c r="H4479">
        <v>-0.36</v>
      </c>
      <c r="I4479">
        <v>-10.1</v>
      </c>
      <c r="J4479">
        <v>-2.85</v>
      </c>
      <c r="L4479">
        <v>-1.31</v>
      </c>
      <c r="M4479">
        <v>90.38</v>
      </c>
      <c r="N4479">
        <v>0.01</v>
      </c>
      <c r="O4479">
        <v>2.22</v>
      </c>
    </row>
    <row r="4480" spans="1:15">
      <c r="A4480" t="str">
        <f>"603998"</f>
        <v>603998</v>
      </c>
      <c r="B4480" t="s">
        <v>4525</v>
      </c>
      <c r="C4480">
        <v>0.32</v>
      </c>
      <c r="D4480">
        <v>9.35</v>
      </c>
      <c r="E4480" t="s">
        <v>16</v>
      </c>
      <c r="F4480" t="s">
        <v>16</v>
      </c>
      <c r="H4480">
        <v>0</v>
      </c>
      <c r="I4480">
        <v>-2.09</v>
      </c>
      <c r="J4480">
        <v>-1.68</v>
      </c>
      <c r="L4480">
        <v>-0.43</v>
      </c>
      <c r="M4480">
        <v>20.69</v>
      </c>
      <c r="N4480">
        <v>0.01</v>
      </c>
      <c r="O4480">
        <v>0.76</v>
      </c>
    </row>
    <row r="4481" spans="1:15">
      <c r="A4481" t="str">
        <f>"603999"</f>
        <v>603999</v>
      </c>
      <c r="B4481" t="s">
        <v>4526</v>
      </c>
      <c r="C4481">
        <v>1.11</v>
      </c>
      <c r="D4481">
        <v>5.47</v>
      </c>
      <c r="E4481" t="s">
        <v>16</v>
      </c>
      <c r="F4481" t="s">
        <v>16</v>
      </c>
      <c r="H4481">
        <v>0</v>
      </c>
      <c r="I4481">
        <v>-3.19</v>
      </c>
      <c r="J4481">
        <v>-1.26</v>
      </c>
      <c r="L4481">
        <v>-0.18</v>
      </c>
      <c r="M4481">
        <v>30.83</v>
      </c>
      <c r="N4481">
        <v>0.02</v>
      </c>
      <c r="O4481">
        <v>4.68</v>
      </c>
    </row>
    <row r="4482" spans="1:15">
      <c r="A4482" t="str">
        <f>"605001"</f>
        <v>605001</v>
      </c>
      <c r="B4482" t="s">
        <v>4527</v>
      </c>
      <c r="C4482">
        <v>-0.17</v>
      </c>
      <c r="D4482">
        <v>5.81</v>
      </c>
      <c r="E4482" t="s">
        <v>16</v>
      </c>
      <c r="F4482" t="s">
        <v>16</v>
      </c>
      <c r="H4482">
        <v>-0.33</v>
      </c>
      <c r="I4482">
        <v>-6.44</v>
      </c>
      <c r="J4482">
        <v>-1.19</v>
      </c>
      <c r="L4482">
        <v>-0.34</v>
      </c>
      <c r="M4482">
        <v>11.19</v>
      </c>
      <c r="N4482">
        <v>0.01</v>
      </c>
      <c r="O4482">
        <v>1.53</v>
      </c>
    </row>
    <row r="4483" spans="1:15">
      <c r="A4483" t="str">
        <f>"605003"</f>
        <v>605003</v>
      </c>
      <c r="B4483" t="s">
        <v>4528</v>
      </c>
      <c r="C4483">
        <v>1.95</v>
      </c>
      <c r="D4483">
        <v>22.48</v>
      </c>
      <c r="E4483" t="s">
        <v>16</v>
      </c>
      <c r="F4483" t="s">
        <v>16</v>
      </c>
      <c r="H4483">
        <v>0.22</v>
      </c>
      <c r="I4483">
        <v>-3.81</v>
      </c>
      <c r="J4483">
        <v>-1.23</v>
      </c>
      <c r="L4483">
        <v>-0.59</v>
      </c>
      <c r="M4483">
        <v>3.51</v>
      </c>
      <c r="N4483">
        <v>0.01</v>
      </c>
      <c r="O4483">
        <v>0.73</v>
      </c>
    </row>
    <row r="4484" spans="1:15">
      <c r="A4484" t="str">
        <f>"605005"</f>
        <v>605005</v>
      </c>
      <c r="B4484" t="s">
        <v>4529</v>
      </c>
      <c r="C4484">
        <v>2.71</v>
      </c>
      <c r="D4484">
        <v>16.27</v>
      </c>
      <c r="E4484" t="s">
        <v>16</v>
      </c>
      <c r="F4484" t="s">
        <v>16</v>
      </c>
      <c r="H4484">
        <v>0.18</v>
      </c>
      <c r="I4484">
        <v>1.37</v>
      </c>
      <c r="J4484">
        <v>-0.37</v>
      </c>
      <c r="L4484">
        <v>0</v>
      </c>
      <c r="M4484">
        <v>14.41</v>
      </c>
      <c r="N4484">
        <v>0.01</v>
      </c>
      <c r="O4484">
        <v>6.5</v>
      </c>
    </row>
    <row r="4485" spans="1:15">
      <c r="A4485" t="str">
        <f>"605006"</f>
        <v>605006</v>
      </c>
      <c r="B4485" t="s">
        <v>4530</v>
      </c>
      <c r="C4485">
        <v>-10</v>
      </c>
      <c r="D4485">
        <v>23.4</v>
      </c>
      <c r="E4485">
        <v>44899.69</v>
      </c>
      <c r="F4485" t="s">
        <v>16</v>
      </c>
      <c r="H4485">
        <v>0</v>
      </c>
      <c r="I4485">
        <v>26.97</v>
      </c>
      <c r="J4485">
        <v>-2.42</v>
      </c>
      <c r="K4485" t="s">
        <v>38</v>
      </c>
      <c r="L4485">
        <v>-10</v>
      </c>
      <c r="M4485">
        <v>11842.51</v>
      </c>
      <c r="N4485">
        <v>2.28</v>
      </c>
      <c r="O4485">
        <v>2.62</v>
      </c>
    </row>
    <row r="4486" spans="1:15">
      <c r="A4486" t="str">
        <f>"605007"</f>
        <v>605007</v>
      </c>
      <c r="B4486" t="s">
        <v>4531</v>
      </c>
      <c r="C4486">
        <v>-2.61</v>
      </c>
      <c r="D4486">
        <v>12.71</v>
      </c>
      <c r="E4486" t="s">
        <v>16</v>
      </c>
      <c r="F4486" t="s">
        <v>16</v>
      </c>
      <c r="H4486">
        <v>-0.3</v>
      </c>
      <c r="I4486">
        <v>-5.22</v>
      </c>
      <c r="J4486">
        <v>-3.2</v>
      </c>
      <c r="L4486">
        <v>0.08</v>
      </c>
      <c r="M4486">
        <v>18.81</v>
      </c>
      <c r="N4486">
        <v>0.02</v>
      </c>
      <c r="O4486">
        <v>1.36</v>
      </c>
    </row>
    <row r="4487" spans="1:15">
      <c r="A4487" t="str">
        <f>"605008"</f>
        <v>605008</v>
      </c>
      <c r="B4487" t="s">
        <v>4532</v>
      </c>
      <c r="C4487">
        <v>-0.81</v>
      </c>
      <c r="D4487">
        <v>11.07</v>
      </c>
      <c r="E4487" t="s">
        <v>16</v>
      </c>
      <c r="F4487" t="s">
        <v>16</v>
      </c>
      <c r="H4487">
        <v>-0.44</v>
      </c>
      <c r="I4487">
        <v>1.47</v>
      </c>
      <c r="J4487">
        <v>-1.07</v>
      </c>
      <c r="L4487">
        <v>0</v>
      </c>
      <c r="M4487">
        <v>15.62</v>
      </c>
      <c r="N4487">
        <v>0.01</v>
      </c>
      <c r="O4487">
        <v>2.74</v>
      </c>
    </row>
    <row r="4488" spans="1:15">
      <c r="A4488" t="str">
        <f>"605009"</f>
        <v>605009</v>
      </c>
      <c r="B4488" t="s">
        <v>4533</v>
      </c>
      <c r="C4488">
        <v>0.27</v>
      </c>
      <c r="D4488">
        <v>22.6</v>
      </c>
      <c r="E4488" t="s">
        <v>16</v>
      </c>
      <c r="F4488" t="s">
        <v>16</v>
      </c>
      <c r="H4488">
        <v>0.27</v>
      </c>
      <c r="I4488">
        <v>-6.8</v>
      </c>
      <c r="J4488">
        <v>-1.99</v>
      </c>
      <c r="L4488">
        <v>-0.31</v>
      </c>
      <c r="M4488">
        <v>15.5</v>
      </c>
      <c r="N4488">
        <v>0.01</v>
      </c>
      <c r="O4488">
        <v>1.64</v>
      </c>
    </row>
    <row r="4489" spans="1:15">
      <c r="A4489" t="str">
        <f>"605011"</f>
        <v>605011</v>
      </c>
      <c r="B4489" t="s">
        <v>4534</v>
      </c>
      <c r="C4489">
        <v>-4.85</v>
      </c>
      <c r="D4489">
        <v>17.07</v>
      </c>
      <c r="E4489" t="s">
        <v>16</v>
      </c>
      <c r="F4489" t="s">
        <v>16</v>
      </c>
      <c r="H4489">
        <v>0</v>
      </c>
      <c r="I4489">
        <v>-21.7</v>
      </c>
      <c r="J4489">
        <v>-4.37</v>
      </c>
      <c r="L4489">
        <v>-0.72</v>
      </c>
      <c r="M4489">
        <v>7.84</v>
      </c>
      <c r="N4489">
        <v>0.01</v>
      </c>
      <c r="O4489">
        <v>0.41</v>
      </c>
    </row>
    <row r="4490" spans="1:15">
      <c r="A4490" t="str">
        <f>"605016"</f>
        <v>605016</v>
      </c>
      <c r="B4490" t="s">
        <v>4535</v>
      </c>
      <c r="C4490">
        <v>-0.36</v>
      </c>
      <c r="D4490">
        <v>25.15</v>
      </c>
      <c r="E4490" t="s">
        <v>16</v>
      </c>
      <c r="F4490" t="s">
        <v>16</v>
      </c>
      <c r="H4490">
        <v>0.16</v>
      </c>
      <c r="I4490">
        <v>7.2</v>
      </c>
      <c r="J4490">
        <v>-1.22</v>
      </c>
      <c r="L4490">
        <v>0.44</v>
      </c>
      <c r="M4490">
        <v>27.38</v>
      </c>
      <c r="N4490">
        <v>0.01</v>
      </c>
      <c r="O4490">
        <v>6</v>
      </c>
    </row>
    <row r="4491" spans="1:15">
      <c r="A4491" t="str">
        <f>"605018"</f>
        <v>605018</v>
      </c>
      <c r="B4491" t="s">
        <v>4536</v>
      </c>
      <c r="C4491">
        <v>-2.71</v>
      </c>
      <c r="D4491">
        <v>15.06</v>
      </c>
      <c r="E4491" t="s">
        <v>16</v>
      </c>
      <c r="F4491" t="s">
        <v>16</v>
      </c>
      <c r="H4491">
        <v>-0.52</v>
      </c>
      <c r="I4491">
        <v>-9.87</v>
      </c>
      <c r="J4491">
        <v>-2.71</v>
      </c>
      <c r="L4491">
        <v>-1.49</v>
      </c>
      <c r="M4491">
        <v>120.32</v>
      </c>
      <c r="N4491">
        <v>0.08</v>
      </c>
      <c r="O4491">
        <v>1.63</v>
      </c>
    </row>
    <row r="4492" spans="1:15">
      <c r="A4492" t="str">
        <f>"605020"</f>
        <v>605020</v>
      </c>
      <c r="B4492" t="s">
        <v>4537</v>
      </c>
      <c r="C4492">
        <v>-7.9</v>
      </c>
      <c r="D4492">
        <v>34.17</v>
      </c>
      <c r="E4492" t="s">
        <v>16</v>
      </c>
      <c r="F4492" t="s">
        <v>16</v>
      </c>
      <c r="H4492">
        <v>-0.14</v>
      </c>
      <c r="I4492">
        <v>0.23</v>
      </c>
      <c r="J4492">
        <v>-8.32</v>
      </c>
      <c r="L4492">
        <v>0.35</v>
      </c>
      <c r="M4492">
        <v>3049.14</v>
      </c>
      <c r="N4492">
        <v>0.28</v>
      </c>
      <c r="O4492">
        <v>4.82</v>
      </c>
    </row>
    <row r="4493" spans="1:15">
      <c r="A4493" t="str">
        <f>"605028"</f>
        <v>605028</v>
      </c>
      <c r="B4493" t="s">
        <v>4538</v>
      </c>
      <c r="C4493">
        <v>0.33</v>
      </c>
      <c r="D4493">
        <v>21.46</v>
      </c>
      <c r="E4493" t="s">
        <v>16</v>
      </c>
      <c r="F4493" t="s">
        <v>16</v>
      </c>
      <c r="H4493">
        <v>-0.41</v>
      </c>
      <c r="I4493">
        <v>-3.68</v>
      </c>
      <c r="J4493">
        <v>-1.96</v>
      </c>
      <c r="L4493">
        <v>0.42</v>
      </c>
      <c r="M4493">
        <v>50.48</v>
      </c>
      <c r="N4493">
        <v>0.06</v>
      </c>
      <c r="O4493">
        <v>78.34</v>
      </c>
    </row>
    <row r="4494" spans="1:15">
      <c r="A4494" t="str">
        <f>"605033"</f>
        <v>605033</v>
      </c>
      <c r="B4494" t="s">
        <v>4539</v>
      </c>
      <c r="C4494">
        <v>-0.6</v>
      </c>
      <c r="D4494">
        <v>18.11</v>
      </c>
      <c r="E4494" t="s">
        <v>16</v>
      </c>
      <c r="F4494" t="s">
        <v>16</v>
      </c>
      <c r="H4494">
        <v>0</v>
      </c>
      <c r="I4494">
        <v>-5.92</v>
      </c>
      <c r="J4494">
        <v>-1.52</v>
      </c>
      <c r="L4494">
        <v>0</v>
      </c>
      <c r="M4494">
        <v>5.65</v>
      </c>
      <c r="N4494">
        <v>0.01</v>
      </c>
      <c r="O4494">
        <v>0.8</v>
      </c>
    </row>
    <row r="4495" spans="1:15">
      <c r="A4495" t="str">
        <f>"605050"</f>
        <v>605050</v>
      </c>
      <c r="B4495" t="s">
        <v>4540</v>
      </c>
      <c r="C4495">
        <v>1.19</v>
      </c>
      <c r="D4495">
        <v>10.21</v>
      </c>
      <c r="E4495" t="s">
        <v>16</v>
      </c>
      <c r="F4495" t="s">
        <v>16</v>
      </c>
      <c r="H4495">
        <v>0.1</v>
      </c>
      <c r="I4495">
        <v>-4.13</v>
      </c>
      <c r="J4495">
        <v>-1.16</v>
      </c>
      <c r="L4495">
        <v>-0.69</v>
      </c>
      <c r="M4495">
        <v>2.3</v>
      </c>
      <c r="N4495">
        <v>0</v>
      </c>
      <c r="O4495">
        <v>0.47</v>
      </c>
    </row>
    <row r="4496" spans="1:15">
      <c r="A4496" t="str">
        <f>"605055"</f>
        <v>605055</v>
      </c>
      <c r="B4496" t="s">
        <v>4541</v>
      </c>
      <c r="C4496">
        <v>0</v>
      </c>
      <c r="D4496">
        <v>11.52</v>
      </c>
      <c r="E4496" t="s">
        <v>16</v>
      </c>
      <c r="F4496" t="s">
        <v>16</v>
      </c>
      <c r="H4496">
        <v>0.35</v>
      </c>
      <c r="I4496">
        <v>-1.03</v>
      </c>
      <c r="J4496">
        <v>-0.69</v>
      </c>
      <c r="L4496">
        <v>-0.61</v>
      </c>
      <c r="M4496">
        <v>27.25</v>
      </c>
      <c r="N4496">
        <v>0.02</v>
      </c>
      <c r="O4496">
        <v>0.76</v>
      </c>
    </row>
    <row r="4497" spans="1:15">
      <c r="A4497" t="str">
        <f>"605056"</f>
        <v>605056</v>
      </c>
      <c r="B4497" t="s">
        <v>4542</v>
      </c>
      <c r="C4497">
        <v>0.91</v>
      </c>
      <c r="D4497">
        <v>17.75</v>
      </c>
      <c r="E4497" t="s">
        <v>16</v>
      </c>
      <c r="F4497" t="s">
        <v>16</v>
      </c>
      <c r="H4497">
        <v>0</v>
      </c>
      <c r="I4497">
        <v>-7.98</v>
      </c>
      <c r="J4497">
        <v>-3.11</v>
      </c>
      <c r="L4497">
        <v>2.27</v>
      </c>
      <c r="M4497">
        <v>31.12</v>
      </c>
      <c r="N4497">
        <v>0.01</v>
      </c>
      <c r="O4497">
        <v>3.26</v>
      </c>
    </row>
    <row r="4498" spans="1:15">
      <c r="A4498" t="str">
        <f>"605058"</f>
        <v>605058</v>
      </c>
      <c r="B4498" t="s">
        <v>4543</v>
      </c>
      <c r="C4498">
        <v>0.27</v>
      </c>
      <c r="D4498">
        <v>41.61</v>
      </c>
      <c r="E4498" t="s">
        <v>16</v>
      </c>
      <c r="F4498" t="s">
        <v>16</v>
      </c>
      <c r="H4498">
        <v>0.05</v>
      </c>
      <c r="I4498">
        <v>9.21</v>
      </c>
      <c r="J4498">
        <v>-1.4</v>
      </c>
      <c r="K4498" t="s">
        <v>57</v>
      </c>
      <c r="L4498">
        <v>-1.2</v>
      </c>
      <c r="M4498">
        <v>102.09</v>
      </c>
      <c r="N4498">
        <v>0.06</v>
      </c>
      <c r="O4498">
        <v>0.72</v>
      </c>
    </row>
    <row r="4499" spans="1:15">
      <c r="A4499" t="str">
        <f>"605060"</f>
        <v>605060</v>
      </c>
      <c r="B4499" t="s">
        <v>4544</v>
      </c>
      <c r="C4499">
        <v>4.37</v>
      </c>
      <c r="D4499">
        <v>52.73</v>
      </c>
      <c r="E4499" t="s">
        <v>16</v>
      </c>
      <c r="F4499" t="s">
        <v>16</v>
      </c>
      <c r="H4499">
        <v>0</v>
      </c>
      <c r="I4499">
        <v>0.55</v>
      </c>
      <c r="J4499">
        <v>-3.78</v>
      </c>
      <c r="L4499">
        <v>1.54</v>
      </c>
      <c r="M4499">
        <v>69.77</v>
      </c>
      <c r="N4499">
        <v>0.02</v>
      </c>
      <c r="O4499">
        <v>0.96</v>
      </c>
    </row>
    <row r="4500" spans="1:15">
      <c r="A4500" t="str">
        <f>"605066"</f>
        <v>605066</v>
      </c>
      <c r="B4500" t="s">
        <v>4545</v>
      </c>
      <c r="C4500">
        <v>3.14</v>
      </c>
      <c r="D4500">
        <v>7.22</v>
      </c>
      <c r="E4500" t="s">
        <v>16</v>
      </c>
      <c r="F4500" t="s">
        <v>16</v>
      </c>
      <c r="H4500">
        <v>-0.13</v>
      </c>
      <c r="I4500">
        <v>4.94</v>
      </c>
      <c r="J4500">
        <v>-1.63</v>
      </c>
      <c r="L4500">
        <v>0.14</v>
      </c>
      <c r="M4500">
        <v>19</v>
      </c>
      <c r="N4500">
        <v>0.01</v>
      </c>
      <c r="O4500">
        <v>0.33</v>
      </c>
    </row>
    <row r="4501" spans="1:15">
      <c r="A4501" t="str">
        <f>"605068"</f>
        <v>605068</v>
      </c>
      <c r="B4501" t="s">
        <v>4546</v>
      </c>
      <c r="C4501">
        <v>-2.44</v>
      </c>
      <c r="D4501">
        <v>18.8</v>
      </c>
      <c r="E4501" t="s">
        <v>16</v>
      </c>
      <c r="F4501" t="s">
        <v>16</v>
      </c>
      <c r="H4501">
        <v>-0.31</v>
      </c>
      <c r="I4501">
        <v>-15.88</v>
      </c>
      <c r="J4501">
        <v>-2.59</v>
      </c>
      <c r="L4501">
        <v>-0.57</v>
      </c>
      <c r="M4501">
        <v>5.17</v>
      </c>
      <c r="N4501">
        <v>0</v>
      </c>
      <c r="O4501">
        <v>0.24</v>
      </c>
    </row>
    <row r="4502" spans="1:15">
      <c r="A4502" t="str">
        <f>"605069"</f>
        <v>605069</v>
      </c>
      <c r="B4502" t="s">
        <v>4547</v>
      </c>
      <c r="C4502">
        <v>2.69</v>
      </c>
      <c r="D4502">
        <v>11.07</v>
      </c>
      <c r="E4502" t="s">
        <v>16</v>
      </c>
      <c r="F4502" t="s">
        <v>16</v>
      </c>
      <c r="H4502">
        <v>0.73</v>
      </c>
      <c r="I4502">
        <v>0</v>
      </c>
      <c r="J4502">
        <v>-6.66</v>
      </c>
      <c r="L4502">
        <v>-0.74</v>
      </c>
      <c r="M4502">
        <v>163.5</v>
      </c>
      <c r="N4502">
        <v>0.19</v>
      </c>
      <c r="O4502">
        <v>1.63</v>
      </c>
    </row>
    <row r="4503" spans="1:15">
      <c r="A4503" t="str">
        <f>"605077"</f>
        <v>605077</v>
      </c>
      <c r="B4503" t="s">
        <v>4548</v>
      </c>
      <c r="C4503">
        <v>-2.28</v>
      </c>
      <c r="D4503">
        <v>11.56</v>
      </c>
      <c r="E4503" t="s">
        <v>16</v>
      </c>
      <c r="F4503" t="s">
        <v>16</v>
      </c>
      <c r="H4503">
        <v>-0.08</v>
      </c>
      <c r="I4503">
        <v>-16.35</v>
      </c>
      <c r="J4503">
        <v>-2.2</v>
      </c>
      <c r="L4503">
        <v>-0.25</v>
      </c>
      <c r="M4503">
        <v>19.94</v>
      </c>
      <c r="N4503">
        <v>0.01</v>
      </c>
      <c r="O4503">
        <v>0.39</v>
      </c>
    </row>
    <row r="4504" spans="1:15">
      <c r="A4504" t="str">
        <f>"605080"</f>
        <v>605080</v>
      </c>
      <c r="B4504" t="s">
        <v>4549</v>
      </c>
      <c r="C4504">
        <v>2.61</v>
      </c>
      <c r="D4504">
        <v>22.02</v>
      </c>
      <c r="E4504" t="s">
        <v>16</v>
      </c>
      <c r="F4504" t="s">
        <v>16</v>
      </c>
      <c r="H4504">
        <v>-0.13</v>
      </c>
      <c r="I4504">
        <v>0.55</v>
      </c>
      <c r="J4504">
        <v>-3.84</v>
      </c>
      <c r="L4504">
        <v>-0.09</v>
      </c>
      <c r="M4504">
        <v>5.79</v>
      </c>
      <c r="N4504">
        <v>0.01</v>
      </c>
      <c r="O4504">
        <v>1.04</v>
      </c>
    </row>
    <row r="4505" spans="1:15">
      <c r="A4505" t="str">
        <f>"605086"</f>
        <v>605086</v>
      </c>
      <c r="B4505" t="s">
        <v>4550</v>
      </c>
      <c r="C4505">
        <v>9.99</v>
      </c>
      <c r="D4505">
        <v>30.17</v>
      </c>
      <c r="E4505">
        <v>7850.84</v>
      </c>
      <c r="F4505">
        <v>1</v>
      </c>
      <c r="H4505">
        <v>0</v>
      </c>
      <c r="I4505">
        <v>1.72</v>
      </c>
      <c r="J4505">
        <v>0</v>
      </c>
      <c r="K4505" t="s">
        <v>140</v>
      </c>
      <c r="L4505">
        <v>-0.98</v>
      </c>
      <c r="M4505">
        <v>9.78</v>
      </c>
      <c r="N4505">
        <v>0.01</v>
      </c>
      <c r="O4505">
        <v>0.46</v>
      </c>
    </row>
    <row r="4506" spans="1:15">
      <c r="A4506" t="str">
        <f>"605088"</f>
        <v>605088</v>
      </c>
      <c r="B4506" t="s">
        <v>4551</v>
      </c>
      <c r="C4506">
        <v>-5.61</v>
      </c>
      <c r="D4506">
        <v>29.76</v>
      </c>
      <c r="E4506" t="s">
        <v>16</v>
      </c>
      <c r="F4506" t="s">
        <v>16</v>
      </c>
      <c r="H4506">
        <v>-0.29</v>
      </c>
      <c r="I4506">
        <v>-11.67</v>
      </c>
      <c r="J4506">
        <v>-5.46</v>
      </c>
      <c r="L4506">
        <v>-0.98</v>
      </c>
      <c r="M4506">
        <v>29.97</v>
      </c>
      <c r="N4506">
        <v>0.01</v>
      </c>
      <c r="O4506">
        <v>1.57</v>
      </c>
    </row>
    <row r="4507" spans="1:15">
      <c r="A4507" t="str">
        <f>"605089"</f>
        <v>605089</v>
      </c>
      <c r="B4507" t="s">
        <v>4552</v>
      </c>
      <c r="C4507">
        <v>1.41</v>
      </c>
      <c r="D4507">
        <v>21.55</v>
      </c>
      <c r="E4507" t="s">
        <v>16</v>
      </c>
      <c r="F4507" t="s">
        <v>16</v>
      </c>
      <c r="H4507">
        <v>0.19</v>
      </c>
      <c r="I4507">
        <v>0.14</v>
      </c>
      <c r="J4507">
        <v>-2.13</v>
      </c>
      <c r="L4507">
        <v>-1.98</v>
      </c>
      <c r="M4507">
        <v>12.5</v>
      </c>
      <c r="N4507">
        <v>0.02</v>
      </c>
      <c r="O4507">
        <v>0.45</v>
      </c>
    </row>
    <row r="4508" spans="1:15">
      <c r="A4508" t="str">
        <f>"605090"</f>
        <v>605090</v>
      </c>
      <c r="B4508" t="s">
        <v>4553</v>
      </c>
      <c r="C4508">
        <v>2.03</v>
      </c>
      <c r="D4508">
        <v>35.13</v>
      </c>
      <c r="E4508" t="s">
        <v>16</v>
      </c>
      <c r="F4508" t="s">
        <v>16</v>
      </c>
      <c r="H4508">
        <v>0.03</v>
      </c>
      <c r="I4508">
        <v>-3.94</v>
      </c>
      <c r="J4508">
        <v>-2.69</v>
      </c>
      <c r="L4508">
        <v>-0.49</v>
      </c>
      <c r="M4508">
        <v>42.14</v>
      </c>
      <c r="N4508">
        <v>0</v>
      </c>
      <c r="O4508">
        <v>0.38</v>
      </c>
    </row>
    <row r="4509" spans="1:15">
      <c r="A4509" t="str">
        <f>"605098"</f>
        <v>605098</v>
      </c>
      <c r="B4509" t="s">
        <v>4554</v>
      </c>
      <c r="C4509">
        <v>0.85</v>
      </c>
      <c r="D4509">
        <v>54.78</v>
      </c>
      <c r="E4509" t="s">
        <v>16</v>
      </c>
      <c r="F4509" t="s">
        <v>16</v>
      </c>
      <c r="H4509">
        <v>0</v>
      </c>
      <c r="I4509">
        <v>0.87</v>
      </c>
      <c r="J4509">
        <v>-0.69</v>
      </c>
      <c r="L4509">
        <v>-0.18</v>
      </c>
      <c r="M4509">
        <v>7.59</v>
      </c>
      <c r="N4509">
        <v>0</v>
      </c>
      <c r="O4509">
        <v>2.33</v>
      </c>
    </row>
    <row r="4510" spans="1:15">
      <c r="A4510" t="str">
        <f>"605099"</f>
        <v>605099</v>
      </c>
      <c r="B4510" t="s">
        <v>4555</v>
      </c>
      <c r="C4510">
        <v>-1.17</v>
      </c>
      <c r="D4510">
        <v>32.82</v>
      </c>
      <c r="E4510" t="s">
        <v>16</v>
      </c>
      <c r="F4510" t="s">
        <v>16</v>
      </c>
      <c r="H4510">
        <v>-0.14</v>
      </c>
      <c r="I4510">
        <v>-15.52</v>
      </c>
      <c r="J4510">
        <v>-1.59</v>
      </c>
      <c r="L4510">
        <v>0.15</v>
      </c>
      <c r="M4510">
        <v>15.96</v>
      </c>
      <c r="N4510">
        <v>0.01</v>
      </c>
      <c r="O4510">
        <v>1.14</v>
      </c>
    </row>
    <row r="4511" spans="1:15">
      <c r="A4511" t="str">
        <f>"605100"</f>
        <v>605100</v>
      </c>
      <c r="B4511" t="s">
        <v>4556</v>
      </c>
      <c r="C4511">
        <v>5.1</v>
      </c>
      <c r="D4511">
        <v>39.16</v>
      </c>
      <c r="E4511" t="s">
        <v>16</v>
      </c>
      <c r="F4511" t="s">
        <v>16</v>
      </c>
      <c r="H4511">
        <v>0.05</v>
      </c>
      <c r="I4511">
        <v>12.69</v>
      </c>
      <c r="J4511">
        <v>-2.93</v>
      </c>
      <c r="L4511">
        <v>0</v>
      </c>
      <c r="M4511">
        <v>90.91</v>
      </c>
      <c r="N4511">
        <v>0.02</v>
      </c>
      <c r="O4511">
        <v>0.42</v>
      </c>
    </row>
    <row r="4512" spans="1:15">
      <c r="A4512" t="str">
        <f>"605108"</f>
        <v>605108</v>
      </c>
      <c r="B4512" t="s">
        <v>4557</v>
      </c>
      <c r="C4512">
        <v>-1.61</v>
      </c>
      <c r="D4512">
        <v>12.2</v>
      </c>
      <c r="E4512" t="s">
        <v>16</v>
      </c>
      <c r="F4512" t="s">
        <v>16</v>
      </c>
      <c r="H4512">
        <v>0.08</v>
      </c>
      <c r="I4512">
        <v>-5.86</v>
      </c>
      <c r="J4512">
        <v>-1.61</v>
      </c>
      <c r="L4512">
        <v>0</v>
      </c>
      <c r="M4512">
        <v>16.62</v>
      </c>
      <c r="N4512">
        <v>0.02</v>
      </c>
      <c r="O4512">
        <v>1.31</v>
      </c>
    </row>
    <row r="4513" spans="1:15">
      <c r="A4513" t="str">
        <f>"605111"</f>
        <v>605111</v>
      </c>
      <c r="B4513" t="s">
        <v>4558</v>
      </c>
      <c r="C4513">
        <v>4.43</v>
      </c>
      <c r="D4513">
        <v>74.3</v>
      </c>
      <c r="E4513" t="s">
        <v>16</v>
      </c>
      <c r="F4513" t="s">
        <v>16</v>
      </c>
      <c r="H4513">
        <v>0.24</v>
      </c>
      <c r="I4513">
        <v>16.84</v>
      </c>
      <c r="J4513">
        <v>-0.52</v>
      </c>
      <c r="K4513" t="s">
        <v>211</v>
      </c>
      <c r="L4513">
        <v>-0.97</v>
      </c>
      <c r="M4513">
        <v>1325.35</v>
      </c>
      <c r="N4513">
        <v>0.06</v>
      </c>
      <c r="O4513">
        <v>0.79</v>
      </c>
    </row>
    <row r="4514" spans="1:15">
      <c r="A4514" t="str">
        <f>"605116"</f>
        <v>605116</v>
      </c>
      <c r="B4514" t="s">
        <v>4559</v>
      </c>
      <c r="C4514">
        <v>0.77</v>
      </c>
      <c r="D4514">
        <v>19.56</v>
      </c>
      <c r="E4514" t="s">
        <v>16</v>
      </c>
      <c r="F4514" t="s">
        <v>16</v>
      </c>
      <c r="H4514">
        <v>0.1</v>
      </c>
      <c r="I4514">
        <v>5.39</v>
      </c>
      <c r="J4514">
        <v>-1.76</v>
      </c>
      <c r="L4514">
        <v>-0.31</v>
      </c>
      <c r="M4514">
        <v>1.55</v>
      </c>
      <c r="N4514">
        <v>0</v>
      </c>
      <c r="O4514">
        <v>0.57</v>
      </c>
    </row>
    <row r="4515" spans="1:15">
      <c r="A4515" t="str">
        <f>"605117"</f>
        <v>605117</v>
      </c>
      <c r="B4515" t="s">
        <v>4560</v>
      </c>
      <c r="C4515">
        <v>0.12</v>
      </c>
      <c r="D4515">
        <v>103.2</v>
      </c>
      <c r="E4515" t="s">
        <v>16</v>
      </c>
      <c r="F4515" t="s">
        <v>16</v>
      </c>
      <c r="H4515">
        <v>0.01</v>
      </c>
      <c r="I4515">
        <v>-8.09</v>
      </c>
      <c r="J4515">
        <v>-2.64</v>
      </c>
      <c r="L4515">
        <v>-0.08</v>
      </c>
      <c r="M4515">
        <v>401.29</v>
      </c>
      <c r="N4515">
        <v>0.01</v>
      </c>
      <c r="O4515">
        <v>0.6</v>
      </c>
    </row>
    <row r="4516" spans="1:15">
      <c r="A4516" t="str">
        <f>"605118"</f>
        <v>605118</v>
      </c>
      <c r="B4516" t="s">
        <v>4561</v>
      </c>
      <c r="C4516">
        <v>-1.51</v>
      </c>
      <c r="D4516">
        <v>32.7</v>
      </c>
      <c r="E4516" t="s">
        <v>16</v>
      </c>
      <c r="F4516" t="s">
        <v>16</v>
      </c>
      <c r="H4516">
        <v>-0.05</v>
      </c>
      <c r="I4516">
        <v>-5.9</v>
      </c>
      <c r="J4516">
        <v>-1.8</v>
      </c>
      <c r="L4516">
        <v>0</v>
      </c>
      <c r="M4516">
        <v>33.2</v>
      </c>
      <c r="N4516">
        <v>0.02</v>
      </c>
      <c r="O4516">
        <v>4</v>
      </c>
    </row>
    <row r="4517" spans="1:15">
      <c r="A4517" t="str">
        <f>"605122"</f>
        <v>605122</v>
      </c>
      <c r="B4517" t="s">
        <v>4562</v>
      </c>
      <c r="C4517">
        <v>0.09</v>
      </c>
      <c r="D4517">
        <v>11.59</v>
      </c>
      <c r="E4517" t="s">
        <v>16</v>
      </c>
      <c r="F4517" t="s">
        <v>16</v>
      </c>
      <c r="H4517">
        <v>0.61</v>
      </c>
      <c r="I4517">
        <v>-9.81</v>
      </c>
      <c r="J4517">
        <v>-1.7</v>
      </c>
      <c r="L4517">
        <v>-1.12</v>
      </c>
      <c r="M4517">
        <v>0.92</v>
      </c>
      <c r="N4517">
        <v>0</v>
      </c>
      <c r="O4517">
        <v>0.11</v>
      </c>
    </row>
    <row r="4518" spans="1:15">
      <c r="A4518" t="str">
        <f>"605123"</f>
        <v>605123</v>
      </c>
      <c r="B4518" t="s">
        <v>4563</v>
      </c>
      <c r="C4518">
        <v>1.65</v>
      </c>
      <c r="D4518">
        <v>104.91</v>
      </c>
      <c r="E4518" t="s">
        <v>16</v>
      </c>
      <c r="F4518" t="s">
        <v>16</v>
      </c>
      <c r="H4518">
        <v>0.15</v>
      </c>
      <c r="I4518">
        <v>5.58</v>
      </c>
      <c r="J4518">
        <v>-1.67</v>
      </c>
      <c r="L4518">
        <v>-0.88</v>
      </c>
      <c r="M4518">
        <v>235.29</v>
      </c>
      <c r="N4518">
        <v>0.04</v>
      </c>
      <c r="O4518">
        <v>1.16</v>
      </c>
    </row>
    <row r="4519" spans="1:15">
      <c r="A4519" t="str">
        <f>"605128"</f>
        <v>605128</v>
      </c>
      <c r="B4519" t="s">
        <v>4564</v>
      </c>
      <c r="C4519">
        <v>3.05</v>
      </c>
      <c r="D4519">
        <v>26</v>
      </c>
      <c r="E4519" t="s">
        <v>16</v>
      </c>
      <c r="F4519" t="s">
        <v>16</v>
      </c>
      <c r="H4519">
        <v>-0.18</v>
      </c>
      <c r="I4519">
        <v>17.06</v>
      </c>
      <c r="J4519">
        <v>-1.22</v>
      </c>
      <c r="L4519">
        <v>0</v>
      </c>
      <c r="M4519">
        <v>34.06</v>
      </c>
      <c r="N4519">
        <v>0.01</v>
      </c>
      <c r="O4519">
        <v>1.57</v>
      </c>
    </row>
    <row r="4520" spans="1:15">
      <c r="A4520" t="str">
        <f>"605133"</f>
        <v>605133</v>
      </c>
      <c r="B4520" t="s">
        <v>4565</v>
      </c>
      <c r="C4520">
        <v>-0.47</v>
      </c>
      <c r="D4520">
        <v>35.67</v>
      </c>
      <c r="E4520" t="s">
        <v>16</v>
      </c>
      <c r="F4520" t="s">
        <v>16</v>
      </c>
      <c r="H4520">
        <v>-0.05</v>
      </c>
      <c r="I4520">
        <v>-0.61</v>
      </c>
      <c r="J4520">
        <v>-1.71</v>
      </c>
      <c r="L4520">
        <v>0.06</v>
      </c>
      <c r="M4520">
        <v>129.45</v>
      </c>
      <c r="N4520">
        <v>0.03</v>
      </c>
      <c r="O4520">
        <v>2.36</v>
      </c>
    </row>
    <row r="4521" spans="1:15">
      <c r="A4521" t="str">
        <f>"605136"</f>
        <v>605136</v>
      </c>
      <c r="B4521" t="s">
        <v>4566</v>
      </c>
      <c r="C4521">
        <v>-2.26</v>
      </c>
      <c r="D4521">
        <v>7.77</v>
      </c>
      <c r="E4521" t="s">
        <v>16</v>
      </c>
      <c r="F4521" t="s">
        <v>16</v>
      </c>
      <c r="H4521">
        <v>-0.25</v>
      </c>
      <c r="I4521">
        <v>-13.38</v>
      </c>
      <c r="J4521">
        <v>-2.26</v>
      </c>
      <c r="L4521">
        <v>-0.13</v>
      </c>
      <c r="M4521">
        <v>25.73</v>
      </c>
      <c r="N4521">
        <v>0.02</v>
      </c>
      <c r="O4521">
        <v>4.38</v>
      </c>
    </row>
    <row r="4522" spans="1:15">
      <c r="A4522" t="str">
        <f>"605138"</f>
        <v>605138</v>
      </c>
      <c r="B4522" t="s">
        <v>4567</v>
      </c>
      <c r="C4522">
        <v>-1.14</v>
      </c>
      <c r="D4522">
        <v>6.06</v>
      </c>
      <c r="E4522" t="s">
        <v>16</v>
      </c>
      <c r="F4522" t="s">
        <v>16</v>
      </c>
      <c r="H4522">
        <v>0</v>
      </c>
      <c r="I4522">
        <v>-8.18</v>
      </c>
      <c r="J4522">
        <v>-0.82</v>
      </c>
      <c r="L4522">
        <v>-0.98</v>
      </c>
      <c r="M4522">
        <v>23.49</v>
      </c>
      <c r="N4522">
        <v>0.03</v>
      </c>
      <c r="O4522">
        <v>0.6</v>
      </c>
    </row>
    <row r="4523" spans="1:15">
      <c r="A4523" t="str">
        <f>"605151"</f>
        <v>605151</v>
      </c>
      <c r="B4523" t="s">
        <v>4568</v>
      </c>
      <c r="C4523">
        <v>-0.69</v>
      </c>
      <c r="D4523">
        <v>18.84</v>
      </c>
      <c r="E4523" t="s">
        <v>16</v>
      </c>
      <c r="F4523" t="s">
        <v>16</v>
      </c>
      <c r="H4523">
        <v>-0.04</v>
      </c>
      <c r="I4523">
        <v>-9.51</v>
      </c>
      <c r="J4523">
        <v>-1.67</v>
      </c>
      <c r="L4523">
        <v>0.05</v>
      </c>
      <c r="M4523">
        <v>23.73</v>
      </c>
      <c r="N4523">
        <v>0.03</v>
      </c>
      <c r="O4523">
        <v>1.12</v>
      </c>
    </row>
    <row r="4524" spans="1:15">
      <c r="A4524" t="str">
        <f>"605155"</f>
        <v>605155</v>
      </c>
      <c r="B4524" t="s">
        <v>4569</v>
      </c>
      <c r="C4524">
        <v>0.52</v>
      </c>
      <c r="D4524">
        <v>13.55</v>
      </c>
      <c r="E4524" t="s">
        <v>16</v>
      </c>
      <c r="F4524" t="s">
        <v>16</v>
      </c>
      <c r="H4524">
        <v>1.19</v>
      </c>
      <c r="I4524">
        <v>-1.6</v>
      </c>
      <c r="J4524">
        <v>-1.95</v>
      </c>
      <c r="L4524">
        <v>-0.74</v>
      </c>
      <c r="M4524">
        <v>2.54</v>
      </c>
      <c r="N4524">
        <v>0</v>
      </c>
      <c r="O4524">
        <v>0.24</v>
      </c>
    </row>
    <row r="4525" spans="1:15">
      <c r="A4525" t="str">
        <f>"605158"</f>
        <v>605158</v>
      </c>
      <c r="B4525" t="s">
        <v>4570</v>
      </c>
      <c r="C4525">
        <v>3.29</v>
      </c>
      <c r="D4525">
        <v>6.6</v>
      </c>
      <c r="E4525" t="s">
        <v>16</v>
      </c>
      <c r="F4525" t="s">
        <v>16</v>
      </c>
      <c r="H4525">
        <v>-0.14</v>
      </c>
      <c r="I4525">
        <v>0.3</v>
      </c>
      <c r="J4525">
        <v>-2.37</v>
      </c>
      <c r="L4525">
        <v>-1.1</v>
      </c>
      <c r="M4525">
        <v>1.64</v>
      </c>
      <c r="N4525">
        <v>0</v>
      </c>
      <c r="O4525">
        <v>0.21</v>
      </c>
    </row>
    <row r="4526" spans="1:15">
      <c r="A4526" t="str">
        <f>"605162"</f>
        <v>605162</v>
      </c>
      <c r="B4526" t="s">
        <v>4571</v>
      </c>
      <c r="C4526">
        <v>-3.27</v>
      </c>
      <c r="D4526">
        <v>8.58</v>
      </c>
      <c r="E4526" t="s">
        <v>16</v>
      </c>
      <c r="F4526" t="s">
        <v>16</v>
      </c>
      <c r="H4526">
        <v>0.23</v>
      </c>
      <c r="I4526">
        <v>-32.49</v>
      </c>
      <c r="J4526">
        <v>-3.38</v>
      </c>
      <c r="L4526">
        <v>0</v>
      </c>
      <c r="M4526">
        <v>57.12</v>
      </c>
      <c r="N4526">
        <v>0.04</v>
      </c>
      <c r="O4526">
        <v>1.39</v>
      </c>
    </row>
    <row r="4527" spans="1:15">
      <c r="A4527" t="str">
        <f>"605166"</f>
        <v>605166</v>
      </c>
      <c r="B4527" t="s">
        <v>4572</v>
      </c>
      <c r="C4527">
        <v>-7.78</v>
      </c>
      <c r="D4527">
        <v>9.96</v>
      </c>
      <c r="E4527" t="s">
        <v>16</v>
      </c>
      <c r="F4527" t="s">
        <v>16</v>
      </c>
      <c r="H4527">
        <v>0.4</v>
      </c>
      <c r="I4527">
        <v>-3.77</v>
      </c>
      <c r="J4527">
        <v>-8.62</v>
      </c>
      <c r="K4527" t="s">
        <v>26</v>
      </c>
      <c r="L4527">
        <v>0.93</v>
      </c>
      <c r="M4527">
        <v>115.76</v>
      </c>
      <c r="N4527">
        <v>0.05</v>
      </c>
      <c r="O4527">
        <v>0.32</v>
      </c>
    </row>
    <row r="4528" spans="1:15">
      <c r="A4528" t="str">
        <f>"605167"</f>
        <v>605167</v>
      </c>
      <c r="B4528" t="s">
        <v>4573</v>
      </c>
      <c r="C4528">
        <v>0.57</v>
      </c>
      <c r="D4528">
        <v>14.22</v>
      </c>
      <c r="E4528" t="s">
        <v>16</v>
      </c>
      <c r="F4528" t="s">
        <v>16</v>
      </c>
      <c r="H4528">
        <v>-0.27</v>
      </c>
      <c r="I4528">
        <v>-3.66</v>
      </c>
      <c r="J4528">
        <v>-7.54</v>
      </c>
      <c r="L4528">
        <v>-0.64</v>
      </c>
      <c r="M4528">
        <v>200.79</v>
      </c>
      <c r="N4528">
        <v>0.06</v>
      </c>
      <c r="O4528">
        <v>13.61</v>
      </c>
    </row>
    <row r="4529" spans="1:15">
      <c r="A4529" t="str">
        <f>"605168"</f>
        <v>605168</v>
      </c>
      <c r="B4529" t="s">
        <v>4574</v>
      </c>
      <c r="C4529">
        <v>7.61</v>
      </c>
      <c r="D4529">
        <v>54.16</v>
      </c>
      <c r="E4529" t="s">
        <v>16</v>
      </c>
      <c r="F4529" t="s">
        <v>16</v>
      </c>
      <c r="H4529">
        <v>0.04</v>
      </c>
      <c r="I4529">
        <v>13.12</v>
      </c>
      <c r="J4529">
        <v>-2.17</v>
      </c>
      <c r="L4529">
        <v>0.16</v>
      </c>
      <c r="M4529">
        <v>190.05</v>
      </c>
      <c r="N4529">
        <v>0.04</v>
      </c>
      <c r="O4529">
        <v>0.45</v>
      </c>
    </row>
    <row r="4530" spans="1:15">
      <c r="A4530" t="str">
        <f>"605169"</f>
        <v>605169</v>
      </c>
      <c r="B4530" t="s">
        <v>4575</v>
      </c>
      <c r="C4530">
        <v>-1.42</v>
      </c>
      <c r="D4530">
        <v>9.69</v>
      </c>
      <c r="E4530" t="s">
        <v>16</v>
      </c>
      <c r="F4530" t="s">
        <v>16</v>
      </c>
      <c r="H4530">
        <v>-0.2</v>
      </c>
      <c r="I4530">
        <v>-12.31</v>
      </c>
      <c r="J4530">
        <v>-1.72</v>
      </c>
      <c r="L4530">
        <v>-0.71</v>
      </c>
      <c r="M4530">
        <v>11.22</v>
      </c>
      <c r="N4530">
        <v>0.01</v>
      </c>
      <c r="O4530">
        <v>1.19</v>
      </c>
    </row>
    <row r="4531" spans="1:15">
      <c r="A4531" t="str">
        <f>"605177"</f>
        <v>605177</v>
      </c>
      <c r="B4531" t="s">
        <v>4576</v>
      </c>
      <c r="C4531">
        <v>-1.34</v>
      </c>
      <c r="D4531">
        <v>17.63</v>
      </c>
      <c r="E4531" t="s">
        <v>16</v>
      </c>
      <c r="F4531" t="s">
        <v>16</v>
      </c>
      <c r="H4531">
        <v>-0.05</v>
      </c>
      <c r="I4531">
        <v>-24.88</v>
      </c>
      <c r="J4531">
        <v>-3.87</v>
      </c>
      <c r="L4531">
        <v>0</v>
      </c>
      <c r="M4531">
        <v>60.22</v>
      </c>
      <c r="N4531">
        <v>0.06</v>
      </c>
      <c r="O4531">
        <v>0.69</v>
      </c>
    </row>
    <row r="4532" spans="1:15">
      <c r="A4532" t="str">
        <f>"605178"</f>
        <v>605178</v>
      </c>
      <c r="B4532" t="s">
        <v>4577</v>
      </c>
      <c r="C4532">
        <v>2.59</v>
      </c>
      <c r="D4532">
        <v>64.84</v>
      </c>
      <c r="E4532" t="s">
        <v>16</v>
      </c>
      <c r="F4532" t="s">
        <v>16</v>
      </c>
      <c r="H4532">
        <v>0.5</v>
      </c>
      <c r="I4532">
        <v>-1.1</v>
      </c>
      <c r="J4532">
        <v>-1.28</v>
      </c>
      <c r="L4532">
        <v>-0.54</v>
      </c>
      <c r="M4532">
        <v>37.09</v>
      </c>
      <c r="N4532">
        <v>0.01</v>
      </c>
      <c r="O4532">
        <v>0.4</v>
      </c>
    </row>
    <row r="4533" spans="1:15">
      <c r="A4533" t="str">
        <f>"605179"</f>
        <v>605179</v>
      </c>
      <c r="B4533" t="s">
        <v>4578</v>
      </c>
      <c r="C4533">
        <v>-0.73</v>
      </c>
      <c r="D4533">
        <v>13.52</v>
      </c>
      <c r="E4533" t="s">
        <v>16</v>
      </c>
      <c r="F4533" t="s">
        <v>16</v>
      </c>
      <c r="H4533">
        <v>-0.06</v>
      </c>
      <c r="I4533">
        <v>-5.19</v>
      </c>
      <c r="J4533">
        <v>-1.17</v>
      </c>
      <c r="L4533">
        <v>-0.07</v>
      </c>
      <c r="M4533">
        <v>1.22</v>
      </c>
      <c r="N4533">
        <v>0</v>
      </c>
      <c r="O4533">
        <v>0.15</v>
      </c>
    </row>
    <row r="4534" spans="1:15">
      <c r="A4534" t="str">
        <f>"605180"</f>
        <v>605180</v>
      </c>
      <c r="B4534" t="s">
        <v>4579</v>
      </c>
      <c r="C4534">
        <v>-0.63</v>
      </c>
      <c r="D4534">
        <v>14.19</v>
      </c>
      <c r="E4534" t="s">
        <v>16</v>
      </c>
      <c r="F4534" t="s">
        <v>16</v>
      </c>
      <c r="H4534">
        <v>0.57</v>
      </c>
      <c r="I4534">
        <v>7.66</v>
      </c>
      <c r="J4534">
        <v>-1.53</v>
      </c>
      <c r="L4534">
        <v>-0.35</v>
      </c>
      <c r="M4534">
        <v>11.1</v>
      </c>
      <c r="N4534">
        <v>0.02</v>
      </c>
      <c r="O4534">
        <v>0.42</v>
      </c>
    </row>
    <row r="4535" spans="1:15">
      <c r="A4535" t="str">
        <f>"605183"</f>
        <v>605183</v>
      </c>
      <c r="B4535" t="s">
        <v>4580</v>
      </c>
      <c r="C4535">
        <v>-1.2</v>
      </c>
      <c r="D4535">
        <v>14.8</v>
      </c>
      <c r="E4535" t="s">
        <v>16</v>
      </c>
      <c r="F4535" t="s">
        <v>16</v>
      </c>
      <c r="H4535">
        <v>-0.26</v>
      </c>
      <c r="I4535">
        <v>0.2</v>
      </c>
      <c r="J4535">
        <v>-1.4</v>
      </c>
      <c r="L4535">
        <v>0.2</v>
      </c>
      <c r="M4535">
        <v>25.07</v>
      </c>
      <c r="N4535">
        <v>0.01</v>
      </c>
      <c r="O4535">
        <v>1.5</v>
      </c>
    </row>
    <row r="4536" spans="1:15">
      <c r="A4536" t="str">
        <f>"605186"</f>
        <v>605186</v>
      </c>
      <c r="B4536" t="s">
        <v>4581</v>
      </c>
      <c r="C4536">
        <v>3.11</v>
      </c>
      <c r="D4536">
        <v>33.87</v>
      </c>
      <c r="E4536" t="s">
        <v>16</v>
      </c>
      <c r="F4536" t="s">
        <v>16</v>
      </c>
      <c r="H4536">
        <v>0.15</v>
      </c>
      <c r="I4536">
        <v>19.77</v>
      </c>
      <c r="J4536">
        <v>-2.31</v>
      </c>
      <c r="L4536">
        <v>0</v>
      </c>
      <c r="M4536">
        <v>82.78</v>
      </c>
      <c r="N4536">
        <v>0.04</v>
      </c>
      <c r="O4536">
        <v>0.33</v>
      </c>
    </row>
    <row r="4537" spans="1:15">
      <c r="A4537" t="str">
        <f>"605188"</f>
        <v>605188</v>
      </c>
      <c r="B4537" t="s">
        <v>4582</v>
      </c>
      <c r="C4537">
        <v>-1.24</v>
      </c>
      <c r="D4537">
        <v>12.76</v>
      </c>
      <c r="E4537" t="s">
        <v>16</v>
      </c>
      <c r="F4537" t="s">
        <v>16</v>
      </c>
      <c r="H4537">
        <v>0</v>
      </c>
      <c r="I4537">
        <v>-6.25</v>
      </c>
      <c r="J4537">
        <v>-1.31</v>
      </c>
      <c r="L4537">
        <v>-0.54</v>
      </c>
      <c r="M4537">
        <v>7.32</v>
      </c>
      <c r="N4537">
        <v>0.01</v>
      </c>
      <c r="O4537">
        <v>0.21</v>
      </c>
    </row>
    <row r="4538" spans="1:15">
      <c r="A4538" t="str">
        <f>"605189"</f>
        <v>605189</v>
      </c>
      <c r="B4538" t="s">
        <v>4583</v>
      </c>
      <c r="C4538">
        <v>0.22</v>
      </c>
      <c r="D4538">
        <v>13.45</v>
      </c>
      <c r="E4538" t="s">
        <v>16</v>
      </c>
      <c r="F4538" t="s">
        <v>16</v>
      </c>
      <c r="H4538">
        <v>0.07</v>
      </c>
      <c r="I4538">
        <v>-2.61</v>
      </c>
      <c r="J4538">
        <v>-0.37</v>
      </c>
      <c r="L4538">
        <v>-1.19</v>
      </c>
      <c r="M4538">
        <v>21.08</v>
      </c>
      <c r="N4538">
        <v>0.01</v>
      </c>
      <c r="O4538">
        <v>0.66</v>
      </c>
    </row>
    <row r="4539" spans="1:15">
      <c r="A4539" t="str">
        <f>"605196"</f>
        <v>605196</v>
      </c>
      <c r="B4539" t="s">
        <v>4584</v>
      </c>
      <c r="C4539">
        <v>-4.2</v>
      </c>
      <c r="D4539">
        <v>31.28</v>
      </c>
      <c r="E4539" t="s">
        <v>16</v>
      </c>
      <c r="F4539" t="s">
        <v>16</v>
      </c>
      <c r="H4539">
        <v>0.39</v>
      </c>
      <c r="I4539">
        <v>-21.15</v>
      </c>
      <c r="J4539">
        <v>-5.58</v>
      </c>
      <c r="L4539">
        <v>-0.18</v>
      </c>
      <c r="M4539">
        <v>77.24</v>
      </c>
      <c r="N4539">
        <v>0.01</v>
      </c>
      <c r="O4539">
        <v>0.37</v>
      </c>
    </row>
    <row r="4540" spans="1:15">
      <c r="A4540" t="str">
        <f>"605198"</f>
        <v>605198</v>
      </c>
      <c r="B4540" t="s">
        <v>4585</v>
      </c>
      <c r="C4540">
        <v>-5.11</v>
      </c>
      <c r="D4540">
        <v>81.7</v>
      </c>
      <c r="E4540" t="s">
        <v>16</v>
      </c>
      <c r="F4540" t="s">
        <v>16</v>
      </c>
      <c r="H4540">
        <v>-1.19</v>
      </c>
      <c r="I4540">
        <v>49.77</v>
      </c>
      <c r="J4540">
        <v>-4.96</v>
      </c>
      <c r="K4540" t="s">
        <v>747</v>
      </c>
      <c r="L4540">
        <v>-1.74</v>
      </c>
      <c r="M4540">
        <v>2885.71</v>
      </c>
      <c r="N4540">
        <v>0.73</v>
      </c>
      <c r="O4540">
        <v>0.71</v>
      </c>
    </row>
    <row r="4541" spans="1:15">
      <c r="A4541" t="str">
        <f>"605199"</f>
        <v>605199</v>
      </c>
      <c r="B4541" t="s">
        <v>4586</v>
      </c>
      <c r="C4541">
        <v>-0.65</v>
      </c>
      <c r="D4541">
        <v>6.09</v>
      </c>
      <c r="E4541" t="s">
        <v>16</v>
      </c>
      <c r="F4541" t="s">
        <v>16</v>
      </c>
      <c r="H4541">
        <v>0</v>
      </c>
      <c r="I4541">
        <v>-7.31</v>
      </c>
      <c r="J4541">
        <v>-1.3</v>
      </c>
      <c r="L4541">
        <v>0</v>
      </c>
      <c r="M4541">
        <v>0</v>
      </c>
      <c r="N4541">
        <v>0</v>
      </c>
      <c r="O4541">
        <v>0</v>
      </c>
    </row>
    <row r="4542" spans="1:15">
      <c r="A4542" t="str">
        <f>"605208"</f>
        <v>605208</v>
      </c>
      <c r="B4542" t="s">
        <v>4587</v>
      </c>
      <c r="C4542">
        <v>2.79</v>
      </c>
      <c r="D4542">
        <v>16.2</v>
      </c>
      <c r="E4542" t="s">
        <v>16</v>
      </c>
      <c r="F4542" t="s">
        <v>16</v>
      </c>
      <c r="H4542">
        <v>-0.05</v>
      </c>
      <c r="I4542">
        <v>12.58</v>
      </c>
      <c r="J4542">
        <v>-1.34</v>
      </c>
      <c r="L4542">
        <v>0.63</v>
      </c>
      <c r="M4542">
        <v>45.99</v>
      </c>
      <c r="N4542">
        <v>0.02</v>
      </c>
      <c r="O4542">
        <v>0.71</v>
      </c>
    </row>
    <row r="4543" spans="1:15">
      <c r="A4543" t="str">
        <f>"605218"</f>
        <v>605218</v>
      </c>
      <c r="B4543" t="s">
        <v>4588</v>
      </c>
      <c r="C4543">
        <v>-4.23</v>
      </c>
      <c r="D4543">
        <v>17.45</v>
      </c>
      <c r="E4543" t="s">
        <v>16</v>
      </c>
      <c r="F4543" t="s">
        <v>16</v>
      </c>
      <c r="H4543">
        <v>-0.05</v>
      </c>
      <c r="I4543">
        <v>5.95</v>
      </c>
      <c r="J4543">
        <v>-3.91</v>
      </c>
      <c r="L4543">
        <v>-0.49</v>
      </c>
      <c r="M4543">
        <v>16.32</v>
      </c>
      <c r="N4543">
        <v>0.01</v>
      </c>
      <c r="O4543">
        <v>0.89</v>
      </c>
    </row>
    <row r="4544" spans="1:15">
      <c r="A4544" t="str">
        <f>"605222"</f>
        <v>605222</v>
      </c>
      <c r="B4544" t="s">
        <v>4589</v>
      </c>
      <c r="C4544">
        <v>-1.26</v>
      </c>
      <c r="D4544">
        <v>25.03</v>
      </c>
      <c r="E4544" t="s">
        <v>16</v>
      </c>
      <c r="F4544" t="s">
        <v>16</v>
      </c>
      <c r="H4544">
        <v>-0.07</v>
      </c>
      <c r="I4544">
        <v>-10.58</v>
      </c>
      <c r="J4544">
        <v>-2.57</v>
      </c>
      <c r="L4544">
        <v>1.26</v>
      </c>
      <c r="M4544">
        <v>131.94</v>
      </c>
      <c r="N4544">
        <v>0.03</v>
      </c>
      <c r="O4544">
        <v>2.68</v>
      </c>
    </row>
    <row r="4545" spans="1:15">
      <c r="A4545" t="str">
        <f>"605228"</f>
        <v>605228</v>
      </c>
      <c r="B4545" t="s">
        <v>4590</v>
      </c>
      <c r="C4545">
        <v>3.21</v>
      </c>
      <c r="D4545">
        <v>13.52</v>
      </c>
      <c r="E4545" t="s">
        <v>16</v>
      </c>
      <c r="F4545" t="s">
        <v>16</v>
      </c>
      <c r="H4545">
        <v>-0.21</v>
      </c>
      <c r="I4545">
        <v>7.81</v>
      </c>
      <c r="J4545">
        <v>-0.81</v>
      </c>
      <c r="L4545">
        <v>-0.08</v>
      </c>
      <c r="M4545">
        <v>21.73</v>
      </c>
      <c r="N4545">
        <v>0.01</v>
      </c>
      <c r="O4545">
        <v>0.91</v>
      </c>
    </row>
    <row r="4546" spans="1:15">
      <c r="A4546" t="str">
        <f>"605255"</f>
        <v>605255</v>
      </c>
      <c r="B4546" t="s">
        <v>4591</v>
      </c>
      <c r="C4546">
        <v>4.2</v>
      </c>
      <c r="D4546">
        <v>80.86</v>
      </c>
      <c r="E4546" t="s">
        <v>16</v>
      </c>
      <c r="F4546" t="s">
        <v>16</v>
      </c>
      <c r="H4546">
        <v>-0.04</v>
      </c>
      <c r="I4546">
        <v>0.04</v>
      </c>
      <c r="J4546">
        <v>-2.66</v>
      </c>
      <c r="K4546" t="s">
        <v>26</v>
      </c>
      <c r="L4546">
        <v>-0.99</v>
      </c>
      <c r="M4546">
        <v>200.53</v>
      </c>
      <c r="N4546">
        <v>0.08</v>
      </c>
      <c r="O4546">
        <v>0.64</v>
      </c>
    </row>
    <row r="4547" spans="1:15">
      <c r="A4547" t="str">
        <f>"605258"</f>
        <v>605258</v>
      </c>
      <c r="B4547" t="s">
        <v>4592</v>
      </c>
      <c r="C4547">
        <v>-0.91</v>
      </c>
      <c r="D4547">
        <v>36.9</v>
      </c>
      <c r="E4547" t="s">
        <v>16</v>
      </c>
      <c r="F4547" t="s">
        <v>16</v>
      </c>
      <c r="H4547">
        <v>0.14</v>
      </c>
      <c r="I4547">
        <v>5.4</v>
      </c>
      <c r="J4547">
        <v>-1.57</v>
      </c>
      <c r="L4547">
        <v>0</v>
      </c>
      <c r="M4547">
        <v>18.25</v>
      </c>
      <c r="N4547">
        <v>0.01</v>
      </c>
      <c r="O4547">
        <v>0.32</v>
      </c>
    </row>
    <row r="4548" spans="1:15">
      <c r="A4548" t="str">
        <f>"605259"</f>
        <v>605259</v>
      </c>
      <c r="B4548" t="s">
        <v>4593</v>
      </c>
      <c r="C4548">
        <v>0.82</v>
      </c>
      <c r="D4548">
        <v>18.5</v>
      </c>
      <c r="E4548" t="s">
        <v>16</v>
      </c>
      <c r="F4548" t="s">
        <v>16</v>
      </c>
      <c r="H4548">
        <v>-0.04</v>
      </c>
      <c r="I4548">
        <v>-0.8</v>
      </c>
      <c r="J4548">
        <v>-1.7</v>
      </c>
      <c r="L4548">
        <v>-0.27</v>
      </c>
      <c r="M4548">
        <v>10.98</v>
      </c>
      <c r="N4548">
        <v>0.01</v>
      </c>
      <c r="O4548">
        <v>0.87</v>
      </c>
    </row>
    <row r="4549" spans="1:15">
      <c r="A4549" t="str">
        <f>"605266"</f>
        <v>605266</v>
      </c>
      <c r="B4549" t="s">
        <v>4594</v>
      </c>
      <c r="C4549">
        <v>-0.76</v>
      </c>
      <c r="D4549">
        <v>15.63</v>
      </c>
      <c r="E4549" t="s">
        <v>16</v>
      </c>
      <c r="F4549" t="s">
        <v>16</v>
      </c>
      <c r="H4549">
        <v>-0.05</v>
      </c>
      <c r="I4549">
        <v>-5.1</v>
      </c>
      <c r="J4549">
        <v>-1.33</v>
      </c>
      <c r="L4549">
        <v>-0.63</v>
      </c>
      <c r="M4549">
        <v>9.55</v>
      </c>
      <c r="N4549">
        <v>0.01</v>
      </c>
      <c r="O4549">
        <v>1.22</v>
      </c>
    </row>
    <row r="4550" spans="1:15">
      <c r="A4550" t="str">
        <f>"605268"</f>
        <v>605268</v>
      </c>
      <c r="B4550" t="s">
        <v>4595</v>
      </c>
      <c r="C4550">
        <v>-1.34</v>
      </c>
      <c r="D4550">
        <v>9.6</v>
      </c>
      <c r="E4550" t="s">
        <v>16</v>
      </c>
      <c r="F4550" t="s">
        <v>16</v>
      </c>
      <c r="H4550">
        <v>0</v>
      </c>
      <c r="I4550">
        <v>-6.25</v>
      </c>
      <c r="J4550">
        <v>-1.34</v>
      </c>
      <c r="L4550">
        <v>-0.51</v>
      </c>
      <c r="M4550">
        <v>3.78</v>
      </c>
      <c r="N4550">
        <v>0</v>
      </c>
      <c r="O4550">
        <v>0.7</v>
      </c>
    </row>
    <row r="4551" spans="1:15">
      <c r="A4551" t="str">
        <f>"605277"</f>
        <v>605277</v>
      </c>
      <c r="B4551" t="s">
        <v>4596</v>
      </c>
      <c r="C4551">
        <v>1.1</v>
      </c>
      <c r="D4551">
        <v>18.35</v>
      </c>
      <c r="E4551" t="s">
        <v>16</v>
      </c>
      <c r="F4551" t="s">
        <v>16</v>
      </c>
      <c r="H4551">
        <v>0.05</v>
      </c>
      <c r="I4551">
        <v>-3.93</v>
      </c>
      <c r="J4551">
        <v>-2.45</v>
      </c>
      <c r="L4551">
        <v>-1.16</v>
      </c>
      <c r="M4551">
        <v>39.83</v>
      </c>
      <c r="N4551">
        <v>0.01</v>
      </c>
      <c r="O4551">
        <v>0.44</v>
      </c>
    </row>
    <row r="4552" spans="1:15">
      <c r="A4552" t="str">
        <f>"605286"</f>
        <v>605286</v>
      </c>
      <c r="B4552" t="s">
        <v>4597</v>
      </c>
      <c r="C4552">
        <v>1.57</v>
      </c>
      <c r="D4552">
        <v>29.78</v>
      </c>
      <c r="E4552" t="s">
        <v>16</v>
      </c>
      <c r="F4552" t="s">
        <v>16</v>
      </c>
      <c r="H4552">
        <v>-0.09</v>
      </c>
      <c r="I4552">
        <v>-7</v>
      </c>
      <c r="J4552">
        <v>-1.19</v>
      </c>
      <c r="L4552">
        <v>-0.24</v>
      </c>
      <c r="M4552">
        <v>22.52</v>
      </c>
      <c r="N4552">
        <v>0.02</v>
      </c>
      <c r="O4552">
        <v>0.25</v>
      </c>
    </row>
    <row r="4553" spans="1:15">
      <c r="A4553" t="str">
        <f>"605287"</f>
        <v>605287</v>
      </c>
      <c r="B4553" t="s">
        <v>4598</v>
      </c>
      <c r="C4553">
        <v>3.56</v>
      </c>
      <c r="D4553">
        <v>43.68</v>
      </c>
      <c r="E4553" t="s">
        <v>16</v>
      </c>
      <c r="F4553" t="s">
        <v>16</v>
      </c>
      <c r="H4553">
        <v>-0.13</v>
      </c>
      <c r="I4553">
        <v>-0.61</v>
      </c>
      <c r="J4553">
        <v>-3.51</v>
      </c>
      <c r="L4553">
        <v>-1.09</v>
      </c>
      <c r="M4553">
        <v>97.21</v>
      </c>
      <c r="N4553">
        <v>0.03</v>
      </c>
      <c r="O4553">
        <v>2.16</v>
      </c>
    </row>
    <row r="4554" spans="1:15">
      <c r="A4554" t="str">
        <f>"605288"</f>
        <v>605288</v>
      </c>
      <c r="B4554" t="s">
        <v>4599</v>
      </c>
      <c r="C4554">
        <v>1.28</v>
      </c>
      <c r="D4554">
        <v>80</v>
      </c>
      <c r="E4554" t="s">
        <v>16</v>
      </c>
      <c r="F4554" t="s">
        <v>16</v>
      </c>
      <c r="H4554">
        <v>-0.06</v>
      </c>
      <c r="I4554">
        <v>13.9</v>
      </c>
      <c r="J4554">
        <v>-1.57</v>
      </c>
      <c r="K4554" t="s">
        <v>57</v>
      </c>
      <c r="L4554">
        <v>-0.86</v>
      </c>
      <c r="M4554">
        <v>128.9</v>
      </c>
      <c r="N4554">
        <v>0.06</v>
      </c>
      <c r="O4554">
        <v>1.32</v>
      </c>
    </row>
    <row r="4555" spans="1:15">
      <c r="A4555" t="str">
        <f>"605289"</f>
        <v>605289</v>
      </c>
      <c r="B4555" t="s">
        <v>4600</v>
      </c>
      <c r="C4555">
        <v>3.99</v>
      </c>
      <c r="D4555">
        <v>138.51</v>
      </c>
      <c r="E4555" t="s">
        <v>16</v>
      </c>
      <c r="F4555" t="s">
        <v>16</v>
      </c>
      <c r="H4555">
        <v>0.05</v>
      </c>
      <c r="I4555">
        <v>21.86</v>
      </c>
      <c r="J4555">
        <v>-1.63</v>
      </c>
      <c r="K4555" t="s">
        <v>220</v>
      </c>
      <c r="L4555">
        <v>0.23</v>
      </c>
      <c r="M4555">
        <v>377</v>
      </c>
      <c r="N4555">
        <v>0.04</v>
      </c>
      <c r="O4555">
        <v>0.23</v>
      </c>
    </row>
    <row r="4556" spans="1:15">
      <c r="A4556" t="str">
        <f>"605296"</f>
        <v>605296</v>
      </c>
      <c r="B4556" t="s">
        <v>4601</v>
      </c>
      <c r="C4556">
        <v>-2.8</v>
      </c>
      <c r="D4556">
        <v>25.68</v>
      </c>
      <c r="E4556" t="s">
        <v>16</v>
      </c>
      <c r="F4556" t="s">
        <v>16</v>
      </c>
      <c r="H4556">
        <v>0.08</v>
      </c>
      <c r="I4556">
        <v>0.43</v>
      </c>
      <c r="J4556">
        <v>-2.62</v>
      </c>
      <c r="L4556">
        <v>-0.19</v>
      </c>
      <c r="M4556">
        <v>5.27</v>
      </c>
      <c r="N4556">
        <v>0</v>
      </c>
      <c r="O4556">
        <v>0.13</v>
      </c>
    </row>
    <row r="4557" spans="1:15">
      <c r="A4557" t="str">
        <f>"605298"</f>
        <v>605298</v>
      </c>
      <c r="B4557" t="s">
        <v>4602</v>
      </c>
      <c r="C4557">
        <v>1.6</v>
      </c>
      <c r="D4557">
        <v>54.7</v>
      </c>
      <c r="E4557" t="s">
        <v>16</v>
      </c>
      <c r="F4557" t="s">
        <v>16</v>
      </c>
      <c r="H4557">
        <v>-0.35</v>
      </c>
      <c r="I4557">
        <v>0.72</v>
      </c>
      <c r="J4557">
        <v>-1.9</v>
      </c>
      <c r="L4557">
        <v>0</v>
      </c>
      <c r="M4557">
        <v>33.38</v>
      </c>
      <c r="N4557">
        <v>0.01</v>
      </c>
      <c r="O4557">
        <v>0.16</v>
      </c>
    </row>
    <row r="4558" spans="1:15">
      <c r="A4558" t="str">
        <f>"605299"</f>
        <v>605299</v>
      </c>
      <c r="B4558" t="s">
        <v>4603</v>
      </c>
      <c r="C4558">
        <v>-0.07</v>
      </c>
      <c r="D4558">
        <v>14.75</v>
      </c>
      <c r="E4558" t="s">
        <v>16</v>
      </c>
      <c r="F4558" t="s">
        <v>16</v>
      </c>
      <c r="H4558">
        <v>0.2</v>
      </c>
      <c r="I4558">
        <v>-10.23</v>
      </c>
      <c r="J4558">
        <v>-1.01</v>
      </c>
      <c r="L4558">
        <v>-0.68</v>
      </c>
      <c r="M4558">
        <v>63.92</v>
      </c>
      <c r="N4558">
        <v>0.04</v>
      </c>
      <c r="O4558">
        <v>1.53</v>
      </c>
    </row>
    <row r="4559" spans="1:15">
      <c r="A4559" t="str">
        <f>"605300"</f>
        <v>605300</v>
      </c>
      <c r="B4559" t="s">
        <v>4604</v>
      </c>
      <c r="C4559">
        <v>-0.92</v>
      </c>
      <c r="D4559">
        <v>8.62</v>
      </c>
      <c r="E4559" t="s">
        <v>16</v>
      </c>
      <c r="F4559" t="s">
        <v>16</v>
      </c>
      <c r="H4559">
        <v>0</v>
      </c>
      <c r="I4559">
        <v>-7.41</v>
      </c>
      <c r="J4559">
        <v>-1.37</v>
      </c>
      <c r="L4559">
        <v>-1.15</v>
      </c>
      <c r="M4559">
        <v>6.28</v>
      </c>
      <c r="N4559">
        <v>0.01</v>
      </c>
      <c r="O4559">
        <v>0.48</v>
      </c>
    </row>
    <row r="4560" spans="1:15">
      <c r="A4560" t="str">
        <f>"605303"</f>
        <v>605303</v>
      </c>
      <c r="B4560" t="s">
        <v>4605</v>
      </c>
      <c r="C4560">
        <v>0.76</v>
      </c>
      <c r="D4560">
        <v>31.73</v>
      </c>
      <c r="E4560" t="s">
        <v>16</v>
      </c>
      <c r="F4560" t="s">
        <v>16</v>
      </c>
      <c r="H4560">
        <v>0.03</v>
      </c>
      <c r="I4560">
        <v>9.34</v>
      </c>
      <c r="J4560">
        <v>-0.97</v>
      </c>
      <c r="K4560" t="s">
        <v>57</v>
      </c>
      <c r="L4560">
        <v>0.44</v>
      </c>
      <c r="M4560">
        <v>179.66</v>
      </c>
      <c r="N4560">
        <v>0.08</v>
      </c>
      <c r="O4560">
        <v>1.45</v>
      </c>
    </row>
    <row r="4561" spans="1:15">
      <c r="A4561" t="str">
        <f>"605305"</f>
        <v>605305</v>
      </c>
      <c r="B4561" t="s">
        <v>4606</v>
      </c>
      <c r="C4561">
        <v>-0.89</v>
      </c>
      <c r="D4561">
        <v>36.75</v>
      </c>
      <c r="E4561" t="s">
        <v>16</v>
      </c>
      <c r="F4561" t="s">
        <v>16</v>
      </c>
      <c r="H4561">
        <v>0.05</v>
      </c>
      <c r="I4561">
        <v>-5.87</v>
      </c>
      <c r="J4561">
        <v>-1.97</v>
      </c>
      <c r="L4561">
        <v>1.11</v>
      </c>
      <c r="M4561">
        <v>48.36</v>
      </c>
      <c r="N4561">
        <v>0.01</v>
      </c>
      <c r="O4561">
        <v>0.32</v>
      </c>
    </row>
    <row r="4562" spans="1:15">
      <c r="A4562" t="str">
        <f>"605318"</f>
        <v>605318</v>
      </c>
      <c r="B4562" t="s">
        <v>4607</v>
      </c>
      <c r="C4562">
        <v>0.76</v>
      </c>
      <c r="D4562">
        <v>132.09</v>
      </c>
      <c r="E4562" t="s">
        <v>16</v>
      </c>
      <c r="F4562" t="s">
        <v>16</v>
      </c>
      <c r="H4562">
        <v>2.23</v>
      </c>
      <c r="I4562">
        <v>44.39</v>
      </c>
      <c r="J4562">
        <v>-4.04</v>
      </c>
      <c r="L4562">
        <v>5</v>
      </c>
      <c r="M4562">
        <v>1628.4</v>
      </c>
      <c r="N4562">
        <v>0.32</v>
      </c>
      <c r="O4562">
        <v>4.55</v>
      </c>
    </row>
    <row r="4563" spans="1:15">
      <c r="A4563" t="str">
        <f>"605319"</f>
        <v>605319</v>
      </c>
      <c r="B4563" t="s">
        <v>4608</v>
      </c>
      <c r="C4563">
        <v>0.23</v>
      </c>
      <c r="D4563">
        <v>25.78</v>
      </c>
      <c r="E4563" t="s">
        <v>16</v>
      </c>
      <c r="F4563" t="s">
        <v>16</v>
      </c>
      <c r="H4563">
        <v>0.59</v>
      </c>
      <c r="I4563">
        <v>-4.7</v>
      </c>
      <c r="J4563">
        <v>-1.07</v>
      </c>
      <c r="L4563">
        <v>-1.01</v>
      </c>
      <c r="M4563">
        <v>44.81</v>
      </c>
      <c r="N4563">
        <v>0.01</v>
      </c>
      <c r="O4563">
        <v>1.56</v>
      </c>
    </row>
    <row r="4564" spans="1:15">
      <c r="A4564" t="str">
        <f>"605333"</f>
        <v>605333</v>
      </c>
      <c r="B4564" t="s">
        <v>4609</v>
      </c>
      <c r="C4564">
        <v>-0.59</v>
      </c>
      <c r="D4564">
        <v>18.68</v>
      </c>
      <c r="E4564" t="s">
        <v>16</v>
      </c>
      <c r="F4564" t="s">
        <v>16</v>
      </c>
      <c r="H4564">
        <v>0.05</v>
      </c>
      <c r="I4564">
        <v>-5.18</v>
      </c>
      <c r="J4564">
        <v>-1.27</v>
      </c>
      <c r="L4564">
        <v>-0.05</v>
      </c>
      <c r="M4564">
        <v>25.35</v>
      </c>
      <c r="N4564">
        <v>0.01</v>
      </c>
      <c r="O4564">
        <v>0.74</v>
      </c>
    </row>
    <row r="4565" spans="1:15">
      <c r="A4565" t="str">
        <f>"605336"</f>
        <v>605336</v>
      </c>
      <c r="B4565" t="s">
        <v>4610</v>
      </c>
      <c r="C4565">
        <v>-3.12</v>
      </c>
      <c r="D4565">
        <v>14.58</v>
      </c>
      <c r="E4565" t="s">
        <v>16</v>
      </c>
      <c r="F4565" t="s">
        <v>16</v>
      </c>
      <c r="H4565">
        <v>0.34</v>
      </c>
      <c r="I4565">
        <v>-10.22</v>
      </c>
      <c r="J4565">
        <v>-3.76</v>
      </c>
      <c r="L4565">
        <v>-0.47</v>
      </c>
      <c r="M4565">
        <v>4.49</v>
      </c>
      <c r="N4565">
        <v>0.01</v>
      </c>
      <c r="O4565">
        <v>0.53</v>
      </c>
    </row>
    <row r="4566" spans="1:15">
      <c r="A4566" t="str">
        <f>"605337"</f>
        <v>605337</v>
      </c>
      <c r="B4566" t="s">
        <v>4611</v>
      </c>
      <c r="C4566">
        <v>-0.56</v>
      </c>
      <c r="D4566">
        <v>8.82</v>
      </c>
      <c r="E4566" t="s">
        <v>16</v>
      </c>
      <c r="F4566" t="s">
        <v>16</v>
      </c>
      <c r="H4566">
        <v>-0.1</v>
      </c>
      <c r="I4566">
        <v>-6.37</v>
      </c>
      <c r="J4566">
        <v>-1.34</v>
      </c>
      <c r="L4566">
        <v>-0.11</v>
      </c>
      <c r="M4566">
        <v>4.7</v>
      </c>
      <c r="N4566">
        <v>0</v>
      </c>
      <c r="O4566">
        <v>0.62</v>
      </c>
    </row>
    <row r="4567" spans="1:15">
      <c r="A4567" t="str">
        <f>"605338"</f>
        <v>605338</v>
      </c>
      <c r="B4567" t="s">
        <v>4612</v>
      </c>
      <c r="C4567">
        <v>-1.99</v>
      </c>
      <c r="D4567">
        <v>18.76</v>
      </c>
      <c r="E4567" t="s">
        <v>16</v>
      </c>
      <c r="F4567" t="s">
        <v>16</v>
      </c>
      <c r="H4567">
        <v>0.05</v>
      </c>
      <c r="I4567">
        <v>-7.27</v>
      </c>
      <c r="J4567">
        <v>-2.29</v>
      </c>
      <c r="L4567">
        <v>-0.84</v>
      </c>
      <c r="M4567">
        <v>13.1</v>
      </c>
      <c r="N4567">
        <v>0.01</v>
      </c>
      <c r="O4567">
        <v>1.68</v>
      </c>
    </row>
    <row r="4568" spans="1:15">
      <c r="A4568" t="str">
        <f>"605339"</f>
        <v>605339</v>
      </c>
      <c r="B4568" t="s">
        <v>4613</v>
      </c>
      <c r="C4568">
        <v>-1.65</v>
      </c>
      <c r="D4568">
        <v>12.54</v>
      </c>
      <c r="E4568" t="s">
        <v>16</v>
      </c>
      <c r="F4568" t="s">
        <v>16</v>
      </c>
      <c r="H4568">
        <v>-0.07</v>
      </c>
      <c r="I4568">
        <v>-6.56</v>
      </c>
      <c r="J4568">
        <v>-1.72</v>
      </c>
      <c r="L4568">
        <v>0.08</v>
      </c>
      <c r="M4568">
        <v>4.47</v>
      </c>
      <c r="N4568">
        <v>0.01</v>
      </c>
      <c r="O4568">
        <v>1.84</v>
      </c>
    </row>
    <row r="4569" spans="1:15">
      <c r="A4569" t="str">
        <f>"605358"</f>
        <v>605358</v>
      </c>
      <c r="B4569" t="s">
        <v>4614</v>
      </c>
      <c r="C4569">
        <v>-1.06</v>
      </c>
      <c r="D4569">
        <v>70.2</v>
      </c>
      <c r="E4569" t="s">
        <v>16</v>
      </c>
      <c r="F4569" t="s">
        <v>16</v>
      </c>
      <c r="H4569">
        <v>0.11</v>
      </c>
      <c r="I4569">
        <v>9.86</v>
      </c>
      <c r="J4569">
        <v>-5.06</v>
      </c>
      <c r="L4569">
        <v>-1.78</v>
      </c>
      <c r="M4569">
        <v>3491.61</v>
      </c>
      <c r="N4569">
        <v>0.09</v>
      </c>
      <c r="O4569">
        <v>0.45</v>
      </c>
    </row>
    <row r="4570" spans="1:15">
      <c r="A4570" t="str">
        <f>"605365"</f>
        <v>605365</v>
      </c>
      <c r="B4570" t="s">
        <v>4615</v>
      </c>
      <c r="C4570">
        <v>-1.71</v>
      </c>
      <c r="D4570">
        <v>14.98</v>
      </c>
      <c r="E4570" t="s">
        <v>16</v>
      </c>
      <c r="F4570" t="s">
        <v>16</v>
      </c>
      <c r="H4570">
        <v>-0.19</v>
      </c>
      <c r="I4570">
        <v>-11.73</v>
      </c>
      <c r="J4570">
        <v>-2.09</v>
      </c>
      <c r="L4570">
        <v>0.07</v>
      </c>
      <c r="M4570">
        <v>24.4</v>
      </c>
      <c r="N4570">
        <v>0.02</v>
      </c>
      <c r="O4570">
        <v>0.52</v>
      </c>
    </row>
    <row r="4571" spans="1:15">
      <c r="A4571" t="str">
        <f>"605366"</f>
        <v>605366</v>
      </c>
      <c r="B4571" t="s">
        <v>4616</v>
      </c>
      <c r="C4571">
        <v>-0.56</v>
      </c>
      <c r="D4571">
        <v>10.71</v>
      </c>
      <c r="E4571" t="s">
        <v>16</v>
      </c>
      <c r="F4571" t="s">
        <v>16</v>
      </c>
      <c r="H4571">
        <v>-0.18</v>
      </c>
      <c r="I4571">
        <v>-4.38</v>
      </c>
      <c r="J4571">
        <v>-0.37</v>
      </c>
      <c r="L4571">
        <v>-1.11</v>
      </c>
      <c r="M4571">
        <v>106.39</v>
      </c>
      <c r="N4571">
        <v>0.02</v>
      </c>
      <c r="O4571">
        <v>1.32</v>
      </c>
    </row>
    <row r="4572" spans="1:15">
      <c r="A4572" t="str">
        <f>"605368"</f>
        <v>605368</v>
      </c>
      <c r="B4572" t="s">
        <v>4617</v>
      </c>
      <c r="C4572">
        <v>-4.02</v>
      </c>
      <c r="D4572">
        <v>6.69</v>
      </c>
      <c r="E4572" t="s">
        <v>16</v>
      </c>
      <c r="F4572" t="s">
        <v>16</v>
      </c>
      <c r="H4572">
        <v>-0.14</v>
      </c>
      <c r="I4572">
        <v>-5.24</v>
      </c>
      <c r="J4572">
        <v>-4.02</v>
      </c>
      <c r="L4572">
        <v>0</v>
      </c>
      <c r="M4572">
        <v>2.51</v>
      </c>
      <c r="N4572">
        <v>0</v>
      </c>
      <c r="O4572">
        <v>0.31</v>
      </c>
    </row>
    <row r="4573" spans="1:15">
      <c r="A4573" t="str">
        <f>"605369"</f>
        <v>605369</v>
      </c>
      <c r="B4573" t="s">
        <v>4618</v>
      </c>
      <c r="C4573">
        <v>0.97</v>
      </c>
      <c r="D4573">
        <v>15.68</v>
      </c>
      <c r="E4573" t="s">
        <v>16</v>
      </c>
      <c r="F4573" t="s">
        <v>16</v>
      </c>
      <c r="H4573">
        <v>-0.05</v>
      </c>
      <c r="I4573">
        <v>-6.94</v>
      </c>
      <c r="J4573">
        <v>-1.01</v>
      </c>
      <c r="L4573">
        <v>-0.32</v>
      </c>
      <c r="M4573">
        <v>10.68</v>
      </c>
      <c r="N4573">
        <v>0.01</v>
      </c>
      <c r="O4573">
        <v>2.56</v>
      </c>
    </row>
    <row r="4574" spans="1:15">
      <c r="A4574" t="str">
        <f>"605376"</f>
        <v>605376</v>
      </c>
      <c r="B4574" t="s">
        <v>4619</v>
      </c>
      <c r="C4574">
        <v>10</v>
      </c>
      <c r="D4574">
        <v>231.31</v>
      </c>
      <c r="E4574">
        <v>5299.31</v>
      </c>
      <c r="F4574">
        <v>1</v>
      </c>
      <c r="H4574">
        <v>0</v>
      </c>
      <c r="I4574">
        <v>23.04</v>
      </c>
      <c r="J4574">
        <v>0</v>
      </c>
      <c r="K4574" t="s">
        <v>38</v>
      </c>
      <c r="L4574">
        <v>-0.04</v>
      </c>
      <c r="M4574">
        <v>2169.16</v>
      </c>
      <c r="N4574">
        <v>0.06</v>
      </c>
      <c r="O4574">
        <v>0.82</v>
      </c>
    </row>
    <row r="4575" spans="1:15">
      <c r="A4575" t="str">
        <f>"605377"</f>
        <v>605377</v>
      </c>
      <c r="B4575" t="s">
        <v>4620</v>
      </c>
      <c r="C4575">
        <v>-3.29</v>
      </c>
      <c r="D4575">
        <v>7.64</v>
      </c>
      <c r="E4575" t="s">
        <v>16</v>
      </c>
      <c r="F4575" t="s">
        <v>16</v>
      </c>
      <c r="H4575">
        <v>0.13</v>
      </c>
      <c r="I4575">
        <v>-9.91</v>
      </c>
      <c r="J4575">
        <v>-3.54</v>
      </c>
      <c r="L4575">
        <v>0</v>
      </c>
      <c r="M4575">
        <v>0.79</v>
      </c>
      <c r="N4575">
        <v>0</v>
      </c>
      <c r="O4575">
        <v>0.42</v>
      </c>
    </row>
    <row r="4576" spans="1:15">
      <c r="A4576" t="str">
        <f>"605378"</f>
        <v>605378</v>
      </c>
      <c r="B4576" t="s">
        <v>4621</v>
      </c>
      <c r="C4576">
        <v>4.04</v>
      </c>
      <c r="D4576">
        <v>17.25</v>
      </c>
      <c r="E4576" t="s">
        <v>16</v>
      </c>
      <c r="F4576" t="s">
        <v>16</v>
      </c>
      <c r="H4576">
        <v>0.29</v>
      </c>
      <c r="I4576">
        <v>7.95</v>
      </c>
      <c r="J4576">
        <v>-1.88</v>
      </c>
      <c r="L4576">
        <v>-2.11</v>
      </c>
      <c r="M4576">
        <v>147.53</v>
      </c>
      <c r="N4576">
        <v>0.13</v>
      </c>
      <c r="O4576">
        <v>21.64</v>
      </c>
    </row>
    <row r="4577" spans="1:15">
      <c r="A4577" t="str">
        <f>"605388"</f>
        <v>605388</v>
      </c>
      <c r="B4577" t="s">
        <v>4622</v>
      </c>
      <c r="C4577">
        <v>-0.19</v>
      </c>
      <c r="D4577">
        <v>5.16</v>
      </c>
      <c r="E4577" t="s">
        <v>16</v>
      </c>
      <c r="F4577" t="s">
        <v>16</v>
      </c>
      <c r="H4577">
        <v>-0.18</v>
      </c>
      <c r="I4577">
        <v>-8.99</v>
      </c>
      <c r="J4577">
        <v>-1.34</v>
      </c>
      <c r="L4577">
        <v>0.97</v>
      </c>
      <c r="M4577">
        <v>30.43</v>
      </c>
      <c r="N4577">
        <v>0.03</v>
      </c>
      <c r="O4577">
        <v>1.26</v>
      </c>
    </row>
    <row r="4578" spans="1:15">
      <c r="A4578" t="str">
        <f>"605389"</f>
        <v>605389</v>
      </c>
      <c r="B4578" t="s">
        <v>4623</v>
      </c>
      <c r="C4578">
        <v>3.9</v>
      </c>
      <c r="D4578">
        <v>91.42</v>
      </c>
      <c r="E4578" t="s">
        <v>16</v>
      </c>
      <c r="F4578" t="s">
        <v>16</v>
      </c>
      <c r="H4578">
        <v>0.29</v>
      </c>
      <c r="I4578">
        <v>10.28</v>
      </c>
      <c r="J4578">
        <v>-0.09</v>
      </c>
      <c r="L4578">
        <v>0.23</v>
      </c>
      <c r="M4578">
        <v>6.17</v>
      </c>
      <c r="N4578">
        <v>0</v>
      </c>
      <c r="O4578">
        <v>0.16</v>
      </c>
    </row>
    <row r="4579" spans="1:15">
      <c r="A4579" t="str">
        <f>"605398"</f>
        <v>605398</v>
      </c>
      <c r="B4579" t="s">
        <v>4624</v>
      </c>
      <c r="C4579">
        <v>-1.83</v>
      </c>
      <c r="D4579">
        <v>21.99</v>
      </c>
      <c r="E4579" t="s">
        <v>16</v>
      </c>
      <c r="F4579" t="s">
        <v>16</v>
      </c>
      <c r="H4579">
        <v>0.18</v>
      </c>
      <c r="I4579">
        <v>-13.39</v>
      </c>
      <c r="J4579">
        <v>-1.52</v>
      </c>
      <c r="L4579">
        <v>-0.98</v>
      </c>
      <c r="M4579">
        <v>55.45</v>
      </c>
      <c r="N4579">
        <v>0.05</v>
      </c>
      <c r="O4579">
        <v>0.28</v>
      </c>
    </row>
    <row r="4580" spans="1:15">
      <c r="A4580" t="str">
        <f>"605399"</f>
        <v>605399</v>
      </c>
      <c r="B4580" t="s">
        <v>4625</v>
      </c>
      <c r="C4580">
        <v>-4.09</v>
      </c>
      <c r="D4580">
        <v>13.14</v>
      </c>
      <c r="E4580" t="s">
        <v>16</v>
      </c>
      <c r="F4580" t="s">
        <v>16</v>
      </c>
      <c r="H4580">
        <v>-0.07</v>
      </c>
      <c r="I4580">
        <v>1.78</v>
      </c>
      <c r="J4580">
        <v>-4.99</v>
      </c>
      <c r="L4580">
        <v>0</v>
      </c>
      <c r="M4580">
        <v>34.52</v>
      </c>
      <c r="N4580">
        <v>0.02</v>
      </c>
      <c r="O4580">
        <v>0.58</v>
      </c>
    </row>
    <row r="4581" spans="1:15">
      <c r="A4581" t="str">
        <f>"605488"</f>
        <v>605488</v>
      </c>
      <c r="B4581" t="s">
        <v>4626</v>
      </c>
      <c r="C4581">
        <v>0.57</v>
      </c>
      <c r="D4581">
        <v>33.78</v>
      </c>
      <c r="E4581" t="s">
        <v>16</v>
      </c>
      <c r="F4581" t="s">
        <v>16</v>
      </c>
      <c r="H4581">
        <v>0.03</v>
      </c>
      <c r="I4581">
        <v>-1.69</v>
      </c>
      <c r="J4581">
        <v>-0.65</v>
      </c>
      <c r="L4581">
        <v>-0.18</v>
      </c>
      <c r="M4581">
        <v>20.79</v>
      </c>
      <c r="N4581">
        <v>0.01</v>
      </c>
      <c r="O4581">
        <v>0.98</v>
      </c>
    </row>
    <row r="4582" spans="1:15">
      <c r="A4582" t="str">
        <f>"605499"</f>
        <v>605499</v>
      </c>
      <c r="B4582" t="s">
        <v>4627</v>
      </c>
      <c r="C4582">
        <v>-3.82</v>
      </c>
      <c r="D4582">
        <v>120.6</v>
      </c>
      <c r="E4582" t="s">
        <v>16</v>
      </c>
      <c r="F4582" t="s">
        <v>16</v>
      </c>
      <c r="H4582">
        <v>-0.32</v>
      </c>
      <c r="I4582">
        <v>-13.5</v>
      </c>
      <c r="J4582">
        <v>-3.94</v>
      </c>
      <c r="L4582">
        <v>0.13</v>
      </c>
      <c r="M4582">
        <v>335.22</v>
      </c>
      <c r="N4582">
        <v>0.01</v>
      </c>
      <c r="O4582">
        <v>1.51</v>
      </c>
    </row>
    <row r="4583" spans="1:15">
      <c r="A4583" t="str">
        <f>"605500"</f>
        <v>605500</v>
      </c>
      <c r="B4583" t="s">
        <v>4628</v>
      </c>
      <c r="C4583">
        <v>-0.75</v>
      </c>
      <c r="D4583">
        <v>6.6</v>
      </c>
      <c r="E4583" t="s">
        <v>16</v>
      </c>
      <c r="F4583" t="s">
        <v>16</v>
      </c>
      <c r="H4583">
        <v>-0.44</v>
      </c>
      <c r="I4583">
        <v>-7.82</v>
      </c>
      <c r="J4583">
        <v>-1.49</v>
      </c>
      <c r="L4583">
        <v>0.45</v>
      </c>
      <c r="M4583">
        <v>28.92</v>
      </c>
      <c r="N4583">
        <v>0.04</v>
      </c>
      <c r="O4583">
        <v>0.9</v>
      </c>
    </row>
    <row r="4584" spans="1:15">
      <c r="A4584" t="str">
        <f>"605507"</f>
        <v>605507</v>
      </c>
      <c r="B4584" t="s">
        <v>4629</v>
      </c>
      <c r="C4584">
        <v>-0.59</v>
      </c>
      <c r="D4584">
        <v>15.22</v>
      </c>
      <c r="E4584" t="s">
        <v>16</v>
      </c>
      <c r="F4584" t="s">
        <v>16</v>
      </c>
      <c r="H4584">
        <v>-0.32</v>
      </c>
      <c r="I4584">
        <v>-3.97</v>
      </c>
      <c r="J4584">
        <v>-0.85</v>
      </c>
      <c r="L4584">
        <v>0</v>
      </c>
      <c r="M4584">
        <v>5.66</v>
      </c>
      <c r="N4584">
        <v>0</v>
      </c>
      <c r="O4584">
        <v>1</v>
      </c>
    </row>
    <row r="4585" spans="1:15">
      <c r="A4585" t="str">
        <f>"605555"</f>
        <v>605555</v>
      </c>
      <c r="B4585" t="s">
        <v>4630</v>
      </c>
      <c r="C4585">
        <v>-1.54</v>
      </c>
      <c r="D4585">
        <v>14.72</v>
      </c>
      <c r="E4585" t="s">
        <v>16</v>
      </c>
      <c r="F4585" t="s">
        <v>16</v>
      </c>
      <c r="H4585">
        <v>0.07</v>
      </c>
      <c r="I4585">
        <v>-9.64</v>
      </c>
      <c r="J4585">
        <v>-2.32</v>
      </c>
      <c r="L4585">
        <v>-0.33</v>
      </c>
      <c r="M4585">
        <v>29.8</v>
      </c>
      <c r="N4585">
        <v>0.01</v>
      </c>
      <c r="O4585">
        <v>0.7</v>
      </c>
    </row>
    <row r="4586" spans="1:15">
      <c r="A4586" t="str">
        <f>"605566"</f>
        <v>605566</v>
      </c>
      <c r="B4586" t="s">
        <v>4631</v>
      </c>
      <c r="C4586">
        <v>-2.35</v>
      </c>
      <c r="D4586">
        <v>50.23</v>
      </c>
      <c r="E4586" t="s">
        <v>16</v>
      </c>
      <c r="F4586" t="s">
        <v>16</v>
      </c>
      <c r="H4586">
        <v>-0.37</v>
      </c>
      <c r="I4586">
        <v>25.39</v>
      </c>
      <c r="J4586">
        <v>-2.26</v>
      </c>
      <c r="L4586">
        <v>-1.98</v>
      </c>
      <c r="M4586">
        <v>280.84</v>
      </c>
      <c r="N4586">
        <v>0.1</v>
      </c>
      <c r="O4586">
        <v>0.88</v>
      </c>
    </row>
    <row r="4587" spans="1:15">
      <c r="A4587" t="str">
        <f>"605567"</f>
        <v>605567</v>
      </c>
      <c r="B4587" t="s">
        <v>4632</v>
      </c>
      <c r="C4587">
        <v>0.12</v>
      </c>
      <c r="D4587">
        <v>8.5</v>
      </c>
      <c r="E4587" t="s">
        <v>16</v>
      </c>
      <c r="F4587" t="s">
        <v>16</v>
      </c>
      <c r="H4587">
        <v>-0.34</v>
      </c>
      <c r="I4587">
        <v>-5.13</v>
      </c>
      <c r="J4587">
        <v>-1.05</v>
      </c>
      <c r="L4587">
        <v>-0.35</v>
      </c>
      <c r="M4587">
        <v>22.08</v>
      </c>
      <c r="N4587">
        <v>0.02</v>
      </c>
      <c r="O4587">
        <v>1.61</v>
      </c>
    </row>
    <row r="4588" spans="1:15">
      <c r="A4588" t="str">
        <f>"605577"</f>
        <v>605577</v>
      </c>
      <c r="B4588" t="s">
        <v>4633</v>
      </c>
      <c r="C4588">
        <v>0.21</v>
      </c>
      <c r="D4588">
        <v>9.5</v>
      </c>
      <c r="E4588" t="s">
        <v>16</v>
      </c>
      <c r="F4588" t="s">
        <v>16</v>
      </c>
      <c r="H4588">
        <v>-0.1</v>
      </c>
      <c r="I4588">
        <v>-5.38</v>
      </c>
      <c r="J4588">
        <v>-1.14</v>
      </c>
      <c r="L4588">
        <v>-0.53</v>
      </c>
      <c r="M4588">
        <v>1.79</v>
      </c>
      <c r="N4588">
        <v>0</v>
      </c>
      <c r="O4588">
        <v>0.7</v>
      </c>
    </row>
    <row r="4589" spans="1:15">
      <c r="A4589" t="str">
        <f>"605580"</f>
        <v>605580</v>
      </c>
      <c r="B4589" t="s">
        <v>4634</v>
      </c>
      <c r="C4589">
        <v>-0.83</v>
      </c>
      <c r="D4589">
        <v>24.03</v>
      </c>
      <c r="E4589" t="s">
        <v>16</v>
      </c>
      <c r="F4589" t="s">
        <v>16</v>
      </c>
      <c r="H4589">
        <v>0.17</v>
      </c>
      <c r="I4589">
        <v>-15.71</v>
      </c>
      <c r="J4589">
        <v>-6.06</v>
      </c>
      <c r="L4589">
        <v>-0.54</v>
      </c>
      <c r="M4589">
        <v>53.02</v>
      </c>
      <c r="N4589">
        <v>0.03</v>
      </c>
      <c r="O4589">
        <v>0.34</v>
      </c>
    </row>
    <row r="4590" spans="1:15">
      <c r="A4590" t="str">
        <f>"605588"</f>
        <v>605588</v>
      </c>
      <c r="B4590" t="s">
        <v>4635</v>
      </c>
      <c r="C4590">
        <v>0</v>
      </c>
      <c r="D4590">
        <v>63.05</v>
      </c>
      <c r="E4590" t="s">
        <v>16</v>
      </c>
      <c r="F4590" t="s">
        <v>16</v>
      </c>
      <c r="H4590">
        <v>0.05</v>
      </c>
      <c r="I4590">
        <v>18.96</v>
      </c>
      <c r="J4590">
        <v>-2.69</v>
      </c>
      <c r="K4590" t="s">
        <v>26</v>
      </c>
      <c r="L4590">
        <v>-1</v>
      </c>
      <c r="M4590">
        <v>164.16</v>
      </c>
      <c r="N4590">
        <v>0.11</v>
      </c>
      <c r="O4590">
        <v>0.79</v>
      </c>
    </row>
    <row r="4591" spans="1:15">
      <c r="A4591" t="str">
        <f>"605589"</f>
        <v>605589</v>
      </c>
      <c r="B4591" t="s">
        <v>4636</v>
      </c>
      <c r="C4591">
        <v>5.15</v>
      </c>
      <c r="D4591">
        <v>69.82</v>
      </c>
      <c r="E4591" t="s">
        <v>16</v>
      </c>
      <c r="F4591" t="s">
        <v>16</v>
      </c>
      <c r="H4591">
        <v>-0.09</v>
      </c>
      <c r="I4591">
        <v>29.9</v>
      </c>
      <c r="J4591">
        <v>-2.76</v>
      </c>
      <c r="K4591" t="s">
        <v>38</v>
      </c>
      <c r="L4591">
        <v>-2.62</v>
      </c>
      <c r="M4591">
        <v>5886.64</v>
      </c>
      <c r="N4591">
        <v>0.14</v>
      </c>
      <c r="O4591">
        <v>0.85</v>
      </c>
    </row>
    <row r="4592" spans="1:15">
      <c r="A4592" t="str">
        <f>"605598"</f>
        <v>605598</v>
      </c>
      <c r="B4592" t="s">
        <v>4637</v>
      </c>
      <c r="C4592">
        <v>3.54</v>
      </c>
      <c r="D4592">
        <v>37.4</v>
      </c>
      <c r="E4592" t="s">
        <v>16</v>
      </c>
      <c r="F4592" t="s">
        <v>16</v>
      </c>
      <c r="H4592">
        <v>0.13</v>
      </c>
      <c r="I4592">
        <v>-11.44</v>
      </c>
      <c r="J4592">
        <v>-5.77</v>
      </c>
      <c r="L4592">
        <v>-0.75</v>
      </c>
      <c r="M4592">
        <v>32.27</v>
      </c>
      <c r="N4592">
        <v>0.01</v>
      </c>
      <c r="O4592">
        <v>1.1</v>
      </c>
    </row>
    <row r="4593" spans="1:15">
      <c r="A4593" t="str">
        <f>"605599"</f>
        <v>605599</v>
      </c>
      <c r="B4593" t="s">
        <v>4638</v>
      </c>
      <c r="C4593">
        <v>-1.29</v>
      </c>
      <c r="D4593">
        <v>14.57</v>
      </c>
      <c r="E4593" t="s">
        <v>16</v>
      </c>
      <c r="F4593" t="s">
        <v>16</v>
      </c>
      <c r="H4593">
        <v>-0.13</v>
      </c>
      <c r="I4593">
        <v>-1.49</v>
      </c>
      <c r="J4593">
        <v>-2.41</v>
      </c>
      <c r="L4593">
        <v>-0.61</v>
      </c>
      <c r="M4593">
        <v>36.23</v>
      </c>
      <c r="N4593">
        <v>0.01</v>
      </c>
      <c r="O4593">
        <v>0.87</v>
      </c>
    </row>
    <row r="4594" spans="1:15">
      <c r="A4594" t="str">
        <f>"688001"</f>
        <v>688001</v>
      </c>
      <c r="B4594" t="s">
        <v>4639</v>
      </c>
      <c r="C4594">
        <v>10.04</v>
      </c>
      <c r="D4594">
        <v>81.09</v>
      </c>
      <c r="E4594" t="s">
        <v>16</v>
      </c>
      <c r="F4594" t="s">
        <v>16</v>
      </c>
      <c r="H4594">
        <v>-0.29</v>
      </c>
      <c r="I4594">
        <v>7.85</v>
      </c>
      <c r="J4594">
        <v>-1.25</v>
      </c>
      <c r="L4594">
        <v>-1.61</v>
      </c>
      <c r="M4594">
        <v>298.85</v>
      </c>
      <c r="N4594">
        <v>0.04</v>
      </c>
      <c r="O4594">
        <v>0.41</v>
      </c>
    </row>
    <row r="4595" spans="1:15">
      <c r="A4595" t="str">
        <f>"688002"</f>
        <v>688002</v>
      </c>
      <c r="B4595" t="s">
        <v>4640</v>
      </c>
      <c r="C4595">
        <v>1.34</v>
      </c>
      <c r="D4595">
        <v>147.76</v>
      </c>
      <c r="E4595" t="s">
        <v>16</v>
      </c>
      <c r="F4595" t="s">
        <v>16</v>
      </c>
      <c r="H4595">
        <v>-0.15</v>
      </c>
      <c r="I4595">
        <v>21.13</v>
      </c>
      <c r="J4595">
        <v>-0.83</v>
      </c>
      <c r="L4595">
        <v>0.04</v>
      </c>
      <c r="M4595">
        <v>580.84</v>
      </c>
      <c r="N4595">
        <v>0.01</v>
      </c>
      <c r="O4595">
        <v>1.45</v>
      </c>
    </row>
    <row r="4596" spans="1:15">
      <c r="A4596" t="str">
        <f>"688003"</f>
        <v>688003</v>
      </c>
      <c r="B4596" t="s">
        <v>4641</v>
      </c>
      <c r="C4596">
        <v>7.07</v>
      </c>
      <c r="D4596">
        <v>124.42</v>
      </c>
      <c r="E4596" t="s">
        <v>16</v>
      </c>
      <c r="F4596" t="s">
        <v>16</v>
      </c>
      <c r="H4596">
        <v>0.19</v>
      </c>
      <c r="I4596">
        <v>15.85</v>
      </c>
      <c r="J4596">
        <v>-3.46</v>
      </c>
      <c r="L4596">
        <v>1.2</v>
      </c>
      <c r="M4596">
        <v>2215.8</v>
      </c>
      <c r="N4596">
        <v>0.23</v>
      </c>
      <c r="O4596">
        <v>5.26</v>
      </c>
    </row>
    <row r="4597" spans="1:15">
      <c r="A4597" t="str">
        <f>"688004"</f>
        <v>688004</v>
      </c>
      <c r="B4597" t="s">
        <v>4642</v>
      </c>
      <c r="C4597">
        <v>1.32</v>
      </c>
      <c r="D4597">
        <v>20</v>
      </c>
      <c r="E4597" t="s">
        <v>16</v>
      </c>
      <c r="F4597" t="s">
        <v>16</v>
      </c>
      <c r="H4597">
        <v>0.1</v>
      </c>
      <c r="I4597">
        <v>-1.28</v>
      </c>
      <c r="J4597">
        <v>-0.65</v>
      </c>
      <c r="L4597">
        <v>-0.96</v>
      </c>
      <c r="M4597">
        <v>10.1</v>
      </c>
      <c r="N4597">
        <v>0.01</v>
      </c>
      <c r="O4597">
        <v>1.26</v>
      </c>
    </row>
    <row r="4598" spans="1:15">
      <c r="A4598" t="str">
        <f>"688005"</f>
        <v>688005</v>
      </c>
      <c r="B4598" t="s">
        <v>4643</v>
      </c>
      <c r="C4598">
        <v>-2.99</v>
      </c>
      <c r="D4598">
        <v>32.78</v>
      </c>
      <c r="E4598" t="s">
        <v>16</v>
      </c>
      <c r="F4598" t="s">
        <v>16</v>
      </c>
      <c r="H4598">
        <v>-0.14</v>
      </c>
      <c r="I4598">
        <v>1.3</v>
      </c>
      <c r="J4598">
        <v>-3.28</v>
      </c>
      <c r="L4598">
        <v>-0.24</v>
      </c>
      <c r="M4598">
        <v>461.11</v>
      </c>
      <c r="N4598">
        <v>0.03</v>
      </c>
      <c r="O4598">
        <v>1.47</v>
      </c>
    </row>
    <row r="4599" spans="1:15">
      <c r="A4599" t="str">
        <f>"688006"</f>
        <v>688006</v>
      </c>
      <c r="B4599" t="s">
        <v>4644</v>
      </c>
      <c r="C4599">
        <v>-1.77</v>
      </c>
      <c r="D4599">
        <v>37.11</v>
      </c>
      <c r="E4599" t="s">
        <v>16</v>
      </c>
      <c r="F4599" t="s">
        <v>16</v>
      </c>
      <c r="H4599">
        <v>0.03</v>
      </c>
      <c r="I4599">
        <v>9.57</v>
      </c>
      <c r="J4599">
        <v>-2.65</v>
      </c>
      <c r="L4599">
        <v>-0.05</v>
      </c>
      <c r="M4599">
        <v>141.58</v>
      </c>
      <c r="N4599">
        <v>0.02</v>
      </c>
      <c r="O4599">
        <v>0.41</v>
      </c>
    </row>
    <row r="4600" spans="1:15">
      <c r="A4600" t="str">
        <f>"688007"</f>
        <v>688007</v>
      </c>
      <c r="B4600" t="s">
        <v>4645</v>
      </c>
      <c r="C4600">
        <v>1.93</v>
      </c>
      <c r="D4600">
        <v>13.21</v>
      </c>
      <c r="E4600" t="s">
        <v>16</v>
      </c>
      <c r="F4600" t="s">
        <v>16</v>
      </c>
      <c r="H4600">
        <v>0.15</v>
      </c>
      <c r="I4600">
        <v>-3.29</v>
      </c>
      <c r="J4600">
        <v>-1.27</v>
      </c>
      <c r="L4600">
        <v>-0.39</v>
      </c>
      <c r="M4600">
        <v>29.66</v>
      </c>
      <c r="N4600">
        <v>0.01</v>
      </c>
      <c r="O4600">
        <v>0.8</v>
      </c>
    </row>
    <row r="4601" spans="1:15">
      <c r="A4601" t="str">
        <f>"688008"</f>
        <v>688008</v>
      </c>
      <c r="B4601" t="s">
        <v>4646</v>
      </c>
      <c r="C4601">
        <v>2.82</v>
      </c>
      <c r="D4601">
        <v>269.9</v>
      </c>
      <c r="E4601" t="s">
        <v>16</v>
      </c>
      <c r="F4601" t="s">
        <v>16</v>
      </c>
      <c r="H4601">
        <v>-0.02</v>
      </c>
      <c r="I4601">
        <v>3.94</v>
      </c>
      <c r="J4601">
        <v>-1.95</v>
      </c>
      <c r="L4601">
        <v>-0.95</v>
      </c>
      <c r="M4601">
        <v>14977.27</v>
      </c>
      <c r="N4601">
        <v>0.05</v>
      </c>
      <c r="O4601">
        <v>1.19</v>
      </c>
    </row>
    <row r="4602" spans="1:15">
      <c r="A4602" t="str">
        <f>"688009"</f>
        <v>688009</v>
      </c>
      <c r="B4602" t="s">
        <v>4647</v>
      </c>
      <c r="C4602">
        <v>-1</v>
      </c>
      <c r="D4602">
        <v>4.93</v>
      </c>
      <c r="E4602" t="s">
        <v>16</v>
      </c>
      <c r="F4602" t="s">
        <v>16</v>
      </c>
      <c r="H4602">
        <v>-0.59</v>
      </c>
      <c r="I4602">
        <v>-0.2</v>
      </c>
      <c r="J4602">
        <v>-0.8</v>
      </c>
      <c r="L4602">
        <v>-0.4</v>
      </c>
      <c r="M4602">
        <v>22.99</v>
      </c>
      <c r="N4602">
        <v>0</v>
      </c>
      <c r="O4602">
        <v>0.27</v>
      </c>
    </row>
    <row r="4603" spans="1:15">
      <c r="A4603" t="str">
        <f>"688010"</f>
        <v>688010</v>
      </c>
      <c r="B4603" t="s">
        <v>4648</v>
      </c>
      <c r="C4603">
        <v>5.41</v>
      </c>
      <c r="D4603">
        <v>50.47</v>
      </c>
      <c r="E4603" t="s">
        <v>16</v>
      </c>
      <c r="F4603" t="s">
        <v>16</v>
      </c>
      <c r="H4603">
        <v>-1.93</v>
      </c>
      <c r="I4603">
        <v>38.73</v>
      </c>
      <c r="J4603">
        <v>-3.87</v>
      </c>
      <c r="L4603">
        <v>-0.54</v>
      </c>
      <c r="M4603">
        <v>696.46</v>
      </c>
      <c r="N4603">
        <v>0.19</v>
      </c>
      <c r="O4603">
        <v>1.86</v>
      </c>
    </row>
    <row r="4604" spans="1:15">
      <c r="A4604" t="str">
        <f>"688011"</f>
        <v>688011</v>
      </c>
      <c r="B4604" t="s">
        <v>4649</v>
      </c>
      <c r="C4604">
        <v>-0.17</v>
      </c>
      <c r="D4604">
        <v>60.35</v>
      </c>
      <c r="E4604" t="s">
        <v>16</v>
      </c>
      <c r="F4604" t="s">
        <v>16</v>
      </c>
      <c r="H4604">
        <v>0.48</v>
      </c>
      <c r="I4604">
        <v>4.79</v>
      </c>
      <c r="J4604">
        <v>-2.16</v>
      </c>
      <c r="L4604">
        <v>-0.5</v>
      </c>
      <c r="M4604">
        <v>1.2</v>
      </c>
      <c r="N4604">
        <v>0</v>
      </c>
      <c r="O4604">
        <v>0.08</v>
      </c>
    </row>
    <row r="4605" spans="1:15">
      <c r="A4605" t="str">
        <f>"688012"</f>
        <v>688012</v>
      </c>
      <c r="B4605" t="s">
        <v>4650</v>
      </c>
      <c r="C4605">
        <v>2.56</v>
      </c>
      <c r="D4605">
        <v>360</v>
      </c>
      <c r="E4605" t="s">
        <v>16</v>
      </c>
      <c r="F4605" t="s">
        <v>16</v>
      </c>
      <c r="H4605">
        <v>-0.54</v>
      </c>
      <c r="I4605">
        <v>24.4</v>
      </c>
      <c r="J4605">
        <v>-2.17</v>
      </c>
      <c r="L4605">
        <v>-0.28</v>
      </c>
      <c r="M4605">
        <v>4277.74</v>
      </c>
      <c r="N4605">
        <v>0.02</v>
      </c>
      <c r="O4605">
        <v>1.58</v>
      </c>
    </row>
    <row r="4606" spans="1:15">
      <c r="A4606" t="str">
        <f>"688013"</f>
        <v>688013</v>
      </c>
      <c r="B4606" t="s">
        <v>4651</v>
      </c>
      <c r="C4606">
        <v>2.82</v>
      </c>
      <c r="D4606">
        <v>27.7</v>
      </c>
      <c r="E4606" t="s">
        <v>16</v>
      </c>
      <c r="F4606" t="s">
        <v>16</v>
      </c>
      <c r="H4606">
        <v>0.44</v>
      </c>
      <c r="I4606">
        <v>-1.14</v>
      </c>
      <c r="J4606">
        <v>-0.57</v>
      </c>
      <c r="L4606">
        <v>0.85</v>
      </c>
      <c r="M4606">
        <v>12.5</v>
      </c>
      <c r="N4606">
        <v>0.01</v>
      </c>
      <c r="O4606">
        <v>0.79</v>
      </c>
    </row>
    <row r="4607" spans="1:15">
      <c r="A4607" t="str">
        <f>"688015"</f>
        <v>688015</v>
      </c>
      <c r="B4607" t="s">
        <v>4652</v>
      </c>
      <c r="C4607">
        <v>0.24</v>
      </c>
      <c r="D4607">
        <v>16.68</v>
      </c>
      <c r="E4607" t="s">
        <v>16</v>
      </c>
      <c r="F4607" t="s">
        <v>16</v>
      </c>
      <c r="H4607">
        <v>-0.17</v>
      </c>
      <c r="I4607">
        <v>-3.25</v>
      </c>
      <c r="J4607">
        <v>-0.54</v>
      </c>
      <c r="L4607">
        <v>-0.48</v>
      </c>
      <c r="M4607">
        <v>13.91</v>
      </c>
      <c r="N4607">
        <v>0.01</v>
      </c>
      <c r="O4607">
        <v>7.64</v>
      </c>
    </row>
    <row r="4608" spans="1:15">
      <c r="A4608" t="str">
        <f>"688016"</f>
        <v>688016</v>
      </c>
      <c r="B4608" t="s">
        <v>4653</v>
      </c>
      <c r="C4608">
        <v>-0.21</v>
      </c>
      <c r="D4608">
        <v>89.18</v>
      </c>
      <c r="E4608" t="s">
        <v>16</v>
      </c>
      <c r="F4608" t="s">
        <v>16</v>
      </c>
      <c r="H4608">
        <v>-0.19</v>
      </c>
      <c r="I4608">
        <v>-9.27</v>
      </c>
      <c r="J4608">
        <v>-2.19</v>
      </c>
      <c r="L4608">
        <v>0.93</v>
      </c>
      <c r="M4608">
        <v>57.76</v>
      </c>
      <c r="N4608">
        <v>0.01</v>
      </c>
      <c r="O4608">
        <v>1.09</v>
      </c>
    </row>
    <row r="4609" spans="1:15">
      <c r="A4609" t="str">
        <f>"688017"</f>
        <v>688017</v>
      </c>
      <c r="B4609" t="s">
        <v>4654</v>
      </c>
      <c r="C4609">
        <v>6.92</v>
      </c>
      <c r="D4609">
        <v>408.01</v>
      </c>
      <c r="E4609" t="s">
        <v>16</v>
      </c>
      <c r="F4609" t="s">
        <v>16</v>
      </c>
      <c r="H4609">
        <v>-0.03</v>
      </c>
      <c r="I4609">
        <v>24.58</v>
      </c>
      <c r="J4609">
        <v>-1.4</v>
      </c>
      <c r="L4609">
        <v>0</v>
      </c>
      <c r="M4609">
        <v>2757.44</v>
      </c>
      <c r="N4609">
        <v>0.06</v>
      </c>
      <c r="O4609">
        <v>1.16</v>
      </c>
    </row>
    <row r="4610" spans="1:15">
      <c r="A4610" t="str">
        <f>"688018"</f>
        <v>688018</v>
      </c>
      <c r="B4610" t="s">
        <v>4655</v>
      </c>
      <c r="C4610">
        <v>4.54</v>
      </c>
      <c r="D4610">
        <v>127.96</v>
      </c>
      <c r="E4610" t="s">
        <v>16</v>
      </c>
      <c r="F4610" t="s">
        <v>16</v>
      </c>
      <c r="H4610">
        <v>-0.14</v>
      </c>
      <c r="I4610">
        <v>6.57</v>
      </c>
      <c r="J4610">
        <v>-1.67</v>
      </c>
      <c r="L4610">
        <v>0.08</v>
      </c>
      <c r="M4610">
        <v>357.95</v>
      </c>
      <c r="N4610">
        <v>0.02</v>
      </c>
      <c r="O4610">
        <v>1.85</v>
      </c>
    </row>
    <row r="4611" spans="1:15">
      <c r="A4611" t="str">
        <f>"688019"</f>
        <v>688019</v>
      </c>
      <c r="B4611" t="s">
        <v>4656</v>
      </c>
      <c r="C4611">
        <v>0.15</v>
      </c>
      <c r="D4611">
        <v>245.99</v>
      </c>
      <c r="E4611" t="s">
        <v>16</v>
      </c>
      <c r="F4611" t="s">
        <v>16</v>
      </c>
      <c r="H4611">
        <v>0</v>
      </c>
      <c r="I4611">
        <v>13.36</v>
      </c>
      <c r="J4611">
        <v>-1.87</v>
      </c>
      <c r="L4611">
        <v>-0.49</v>
      </c>
      <c r="M4611">
        <v>1089.23</v>
      </c>
      <c r="N4611">
        <v>0.03</v>
      </c>
      <c r="O4611">
        <v>1.07</v>
      </c>
    </row>
    <row r="4612" spans="1:15">
      <c r="A4612" t="str">
        <f>"688020"</f>
        <v>688020</v>
      </c>
      <c r="B4612" t="s">
        <v>4657</v>
      </c>
      <c r="C4612">
        <v>1.59</v>
      </c>
      <c r="D4612">
        <v>236</v>
      </c>
      <c r="E4612" t="s">
        <v>16</v>
      </c>
      <c r="F4612" t="s">
        <v>16</v>
      </c>
      <c r="H4612">
        <v>0.2</v>
      </c>
      <c r="I4612">
        <v>61.16</v>
      </c>
      <c r="J4612">
        <v>-1.54</v>
      </c>
      <c r="L4612">
        <v>-1.8</v>
      </c>
      <c r="M4612">
        <v>292.03</v>
      </c>
      <c r="N4612">
        <v>0.03</v>
      </c>
      <c r="O4612">
        <v>0.14</v>
      </c>
    </row>
    <row r="4613" spans="1:15">
      <c r="A4613" t="str">
        <f>"688021"</f>
        <v>688021</v>
      </c>
      <c r="B4613" t="s">
        <v>4658</v>
      </c>
      <c r="C4613">
        <v>-0.46</v>
      </c>
      <c r="D4613">
        <v>21.42</v>
      </c>
      <c r="E4613" t="s">
        <v>16</v>
      </c>
      <c r="F4613" t="s">
        <v>16</v>
      </c>
      <c r="H4613">
        <v>0.56</v>
      </c>
      <c r="I4613">
        <v>-6.34</v>
      </c>
      <c r="J4613">
        <v>-1.88</v>
      </c>
      <c r="L4613">
        <v>-0.19</v>
      </c>
      <c r="M4613">
        <v>8.63</v>
      </c>
      <c r="N4613">
        <v>0.01</v>
      </c>
      <c r="O4613">
        <v>0.21</v>
      </c>
    </row>
    <row r="4614" spans="1:15">
      <c r="A4614" t="str">
        <f>"688022"</f>
        <v>688022</v>
      </c>
      <c r="B4614" t="s">
        <v>4659</v>
      </c>
      <c r="C4614">
        <v>-1.38</v>
      </c>
      <c r="D4614">
        <v>7.88</v>
      </c>
      <c r="E4614" t="s">
        <v>16</v>
      </c>
      <c r="F4614" t="s">
        <v>16</v>
      </c>
      <c r="H4614">
        <v>-0.12</v>
      </c>
      <c r="I4614">
        <v>-9.32</v>
      </c>
      <c r="J4614">
        <v>-3.19</v>
      </c>
      <c r="L4614">
        <v>-0.38</v>
      </c>
      <c r="M4614">
        <v>13.8</v>
      </c>
      <c r="N4614">
        <v>0.01</v>
      </c>
      <c r="O4614">
        <v>0.61</v>
      </c>
    </row>
    <row r="4615" spans="1:15">
      <c r="A4615" t="str">
        <f>"688023"</f>
        <v>688023</v>
      </c>
      <c r="B4615" t="s">
        <v>4660</v>
      </c>
      <c r="C4615">
        <v>1.24</v>
      </c>
      <c r="D4615">
        <v>38.24</v>
      </c>
      <c r="E4615" t="s">
        <v>16</v>
      </c>
      <c r="F4615" t="s">
        <v>16</v>
      </c>
      <c r="H4615">
        <v>0.24</v>
      </c>
      <c r="I4615">
        <v>-3.07</v>
      </c>
      <c r="J4615">
        <v>-1.65</v>
      </c>
      <c r="L4615">
        <v>0</v>
      </c>
      <c r="M4615">
        <v>21.29</v>
      </c>
      <c r="N4615">
        <v>0.01</v>
      </c>
      <c r="O4615">
        <v>1.76</v>
      </c>
    </row>
    <row r="4616" spans="1:15">
      <c r="A4616" t="str">
        <f>"688025"</f>
        <v>688025</v>
      </c>
      <c r="B4616" t="s">
        <v>4661</v>
      </c>
      <c r="C4616">
        <v>0.9</v>
      </c>
      <c r="D4616">
        <v>449</v>
      </c>
      <c r="E4616" t="s">
        <v>16</v>
      </c>
      <c r="F4616" t="s">
        <v>16</v>
      </c>
      <c r="H4616">
        <v>-0.05</v>
      </c>
      <c r="I4616">
        <v>12</v>
      </c>
      <c r="J4616">
        <v>-1.67</v>
      </c>
      <c r="L4616">
        <v>-0.45</v>
      </c>
      <c r="M4616">
        <v>504.71</v>
      </c>
      <c r="N4616">
        <v>0.02</v>
      </c>
      <c r="O4616">
        <v>0.39</v>
      </c>
    </row>
    <row r="4617" spans="1:15">
      <c r="A4617" t="str">
        <f>"688026"</f>
        <v>688026</v>
      </c>
      <c r="B4617" t="s">
        <v>4662</v>
      </c>
      <c r="C4617">
        <v>16.15</v>
      </c>
      <c r="D4617">
        <v>15.1</v>
      </c>
      <c r="E4617" t="s">
        <v>16</v>
      </c>
      <c r="F4617" t="s">
        <v>16</v>
      </c>
      <c r="H4617">
        <v>-0.71</v>
      </c>
      <c r="I4617">
        <v>14.83</v>
      </c>
      <c r="J4617">
        <v>-3.21</v>
      </c>
      <c r="L4617">
        <v>-0.46</v>
      </c>
      <c r="M4617">
        <v>6.47</v>
      </c>
      <c r="N4617">
        <v>0.01</v>
      </c>
      <c r="O4617">
        <v>0.65</v>
      </c>
    </row>
    <row r="4618" spans="1:15">
      <c r="A4618" t="str">
        <f>"688027"</f>
        <v>688027</v>
      </c>
      <c r="B4618" t="s">
        <v>4663</v>
      </c>
      <c r="C4618">
        <v>3.98</v>
      </c>
      <c r="D4618">
        <v>528.03</v>
      </c>
      <c r="E4618" t="s">
        <v>16</v>
      </c>
      <c r="F4618" t="s">
        <v>16</v>
      </c>
      <c r="H4618">
        <v>-0.05</v>
      </c>
      <c r="I4618">
        <v>-5.46</v>
      </c>
      <c r="J4618">
        <v>-2.37</v>
      </c>
      <c r="L4618">
        <v>0.68</v>
      </c>
      <c r="M4618">
        <v>880.78</v>
      </c>
      <c r="N4618">
        <v>0.03</v>
      </c>
      <c r="O4618">
        <v>1.29</v>
      </c>
    </row>
    <row r="4619" spans="1:15">
      <c r="A4619" t="str">
        <f>"688028"</f>
        <v>688028</v>
      </c>
      <c r="B4619" t="s">
        <v>4664</v>
      </c>
      <c r="C4619">
        <v>2.99</v>
      </c>
      <c r="D4619">
        <v>117.29</v>
      </c>
      <c r="E4619" t="s">
        <v>16</v>
      </c>
      <c r="F4619" t="s">
        <v>16</v>
      </c>
      <c r="H4619">
        <v>-0.11</v>
      </c>
      <c r="I4619">
        <v>-6.54</v>
      </c>
      <c r="J4619">
        <v>-3.07</v>
      </c>
      <c r="L4619">
        <v>-1.06</v>
      </c>
      <c r="M4619">
        <v>137.47</v>
      </c>
      <c r="N4619">
        <v>0.01</v>
      </c>
      <c r="O4619">
        <v>2.3</v>
      </c>
    </row>
    <row r="4620" spans="1:15">
      <c r="A4620" t="str">
        <f>"688029"</f>
        <v>688029</v>
      </c>
      <c r="B4620" t="s">
        <v>4665</v>
      </c>
      <c r="C4620">
        <v>1.6</v>
      </c>
      <c r="D4620">
        <v>71.08</v>
      </c>
      <c r="E4620" t="s">
        <v>16</v>
      </c>
      <c r="F4620" t="s">
        <v>16</v>
      </c>
      <c r="H4620">
        <v>0</v>
      </c>
      <c r="I4620">
        <v>-2.6</v>
      </c>
      <c r="J4620">
        <v>-0.88</v>
      </c>
      <c r="L4620">
        <v>-1.04</v>
      </c>
      <c r="M4620">
        <v>9</v>
      </c>
      <c r="N4620">
        <v>0</v>
      </c>
      <c r="O4620">
        <v>1.08</v>
      </c>
    </row>
    <row r="4621" spans="1:15">
      <c r="A4621" t="str">
        <f>"688030"</f>
        <v>688030</v>
      </c>
      <c r="B4621" t="s">
        <v>4666</v>
      </c>
      <c r="C4621">
        <v>-0.12</v>
      </c>
      <c r="D4621">
        <v>17</v>
      </c>
      <c r="E4621" t="s">
        <v>16</v>
      </c>
      <c r="F4621" t="s">
        <v>16</v>
      </c>
      <c r="H4621">
        <v>-0.05</v>
      </c>
      <c r="I4621">
        <v>-0.64</v>
      </c>
      <c r="J4621">
        <v>-2.52</v>
      </c>
      <c r="L4621">
        <v>-1.18</v>
      </c>
      <c r="M4621">
        <v>6.06</v>
      </c>
      <c r="N4621">
        <v>0</v>
      </c>
      <c r="O4621">
        <v>0.42</v>
      </c>
    </row>
    <row r="4622" spans="1:15">
      <c r="A4622" t="str">
        <f>"688031"</f>
        <v>688031</v>
      </c>
      <c r="B4622" t="s">
        <v>4667</v>
      </c>
      <c r="C4622">
        <v>2.31</v>
      </c>
      <c r="D4622">
        <v>127.35</v>
      </c>
      <c r="E4622" t="s">
        <v>16</v>
      </c>
      <c r="F4622" t="s">
        <v>16</v>
      </c>
      <c r="H4622">
        <v>0.06</v>
      </c>
      <c r="I4622">
        <v>-16.39</v>
      </c>
      <c r="J4622">
        <v>-2.34</v>
      </c>
      <c r="L4622">
        <v>-1.19</v>
      </c>
      <c r="M4622">
        <v>288.48</v>
      </c>
      <c r="N4622">
        <v>0.03</v>
      </c>
      <c r="O4622">
        <v>1.12</v>
      </c>
    </row>
    <row r="4623" spans="1:15">
      <c r="A4623" t="str">
        <f>"688032"</f>
        <v>688032</v>
      </c>
      <c r="B4623" t="s">
        <v>4668</v>
      </c>
      <c r="C4623">
        <v>1.14</v>
      </c>
      <c r="D4623">
        <v>87.68</v>
      </c>
      <c r="E4623" t="s">
        <v>16</v>
      </c>
      <c r="F4623" t="s">
        <v>16</v>
      </c>
      <c r="H4623">
        <v>0.35</v>
      </c>
      <c r="I4623">
        <v>-5.16</v>
      </c>
      <c r="J4623">
        <v>-0.33</v>
      </c>
      <c r="L4623">
        <v>-0.6</v>
      </c>
      <c r="M4623">
        <v>0</v>
      </c>
      <c r="N4623">
        <v>0</v>
      </c>
      <c r="O4623">
        <v>0</v>
      </c>
    </row>
    <row r="4624" spans="1:15">
      <c r="A4624" t="str">
        <f>"688033"</f>
        <v>688033</v>
      </c>
      <c r="B4624" t="s">
        <v>4669</v>
      </c>
      <c r="C4624">
        <v>-4.49</v>
      </c>
      <c r="D4624">
        <v>6.38</v>
      </c>
      <c r="E4624" t="s">
        <v>16</v>
      </c>
      <c r="F4624" t="s">
        <v>16</v>
      </c>
      <c r="H4624">
        <v>-1.23</v>
      </c>
      <c r="I4624">
        <v>-12.72</v>
      </c>
      <c r="J4624">
        <v>-3.92</v>
      </c>
      <c r="L4624">
        <v>-0.6</v>
      </c>
      <c r="M4624">
        <v>20.46</v>
      </c>
      <c r="N4624">
        <v>0.01</v>
      </c>
      <c r="O4624">
        <v>2.99</v>
      </c>
    </row>
    <row r="4625" spans="1:15">
      <c r="A4625" t="str">
        <f>"688035"</f>
        <v>688035</v>
      </c>
      <c r="B4625" t="s">
        <v>4670</v>
      </c>
      <c r="C4625">
        <v>6.2</v>
      </c>
      <c r="D4625">
        <v>103.36</v>
      </c>
      <c r="E4625" t="s">
        <v>16</v>
      </c>
      <c r="F4625" t="s">
        <v>16</v>
      </c>
      <c r="H4625">
        <v>-0.22</v>
      </c>
      <c r="I4625">
        <v>33.54</v>
      </c>
      <c r="J4625">
        <v>-3.28</v>
      </c>
      <c r="L4625">
        <v>-0.03</v>
      </c>
      <c r="M4625">
        <v>848.31</v>
      </c>
      <c r="N4625">
        <v>0.14</v>
      </c>
      <c r="O4625">
        <v>3.28</v>
      </c>
    </row>
    <row r="4626" spans="1:15">
      <c r="A4626" t="str">
        <f>"688036"</f>
        <v>688036</v>
      </c>
      <c r="B4626" t="s">
        <v>4671</v>
      </c>
      <c r="C4626">
        <v>-4.31</v>
      </c>
      <c r="D4626">
        <v>53.51</v>
      </c>
      <c r="E4626" t="s">
        <v>16</v>
      </c>
      <c r="F4626" t="s">
        <v>16</v>
      </c>
      <c r="H4626">
        <v>-0.9</v>
      </c>
      <c r="I4626">
        <v>-10.4</v>
      </c>
      <c r="J4626">
        <v>-5.29</v>
      </c>
      <c r="L4626">
        <v>-0.48</v>
      </c>
      <c r="M4626">
        <v>71.61</v>
      </c>
      <c r="N4626">
        <v>0</v>
      </c>
      <c r="O4626">
        <v>0.42</v>
      </c>
    </row>
    <row r="4627" spans="1:15">
      <c r="A4627" t="str">
        <f>"688037"</f>
        <v>688037</v>
      </c>
      <c r="B4627" t="s">
        <v>4672</v>
      </c>
      <c r="C4627">
        <v>2</v>
      </c>
      <c r="D4627">
        <v>293.05</v>
      </c>
      <c r="E4627" t="s">
        <v>16</v>
      </c>
      <c r="F4627" t="s">
        <v>16</v>
      </c>
      <c r="H4627">
        <v>0.05</v>
      </c>
      <c r="I4627">
        <v>13.31</v>
      </c>
      <c r="J4627">
        <v>-2.03</v>
      </c>
      <c r="L4627">
        <v>-0.95</v>
      </c>
      <c r="M4627">
        <v>993.1</v>
      </c>
      <c r="N4627">
        <v>0.02</v>
      </c>
      <c r="O4627">
        <v>1.94</v>
      </c>
    </row>
    <row r="4628" spans="1:15">
      <c r="A4628" t="str">
        <f>"688038"</f>
        <v>688038</v>
      </c>
      <c r="B4628" t="s">
        <v>4673</v>
      </c>
      <c r="C4628">
        <v>1.06</v>
      </c>
      <c r="D4628">
        <v>20.89</v>
      </c>
      <c r="E4628" t="s">
        <v>16</v>
      </c>
      <c r="F4628" t="s">
        <v>16</v>
      </c>
      <c r="H4628">
        <v>0.29</v>
      </c>
      <c r="I4628">
        <v>13.1</v>
      </c>
      <c r="J4628">
        <v>-1.42</v>
      </c>
      <c r="L4628">
        <v>0.15</v>
      </c>
      <c r="M4628">
        <v>11.22</v>
      </c>
      <c r="N4628">
        <v>0.01</v>
      </c>
      <c r="O4628">
        <v>3.39</v>
      </c>
    </row>
    <row r="4629" spans="1:15">
      <c r="A4629" t="str">
        <f>"688039"</f>
        <v>688039</v>
      </c>
      <c r="B4629" t="s">
        <v>4674</v>
      </c>
      <c r="C4629">
        <v>5.39</v>
      </c>
      <c r="D4629">
        <v>44</v>
      </c>
      <c r="E4629" t="s">
        <v>16</v>
      </c>
      <c r="F4629" t="s">
        <v>16</v>
      </c>
      <c r="H4629">
        <v>-0.19</v>
      </c>
      <c r="I4629">
        <v>5.04</v>
      </c>
      <c r="J4629">
        <v>-0.86</v>
      </c>
      <c r="L4629">
        <v>-1.32</v>
      </c>
      <c r="M4629">
        <v>33.84</v>
      </c>
      <c r="N4629">
        <v>0.01</v>
      </c>
      <c r="O4629">
        <v>4.32</v>
      </c>
    </row>
    <row r="4630" spans="1:15">
      <c r="A4630" t="str">
        <f>"688041"</f>
        <v>688041</v>
      </c>
      <c r="B4630" t="s">
        <v>4675</v>
      </c>
      <c r="C4630">
        <v>6.42</v>
      </c>
      <c r="D4630">
        <v>328</v>
      </c>
      <c r="E4630" t="s">
        <v>16</v>
      </c>
      <c r="F4630" t="s">
        <v>16</v>
      </c>
      <c r="H4630">
        <v>-0.51</v>
      </c>
      <c r="I4630">
        <v>14.77</v>
      </c>
      <c r="J4630">
        <v>-2.43</v>
      </c>
      <c r="L4630">
        <v>0.58</v>
      </c>
      <c r="M4630">
        <v>12405.8</v>
      </c>
      <c r="N4630">
        <v>0.05</v>
      </c>
      <c r="O4630">
        <v>1.46</v>
      </c>
    </row>
    <row r="4631" spans="1:15">
      <c r="A4631" t="str">
        <f>"688045"</f>
        <v>688045</v>
      </c>
      <c r="B4631" t="s">
        <v>4676</v>
      </c>
      <c r="C4631">
        <v>0.64</v>
      </c>
      <c r="D4631">
        <v>79.05</v>
      </c>
      <c r="E4631" t="s">
        <v>16</v>
      </c>
      <c r="F4631" t="s">
        <v>16</v>
      </c>
      <c r="H4631">
        <v>0</v>
      </c>
      <c r="I4631">
        <v>19.57</v>
      </c>
      <c r="J4631">
        <v>-2.77</v>
      </c>
      <c r="L4631">
        <v>-0.43</v>
      </c>
      <c r="M4631">
        <v>104.83</v>
      </c>
      <c r="N4631">
        <v>0.04</v>
      </c>
      <c r="O4631">
        <v>0.67</v>
      </c>
    </row>
    <row r="4632" spans="1:15">
      <c r="A4632" t="str">
        <f>"688046"</f>
        <v>688046</v>
      </c>
      <c r="B4632" t="s">
        <v>4677</v>
      </c>
      <c r="C4632">
        <v>7.53</v>
      </c>
      <c r="D4632">
        <v>19.13</v>
      </c>
      <c r="E4632" t="s">
        <v>16</v>
      </c>
      <c r="F4632" t="s">
        <v>16</v>
      </c>
      <c r="H4632">
        <v>-0.2</v>
      </c>
      <c r="I4632">
        <v>11.55</v>
      </c>
      <c r="J4632">
        <v>-1.29</v>
      </c>
      <c r="L4632">
        <v>-0.06</v>
      </c>
      <c r="M4632">
        <v>0</v>
      </c>
      <c r="N4632">
        <v>0</v>
      </c>
      <c r="O4632">
        <v>0</v>
      </c>
    </row>
    <row r="4633" spans="1:15">
      <c r="A4633" t="str">
        <f>"688047"</f>
        <v>688047</v>
      </c>
      <c r="B4633" t="s">
        <v>4678</v>
      </c>
      <c r="C4633">
        <v>2.08</v>
      </c>
      <c r="D4633">
        <v>146.49</v>
      </c>
      <c r="E4633" t="s">
        <v>16</v>
      </c>
      <c r="F4633" t="s">
        <v>16</v>
      </c>
      <c r="H4633">
        <v>-0.43</v>
      </c>
      <c r="I4633">
        <v>4.48</v>
      </c>
      <c r="J4633">
        <v>-1.39</v>
      </c>
      <c r="L4633">
        <v>-0.35</v>
      </c>
      <c r="M4633">
        <v>562.33</v>
      </c>
      <c r="N4633">
        <v>0.02</v>
      </c>
      <c r="O4633">
        <v>0.94</v>
      </c>
    </row>
    <row r="4634" spans="1:15">
      <c r="A4634" t="str">
        <f>"688048"</f>
        <v>688048</v>
      </c>
      <c r="B4634" t="s">
        <v>4679</v>
      </c>
      <c r="C4634">
        <v>5.27</v>
      </c>
      <c r="D4634">
        <v>391.07</v>
      </c>
      <c r="E4634" t="s">
        <v>16</v>
      </c>
      <c r="F4634" t="s">
        <v>16</v>
      </c>
      <c r="H4634">
        <v>0.07</v>
      </c>
      <c r="I4634">
        <v>0.3</v>
      </c>
      <c r="J4634">
        <v>-2.52</v>
      </c>
      <c r="L4634">
        <v>2.56</v>
      </c>
      <c r="M4634">
        <v>9811.09</v>
      </c>
      <c r="N4634">
        <v>0.23</v>
      </c>
      <c r="O4634">
        <v>1</v>
      </c>
    </row>
    <row r="4635" spans="1:15">
      <c r="A4635" t="str">
        <f>"688049"</f>
        <v>688049</v>
      </c>
      <c r="B4635" t="s">
        <v>4680</v>
      </c>
      <c r="C4635">
        <v>0.15</v>
      </c>
      <c r="D4635">
        <v>46</v>
      </c>
      <c r="E4635" t="s">
        <v>16</v>
      </c>
      <c r="F4635" t="s">
        <v>16</v>
      </c>
      <c r="H4635">
        <v>-1.3</v>
      </c>
      <c r="I4635">
        <v>6.38</v>
      </c>
      <c r="J4635">
        <v>-2.29</v>
      </c>
      <c r="L4635">
        <v>-0.87</v>
      </c>
      <c r="M4635">
        <v>176.44</v>
      </c>
      <c r="N4635">
        <v>0.03</v>
      </c>
      <c r="O4635">
        <v>1.47</v>
      </c>
    </row>
    <row r="4636" spans="1:15">
      <c r="A4636" t="str">
        <f>"688050"</f>
        <v>688050</v>
      </c>
      <c r="B4636" t="s">
        <v>4681</v>
      </c>
      <c r="C4636">
        <v>0</v>
      </c>
      <c r="D4636">
        <v>39.23</v>
      </c>
      <c r="E4636" t="s">
        <v>16</v>
      </c>
      <c r="F4636" t="s">
        <v>16</v>
      </c>
      <c r="H4636">
        <v>-0.09</v>
      </c>
      <c r="I4636">
        <v>-4.74</v>
      </c>
      <c r="J4636">
        <v>-2.82</v>
      </c>
      <c r="L4636">
        <v>-0.2</v>
      </c>
      <c r="M4636">
        <v>15.79</v>
      </c>
      <c r="N4636">
        <v>0</v>
      </c>
      <c r="O4636">
        <v>0.84</v>
      </c>
    </row>
    <row r="4637" spans="1:15">
      <c r="A4637" t="str">
        <f>"688051"</f>
        <v>688051</v>
      </c>
      <c r="B4637" t="s">
        <v>4682</v>
      </c>
      <c r="C4637">
        <v>-1.46</v>
      </c>
      <c r="D4637">
        <v>26.38</v>
      </c>
      <c r="E4637" t="s">
        <v>16</v>
      </c>
      <c r="F4637" t="s">
        <v>16</v>
      </c>
      <c r="H4637">
        <v>-0.1</v>
      </c>
      <c r="I4637">
        <v>-13.17</v>
      </c>
      <c r="J4637">
        <v>-1.79</v>
      </c>
      <c r="L4637">
        <v>-1.87</v>
      </c>
      <c r="M4637">
        <v>52.45</v>
      </c>
      <c r="N4637">
        <v>0.06</v>
      </c>
      <c r="O4637">
        <v>1.19</v>
      </c>
    </row>
    <row r="4638" spans="1:15">
      <c r="A4638" t="str">
        <f>"688052"</f>
        <v>688052</v>
      </c>
      <c r="B4638" t="s">
        <v>4683</v>
      </c>
      <c r="C4638">
        <v>0.68</v>
      </c>
      <c r="D4638">
        <v>266.6</v>
      </c>
      <c r="E4638" t="s">
        <v>16</v>
      </c>
      <c r="F4638" t="s">
        <v>16</v>
      </c>
      <c r="H4638">
        <v>-0.14</v>
      </c>
      <c r="I4638">
        <v>8.37</v>
      </c>
      <c r="J4638">
        <v>-1.81</v>
      </c>
      <c r="L4638">
        <v>0.7</v>
      </c>
      <c r="M4638">
        <v>206.98</v>
      </c>
      <c r="N4638">
        <v>0.01</v>
      </c>
      <c r="O4638">
        <v>0.75</v>
      </c>
    </row>
    <row r="4639" spans="1:15">
      <c r="A4639" t="str">
        <f>"688053"</f>
        <v>688053</v>
      </c>
      <c r="B4639" t="s">
        <v>4684</v>
      </c>
      <c r="C4639">
        <v>-1.35</v>
      </c>
      <c r="D4639">
        <v>36.6</v>
      </c>
      <c r="E4639" t="s">
        <v>16</v>
      </c>
      <c r="F4639" t="s">
        <v>16</v>
      </c>
      <c r="H4639">
        <v>0.3</v>
      </c>
      <c r="I4639">
        <v>-2.24</v>
      </c>
      <c r="J4639">
        <v>-3.15</v>
      </c>
      <c r="L4639">
        <v>-0.86</v>
      </c>
      <c r="M4639">
        <v>0</v>
      </c>
      <c r="N4639">
        <v>0</v>
      </c>
      <c r="O4639">
        <v>0</v>
      </c>
    </row>
    <row r="4640" spans="1:15">
      <c r="A4640" t="str">
        <f>"688055"</f>
        <v>688055</v>
      </c>
      <c r="B4640" t="s">
        <v>4685</v>
      </c>
      <c r="C4640">
        <v>-3.47</v>
      </c>
      <c r="D4640">
        <v>5.28</v>
      </c>
      <c r="E4640" t="s">
        <v>16</v>
      </c>
      <c r="F4640" t="s">
        <v>16</v>
      </c>
      <c r="H4640">
        <v>0</v>
      </c>
      <c r="I4640">
        <v>0.76</v>
      </c>
      <c r="J4640">
        <v>-2.94</v>
      </c>
      <c r="L4640">
        <v>-2.19</v>
      </c>
      <c r="M4640">
        <v>130.6</v>
      </c>
      <c r="N4640">
        <v>0.07</v>
      </c>
      <c r="O4640">
        <v>1.92</v>
      </c>
    </row>
    <row r="4641" spans="1:15">
      <c r="A4641" t="str">
        <f>"688056"</f>
        <v>688056</v>
      </c>
      <c r="B4641" t="s">
        <v>4686</v>
      </c>
      <c r="C4641">
        <v>5.69</v>
      </c>
      <c r="D4641">
        <v>70.36</v>
      </c>
      <c r="E4641" t="s">
        <v>16</v>
      </c>
      <c r="F4641" t="s">
        <v>16</v>
      </c>
      <c r="H4641">
        <v>1.09</v>
      </c>
      <c r="I4641">
        <v>75.99</v>
      </c>
      <c r="J4641">
        <v>-3.21</v>
      </c>
      <c r="L4641">
        <v>0</v>
      </c>
      <c r="M4641">
        <v>274.39</v>
      </c>
      <c r="N4641">
        <v>0.14</v>
      </c>
      <c r="O4641">
        <v>0.3</v>
      </c>
    </row>
    <row r="4642" spans="1:15">
      <c r="A4642" t="str">
        <f>"688057"</f>
        <v>688057</v>
      </c>
      <c r="B4642" t="s">
        <v>4687</v>
      </c>
      <c r="C4642">
        <v>-1.55</v>
      </c>
      <c r="D4642">
        <v>13.32</v>
      </c>
      <c r="E4642" t="s">
        <v>16</v>
      </c>
      <c r="F4642" t="s">
        <v>16</v>
      </c>
      <c r="H4642">
        <v>-0.06</v>
      </c>
      <c r="I4642">
        <v>-6.85</v>
      </c>
      <c r="J4642">
        <v>-3.41</v>
      </c>
      <c r="L4642">
        <v>1.63</v>
      </c>
      <c r="M4642">
        <v>2.93</v>
      </c>
      <c r="N4642">
        <v>0</v>
      </c>
      <c r="O4642">
        <v>1.78</v>
      </c>
    </row>
    <row r="4643" spans="1:15">
      <c r="A4643" t="str">
        <f>"688058"</f>
        <v>688058</v>
      </c>
      <c r="B4643" t="s">
        <v>4688</v>
      </c>
      <c r="C4643">
        <v>-0.04</v>
      </c>
      <c r="D4643">
        <v>23.37</v>
      </c>
      <c r="E4643" t="s">
        <v>16</v>
      </c>
      <c r="F4643" t="s">
        <v>16</v>
      </c>
      <c r="H4643">
        <v>-0.16</v>
      </c>
      <c r="I4643">
        <v>-2.3</v>
      </c>
      <c r="J4643">
        <v>-1.27</v>
      </c>
      <c r="L4643">
        <v>-1.41</v>
      </c>
      <c r="M4643">
        <v>14.08</v>
      </c>
      <c r="N4643">
        <v>0.01</v>
      </c>
      <c r="O4643">
        <v>0.94</v>
      </c>
    </row>
    <row r="4644" spans="1:15">
      <c r="A4644" t="str">
        <f>"688059"</f>
        <v>688059</v>
      </c>
      <c r="B4644" t="s">
        <v>4689</v>
      </c>
      <c r="C4644">
        <v>4.98</v>
      </c>
      <c r="D4644">
        <v>205.91</v>
      </c>
      <c r="E4644" t="s">
        <v>16</v>
      </c>
      <c r="F4644" t="s">
        <v>16</v>
      </c>
      <c r="H4644">
        <v>-0.03</v>
      </c>
      <c r="I4644">
        <v>31.91</v>
      </c>
      <c r="J4644">
        <v>-3.56</v>
      </c>
      <c r="L4644">
        <v>-0.93</v>
      </c>
      <c r="M4644">
        <v>208.67</v>
      </c>
      <c r="N4644">
        <v>0.02</v>
      </c>
      <c r="O4644">
        <v>0.63</v>
      </c>
    </row>
    <row r="4645" spans="1:15">
      <c r="A4645" t="str">
        <f>"688060"</f>
        <v>688060</v>
      </c>
      <c r="B4645" t="s">
        <v>4690</v>
      </c>
      <c r="C4645">
        <v>-0.11</v>
      </c>
      <c r="D4645">
        <v>35.46</v>
      </c>
      <c r="E4645" t="s">
        <v>16</v>
      </c>
      <c r="F4645" t="s">
        <v>16</v>
      </c>
      <c r="H4645">
        <v>-0.63</v>
      </c>
      <c r="I4645">
        <v>-7.05</v>
      </c>
      <c r="J4645">
        <v>-1.77</v>
      </c>
      <c r="L4645">
        <v>-0.17</v>
      </c>
      <c r="M4645">
        <v>1.42</v>
      </c>
      <c r="N4645">
        <v>0</v>
      </c>
      <c r="O4645">
        <v>0.05</v>
      </c>
    </row>
    <row r="4646" spans="1:15">
      <c r="A4646" t="str">
        <f>"688061"</f>
        <v>688061</v>
      </c>
      <c r="B4646" t="s">
        <v>4691</v>
      </c>
      <c r="C4646">
        <v>-1.46</v>
      </c>
      <c r="D4646">
        <v>47.8</v>
      </c>
      <c r="E4646" t="s">
        <v>16</v>
      </c>
      <c r="F4646" t="s">
        <v>16</v>
      </c>
      <c r="H4646">
        <v>-0.55</v>
      </c>
      <c r="I4646">
        <v>31.72</v>
      </c>
      <c r="J4646">
        <v>-3.1</v>
      </c>
      <c r="L4646">
        <v>-0.47</v>
      </c>
      <c r="M4646">
        <v>15.73</v>
      </c>
      <c r="N4646">
        <v>0.01</v>
      </c>
      <c r="O4646">
        <v>0.41</v>
      </c>
    </row>
    <row r="4647" spans="1:15">
      <c r="A4647" t="str">
        <f>"688062"</f>
        <v>688062</v>
      </c>
      <c r="B4647" t="s">
        <v>4692</v>
      </c>
      <c r="C4647">
        <v>1.14</v>
      </c>
      <c r="D4647">
        <v>27.42</v>
      </c>
      <c r="E4647" t="s">
        <v>16</v>
      </c>
      <c r="F4647" t="s">
        <v>16</v>
      </c>
      <c r="H4647">
        <v>-0.32</v>
      </c>
      <c r="I4647">
        <v>1.82</v>
      </c>
      <c r="J4647">
        <v>-2.49</v>
      </c>
      <c r="L4647">
        <v>-0.92</v>
      </c>
      <c r="M4647">
        <v>47.75</v>
      </c>
      <c r="N4647">
        <v>0.01</v>
      </c>
      <c r="O4647">
        <v>0.95</v>
      </c>
    </row>
    <row r="4648" spans="1:15">
      <c r="A4648" t="str">
        <f>"688063"</f>
        <v>688063</v>
      </c>
      <c r="B4648" t="s">
        <v>4693</v>
      </c>
      <c r="C4648">
        <v>1.33</v>
      </c>
      <c r="D4648">
        <v>59.25</v>
      </c>
      <c r="E4648" t="s">
        <v>16</v>
      </c>
      <c r="F4648" t="s">
        <v>16</v>
      </c>
      <c r="H4648">
        <v>0</v>
      </c>
      <c r="I4648">
        <v>-0.19</v>
      </c>
      <c r="J4648">
        <v>-0.89</v>
      </c>
      <c r="L4648">
        <v>-0.8</v>
      </c>
      <c r="M4648">
        <v>125</v>
      </c>
      <c r="N4648">
        <v>0.01</v>
      </c>
      <c r="O4648">
        <v>0.56</v>
      </c>
    </row>
    <row r="4649" spans="1:15">
      <c r="A4649" t="str">
        <f>"688065"</f>
        <v>688065</v>
      </c>
      <c r="B4649" t="s">
        <v>4694</v>
      </c>
      <c r="C4649">
        <v>2.88</v>
      </c>
      <c r="D4649">
        <v>44.29</v>
      </c>
      <c r="E4649" t="s">
        <v>16</v>
      </c>
      <c r="F4649" t="s">
        <v>16</v>
      </c>
      <c r="H4649">
        <v>-0.51</v>
      </c>
      <c r="I4649">
        <v>0.2</v>
      </c>
      <c r="J4649">
        <v>-1.95</v>
      </c>
      <c r="L4649">
        <v>-0.09</v>
      </c>
      <c r="M4649">
        <v>97.35</v>
      </c>
      <c r="N4649">
        <v>0.01</v>
      </c>
      <c r="O4649">
        <v>2.83</v>
      </c>
    </row>
    <row r="4650" spans="1:15">
      <c r="A4650" t="str">
        <f>"688066"</f>
        <v>688066</v>
      </c>
      <c r="B4650" t="s">
        <v>4695</v>
      </c>
      <c r="C4650">
        <v>3.46</v>
      </c>
      <c r="D4650">
        <v>13.16</v>
      </c>
      <c r="E4650" t="s">
        <v>16</v>
      </c>
      <c r="F4650" t="s">
        <v>16</v>
      </c>
      <c r="H4650">
        <v>-0.22</v>
      </c>
      <c r="I4650">
        <v>-2.52</v>
      </c>
      <c r="J4650">
        <v>-3.73</v>
      </c>
      <c r="L4650">
        <v>0</v>
      </c>
      <c r="M4650">
        <v>43.25</v>
      </c>
      <c r="N4650">
        <v>0.02</v>
      </c>
      <c r="O4650">
        <v>0.2</v>
      </c>
    </row>
    <row r="4651" spans="1:15">
      <c r="A4651" t="str">
        <f>"688067"</f>
        <v>688067</v>
      </c>
      <c r="B4651" t="s">
        <v>4696</v>
      </c>
      <c r="C4651">
        <v>0.75</v>
      </c>
      <c r="D4651">
        <v>21.59</v>
      </c>
      <c r="E4651" t="s">
        <v>16</v>
      </c>
      <c r="F4651" t="s">
        <v>16</v>
      </c>
      <c r="H4651">
        <v>0.14</v>
      </c>
      <c r="I4651">
        <v>-6.94</v>
      </c>
      <c r="J4651">
        <v>-1.24</v>
      </c>
      <c r="L4651">
        <v>-0.56</v>
      </c>
      <c r="M4651">
        <v>11.44</v>
      </c>
      <c r="N4651">
        <v>0.02</v>
      </c>
      <c r="O4651">
        <v>0.87</v>
      </c>
    </row>
    <row r="4652" spans="1:15">
      <c r="A4652" t="str">
        <f>"688068"</f>
        <v>688068</v>
      </c>
      <c r="B4652" t="s">
        <v>4697</v>
      </c>
      <c r="C4652">
        <v>1.88</v>
      </c>
      <c r="D4652">
        <v>77.53</v>
      </c>
      <c r="E4652" t="s">
        <v>16</v>
      </c>
      <c r="F4652" t="s">
        <v>16</v>
      </c>
      <c r="H4652">
        <v>-0.32</v>
      </c>
      <c r="I4652">
        <v>-7.54</v>
      </c>
      <c r="J4652">
        <v>-4.87</v>
      </c>
      <c r="L4652">
        <v>1.31</v>
      </c>
      <c r="M4652">
        <v>55.95</v>
      </c>
      <c r="N4652">
        <v>0.01</v>
      </c>
      <c r="O4652">
        <v>2.07</v>
      </c>
    </row>
    <row r="4653" spans="1:15">
      <c r="A4653" t="str">
        <f>"688069"</f>
        <v>688069</v>
      </c>
      <c r="B4653" t="s">
        <v>4698</v>
      </c>
      <c r="C4653">
        <v>1.65</v>
      </c>
      <c r="D4653">
        <v>41.32</v>
      </c>
      <c r="E4653" t="s">
        <v>16</v>
      </c>
      <c r="F4653" t="s">
        <v>16</v>
      </c>
      <c r="H4653">
        <v>0</v>
      </c>
      <c r="I4653">
        <v>14.65</v>
      </c>
      <c r="J4653">
        <v>-4.11</v>
      </c>
      <c r="L4653">
        <v>-1.01</v>
      </c>
      <c r="M4653">
        <v>17.51</v>
      </c>
      <c r="N4653">
        <v>0.01</v>
      </c>
      <c r="O4653">
        <v>0.33</v>
      </c>
    </row>
    <row r="4654" spans="1:15">
      <c r="A4654" t="str">
        <f>"688070"</f>
        <v>688070</v>
      </c>
      <c r="B4654" t="s">
        <v>4699</v>
      </c>
      <c r="C4654">
        <v>1.89</v>
      </c>
      <c r="D4654">
        <v>40.53</v>
      </c>
      <c r="E4654" t="s">
        <v>16</v>
      </c>
      <c r="F4654" t="s">
        <v>16</v>
      </c>
      <c r="H4654">
        <v>0</v>
      </c>
      <c r="I4654">
        <v>2.09</v>
      </c>
      <c r="J4654">
        <v>-4.41</v>
      </c>
      <c r="L4654">
        <v>1.76</v>
      </c>
      <c r="M4654">
        <v>24.83</v>
      </c>
      <c r="N4654">
        <v>0.02</v>
      </c>
      <c r="O4654">
        <v>8.76</v>
      </c>
    </row>
    <row r="4655" spans="1:15">
      <c r="A4655" t="str">
        <f>"688071"</f>
        <v>688071</v>
      </c>
      <c r="B4655" t="s">
        <v>4700</v>
      </c>
      <c r="C4655">
        <v>5.61</v>
      </c>
      <c r="D4655">
        <v>33.9</v>
      </c>
      <c r="E4655" t="s">
        <v>16</v>
      </c>
      <c r="F4655" t="s">
        <v>16</v>
      </c>
      <c r="H4655">
        <v>-0.28</v>
      </c>
      <c r="I4655">
        <v>-0.73</v>
      </c>
      <c r="J4655">
        <v>-4.8</v>
      </c>
      <c r="L4655">
        <v>-1.18</v>
      </c>
      <c r="M4655">
        <v>2.13</v>
      </c>
      <c r="N4655">
        <v>0</v>
      </c>
      <c r="O4655">
        <v>0.37</v>
      </c>
    </row>
    <row r="4656" spans="1:15">
      <c r="A4656" t="str">
        <f>"688072"</f>
        <v>688072</v>
      </c>
      <c r="B4656" t="s">
        <v>4701</v>
      </c>
      <c r="C4656">
        <v>-0.81</v>
      </c>
      <c r="D4656">
        <v>734</v>
      </c>
      <c r="E4656" t="s">
        <v>16</v>
      </c>
      <c r="F4656" t="s">
        <v>16</v>
      </c>
      <c r="H4656">
        <v>-0.4</v>
      </c>
      <c r="I4656">
        <v>17.81</v>
      </c>
      <c r="J4656">
        <v>-2.67</v>
      </c>
      <c r="L4656">
        <v>-1.35</v>
      </c>
      <c r="M4656">
        <v>4455.7</v>
      </c>
      <c r="N4656">
        <v>0.03</v>
      </c>
      <c r="O4656">
        <v>1.16</v>
      </c>
    </row>
    <row r="4657" spans="1:15">
      <c r="A4657" t="str">
        <f>"688073"</f>
        <v>688073</v>
      </c>
      <c r="B4657" t="s">
        <v>4702</v>
      </c>
      <c r="C4657">
        <v>1.68</v>
      </c>
      <c r="D4657">
        <v>45.38</v>
      </c>
      <c r="E4657" t="s">
        <v>16</v>
      </c>
      <c r="F4657" t="s">
        <v>16</v>
      </c>
      <c r="H4657">
        <v>-0.12</v>
      </c>
      <c r="I4657">
        <v>-3.63</v>
      </c>
      <c r="J4657">
        <v>-2.62</v>
      </c>
      <c r="L4657">
        <v>-0.07</v>
      </c>
      <c r="M4657">
        <v>43.7</v>
      </c>
      <c r="N4657">
        <v>0.03</v>
      </c>
      <c r="O4657">
        <v>24.5</v>
      </c>
    </row>
    <row r="4658" spans="1:15">
      <c r="A4658" t="str">
        <f>"688075"</f>
        <v>688075</v>
      </c>
      <c r="B4658" t="s">
        <v>4703</v>
      </c>
      <c r="C4658">
        <v>-2.39</v>
      </c>
      <c r="D4658">
        <v>30.16</v>
      </c>
      <c r="E4658" t="s">
        <v>16</v>
      </c>
      <c r="F4658" t="s">
        <v>16</v>
      </c>
      <c r="H4658">
        <v>-0.06</v>
      </c>
      <c r="I4658">
        <v>-6.63</v>
      </c>
      <c r="J4658">
        <v>-4.16</v>
      </c>
      <c r="L4658">
        <v>-0.52</v>
      </c>
      <c r="M4658">
        <v>0</v>
      </c>
      <c r="N4658">
        <v>0</v>
      </c>
      <c r="O4658" t="s">
        <v>16</v>
      </c>
    </row>
    <row r="4659" spans="1:15">
      <c r="A4659" t="str">
        <f>"688076"</f>
        <v>688076</v>
      </c>
      <c r="B4659" t="s">
        <v>4704</v>
      </c>
      <c r="C4659">
        <v>1.07</v>
      </c>
      <c r="D4659">
        <v>27.43</v>
      </c>
      <c r="E4659" t="s">
        <v>16</v>
      </c>
      <c r="F4659" t="s">
        <v>16</v>
      </c>
      <c r="H4659">
        <v>0.07</v>
      </c>
      <c r="I4659">
        <v>-3.25</v>
      </c>
      <c r="J4659">
        <v>-1.22</v>
      </c>
      <c r="L4659">
        <v>0</v>
      </c>
      <c r="M4659">
        <v>3</v>
      </c>
      <c r="N4659">
        <v>0</v>
      </c>
      <c r="O4659" t="s">
        <v>16</v>
      </c>
    </row>
    <row r="4660" spans="1:15">
      <c r="A4660" t="str">
        <f>"688077"</f>
        <v>688077</v>
      </c>
      <c r="B4660" t="s">
        <v>4705</v>
      </c>
      <c r="C4660">
        <v>3.47</v>
      </c>
      <c r="D4660">
        <v>30.69</v>
      </c>
      <c r="E4660" t="s">
        <v>16</v>
      </c>
      <c r="F4660" t="s">
        <v>16</v>
      </c>
      <c r="H4660">
        <v>-0.25</v>
      </c>
      <c r="I4660">
        <v>13.41</v>
      </c>
      <c r="J4660">
        <v>-2.42</v>
      </c>
      <c r="L4660">
        <v>-0.57</v>
      </c>
      <c r="M4660">
        <v>3.83</v>
      </c>
      <c r="N4660">
        <v>0</v>
      </c>
      <c r="O4660">
        <v>0.04</v>
      </c>
    </row>
    <row r="4661" spans="1:15">
      <c r="A4661" t="str">
        <f>"688078"</f>
        <v>688078</v>
      </c>
      <c r="B4661" t="s">
        <v>4706</v>
      </c>
      <c r="C4661">
        <v>-0.92</v>
      </c>
      <c r="D4661">
        <v>21.55</v>
      </c>
      <c r="E4661" t="s">
        <v>16</v>
      </c>
      <c r="F4661" t="s">
        <v>16</v>
      </c>
      <c r="H4661">
        <v>0.19</v>
      </c>
      <c r="I4661">
        <v>-4.73</v>
      </c>
      <c r="J4661">
        <v>-2.27</v>
      </c>
      <c r="L4661">
        <v>-1.01</v>
      </c>
      <c r="M4661">
        <v>15.15</v>
      </c>
      <c r="N4661">
        <v>0.02</v>
      </c>
      <c r="O4661">
        <v>0.72</v>
      </c>
    </row>
    <row r="4662" spans="1:15">
      <c r="A4662" t="str">
        <f>"688079"</f>
        <v>688079</v>
      </c>
      <c r="B4662" t="s">
        <v>4707</v>
      </c>
      <c r="C4662">
        <v>-7.45</v>
      </c>
      <c r="D4662">
        <v>29.56</v>
      </c>
      <c r="E4662" t="s">
        <v>16</v>
      </c>
      <c r="F4662" t="s">
        <v>16</v>
      </c>
      <c r="H4662">
        <v>0.17</v>
      </c>
      <c r="I4662">
        <v>-7.19</v>
      </c>
      <c r="J4662">
        <v>-8.48</v>
      </c>
      <c r="K4662" t="s">
        <v>54</v>
      </c>
      <c r="L4662">
        <v>1.13</v>
      </c>
      <c r="M4662">
        <v>4223.38</v>
      </c>
      <c r="N4662">
        <v>0.72</v>
      </c>
      <c r="O4662">
        <v>1.5</v>
      </c>
    </row>
    <row r="4663" spans="1:15">
      <c r="A4663" t="str">
        <f>"688080"</f>
        <v>688080</v>
      </c>
      <c r="B4663" t="s">
        <v>4708</v>
      </c>
      <c r="C4663">
        <v>0.31</v>
      </c>
      <c r="D4663">
        <v>41.9</v>
      </c>
      <c r="E4663" t="s">
        <v>16</v>
      </c>
      <c r="F4663" t="s">
        <v>16</v>
      </c>
      <c r="H4663">
        <v>-0.09</v>
      </c>
      <c r="I4663">
        <v>5.2</v>
      </c>
      <c r="J4663">
        <v>-0.73</v>
      </c>
      <c r="L4663">
        <v>-1.17</v>
      </c>
      <c r="M4663">
        <v>8.26</v>
      </c>
      <c r="N4663">
        <v>0</v>
      </c>
      <c r="O4663">
        <v>0.59</v>
      </c>
    </row>
    <row r="4664" spans="1:15">
      <c r="A4664" t="str">
        <f>"688081"</f>
        <v>688081</v>
      </c>
      <c r="B4664" t="s">
        <v>4709</v>
      </c>
      <c r="C4664">
        <v>3.63</v>
      </c>
      <c r="D4664">
        <v>49.33</v>
      </c>
      <c r="E4664" t="s">
        <v>16</v>
      </c>
      <c r="F4664" t="s">
        <v>16</v>
      </c>
      <c r="H4664">
        <v>0.24</v>
      </c>
      <c r="I4664">
        <v>-4.31</v>
      </c>
      <c r="J4664">
        <v>-2.51</v>
      </c>
      <c r="L4664">
        <v>-0.34</v>
      </c>
      <c r="M4664">
        <v>11.89</v>
      </c>
      <c r="N4664">
        <v>0</v>
      </c>
      <c r="O4664">
        <v>0.76</v>
      </c>
    </row>
    <row r="4665" spans="1:15">
      <c r="A4665" t="str">
        <f>"688082"</f>
        <v>688082</v>
      </c>
      <c r="B4665" t="s">
        <v>4710</v>
      </c>
      <c r="C4665">
        <v>4.86</v>
      </c>
      <c r="D4665">
        <v>378.75</v>
      </c>
      <c r="E4665" t="s">
        <v>16</v>
      </c>
      <c r="F4665" t="s">
        <v>16</v>
      </c>
      <c r="H4665">
        <v>1.3</v>
      </c>
      <c r="I4665">
        <v>40.02</v>
      </c>
      <c r="J4665">
        <v>-1.11</v>
      </c>
      <c r="K4665" t="s">
        <v>54</v>
      </c>
      <c r="L4665">
        <v>0.3</v>
      </c>
      <c r="M4665">
        <v>6913.08</v>
      </c>
      <c r="N4665">
        <v>0.15</v>
      </c>
      <c r="O4665">
        <v>2.26</v>
      </c>
    </row>
    <row r="4666" spans="1:15">
      <c r="A4666" t="str">
        <f>"688083"</f>
        <v>688083</v>
      </c>
      <c r="B4666" t="s">
        <v>4711</v>
      </c>
      <c r="C4666">
        <v>0.8</v>
      </c>
      <c r="D4666">
        <v>65.43</v>
      </c>
      <c r="E4666" t="s">
        <v>16</v>
      </c>
      <c r="F4666" t="s">
        <v>16</v>
      </c>
      <c r="H4666">
        <v>0.05</v>
      </c>
      <c r="I4666">
        <v>22.76</v>
      </c>
      <c r="J4666">
        <v>-1.25</v>
      </c>
      <c r="L4666">
        <v>-1.08</v>
      </c>
      <c r="M4666">
        <v>202.52</v>
      </c>
      <c r="N4666">
        <v>0.03</v>
      </c>
      <c r="O4666">
        <v>0.98</v>
      </c>
    </row>
    <row r="4667" spans="1:15">
      <c r="A4667" t="str">
        <f>"688084"</f>
        <v>688084</v>
      </c>
      <c r="B4667" t="s">
        <v>4712</v>
      </c>
      <c r="C4667">
        <v>0.66</v>
      </c>
      <c r="D4667">
        <v>51.51</v>
      </c>
      <c r="E4667" t="s">
        <v>16</v>
      </c>
      <c r="F4667" t="s">
        <v>16</v>
      </c>
      <c r="H4667">
        <v>0.08</v>
      </c>
      <c r="I4667">
        <v>2.28</v>
      </c>
      <c r="J4667">
        <v>-2.59</v>
      </c>
      <c r="L4667">
        <v>0.82</v>
      </c>
      <c r="M4667">
        <v>15.93</v>
      </c>
      <c r="N4667">
        <v>0.01</v>
      </c>
      <c r="O4667">
        <v>1.54</v>
      </c>
    </row>
    <row r="4668" spans="1:15">
      <c r="A4668" t="str">
        <f>"688085"</f>
        <v>688085</v>
      </c>
      <c r="B4668" t="s">
        <v>4713</v>
      </c>
      <c r="C4668">
        <v>0.25</v>
      </c>
      <c r="D4668">
        <v>12.12</v>
      </c>
      <c r="E4668" t="s">
        <v>16</v>
      </c>
      <c r="F4668" t="s">
        <v>16</v>
      </c>
      <c r="H4668">
        <v>-0.07</v>
      </c>
      <c r="I4668">
        <v>-4.64</v>
      </c>
      <c r="J4668">
        <v>-2.1</v>
      </c>
      <c r="L4668">
        <v>-0.5</v>
      </c>
      <c r="M4668">
        <v>5.01</v>
      </c>
      <c r="N4668">
        <v>0</v>
      </c>
      <c r="O4668">
        <v>2.45</v>
      </c>
    </row>
    <row r="4669" spans="1:15">
      <c r="A4669" t="str">
        <f>"688087"</f>
        <v>688087</v>
      </c>
      <c r="B4669" t="s">
        <v>4714</v>
      </c>
      <c r="C4669">
        <v>-0.41</v>
      </c>
      <c r="D4669">
        <v>38.61</v>
      </c>
      <c r="E4669" t="s">
        <v>16</v>
      </c>
      <c r="F4669" t="s">
        <v>16</v>
      </c>
      <c r="H4669">
        <v>0.31</v>
      </c>
      <c r="I4669">
        <v>4.29</v>
      </c>
      <c r="J4669">
        <v>-1.71</v>
      </c>
      <c r="L4669">
        <v>-1.7</v>
      </c>
      <c r="M4669">
        <v>23.73</v>
      </c>
      <c r="N4669">
        <v>0.01</v>
      </c>
      <c r="O4669">
        <v>0.37</v>
      </c>
    </row>
    <row r="4670" spans="1:15">
      <c r="A4670" t="str">
        <f>"688088"</f>
        <v>688088</v>
      </c>
      <c r="B4670" t="s">
        <v>4715</v>
      </c>
      <c r="C4670">
        <v>0.55</v>
      </c>
      <c r="D4670">
        <v>38.05</v>
      </c>
      <c r="E4670" t="s">
        <v>16</v>
      </c>
      <c r="F4670" t="s">
        <v>16</v>
      </c>
      <c r="H4670">
        <v>0.13</v>
      </c>
      <c r="I4670">
        <v>2.67</v>
      </c>
      <c r="J4670">
        <v>-0.83</v>
      </c>
      <c r="L4670">
        <v>-0.63</v>
      </c>
      <c r="M4670">
        <v>43.52</v>
      </c>
      <c r="N4670">
        <v>0</v>
      </c>
      <c r="O4670">
        <v>0.33</v>
      </c>
    </row>
    <row r="4671" spans="1:15">
      <c r="A4671" t="str">
        <f>"688089"</f>
        <v>688089</v>
      </c>
      <c r="B4671" t="s">
        <v>4716</v>
      </c>
      <c r="C4671">
        <v>-0.96</v>
      </c>
      <c r="D4671">
        <v>11.37</v>
      </c>
      <c r="E4671" t="s">
        <v>16</v>
      </c>
      <c r="F4671" t="s">
        <v>16</v>
      </c>
      <c r="H4671">
        <v>-0.08</v>
      </c>
      <c r="I4671">
        <v>-8.67</v>
      </c>
      <c r="J4671">
        <v>-2.24</v>
      </c>
      <c r="L4671">
        <v>-1.92</v>
      </c>
      <c r="M4671">
        <v>8.15</v>
      </c>
      <c r="N4671">
        <v>0.01</v>
      </c>
      <c r="O4671">
        <v>0.35</v>
      </c>
    </row>
    <row r="4672" spans="1:15">
      <c r="A4672" t="str">
        <f>"688090"</f>
        <v>688090</v>
      </c>
      <c r="B4672" t="s">
        <v>4717</v>
      </c>
      <c r="C4672">
        <v>5.7</v>
      </c>
      <c r="D4672">
        <v>129.35</v>
      </c>
      <c r="E4672" t="s">
        <v>16</v>
      </c>
      <c r="F4672" t="s">
        <v>16</v>
      </c>
      <c r="H4672">
        <v>-0.42</v>
      </c>
      <c r="I4672">
        <v>19.06</v>
      </c>
      <c r="J4672">
        <v>-1.63</v>
      </c>
      <c r="K4672" t="s">
        <v>57</v>
      </c>
      <c r="L4672">
        <v>0.41</v>
      </c>
      <c r="M4672">
        <v>622.34</v>
      </c>
      <c r="N4672">
        <v>0.06</v>
      </c>
      <c r="O4672">
        <v>0.54</v>
      </c>
    </row>
    <row r="4673" spans="1:15">
      <c r="A4673" t="str">
        <f>"688091"</f>
        <v>688091</v>
      </c>
      <c r="B4673" t="s">
        <v>4718</v>
      </c>
      <c r="C4673">
        <v>3.84</v>
      </c>
      <c r="D4673">
        <v>40.81</v>
      </c>
      <c r="E4673" t="s">
        <v>16</v>
      </c>
      <c r="F4673" t="s">
        <v>16</v>
      </c>
      <c r="H4673">
        <v>-0.09</v>
      </c>
      <c r="I4673">
        <v>-4.65</v>
      </c>
      <c r="J4673">
        <v>-1.78</v>
      </c>
      <c r="L4673">
        <v>-0.05</v>
      </c>
      <c r="M4673">
        <v>20.82</v>
      </c>
      <c r="N4673">
        <v>0</v>
      </c>
      <c r="O4673">
        <v>0.59</v>
      </c>
    </row>
    <row r="4674" spans="1:15">
      <c r="A4674" t="str">
        <f>"688092"</f>
        <v>688092</v>
      </c>
      <c r="B4674" t="s">
        <v>4719</v>
      </c>
      <c r="C4674">
        <v>-1.01</v>
      </c>
      <c r="D4674">
        <v>22.59</v>
      </c>
      <c r="E4674" t="s">
        <v>16</v>
      </c>
      <c r="F4674" t="s">
        <v>16</v>
      </c>
      <c r="H4674">
        <v>0.27</v>
      </c>
      <c r="I4674">
        <v>-15.27</v>
      </c>
      <c r="J4674">
        <v>-1.7</v>
      </c>
      <c r="L4674">
        <v>-0.53</v>
      </c>
      <c r="M4674">
        <v>5.45</v>
      </c>
      <c r="N4674">
        <v>0.01</v>
      </c>
      <c r="O4674">
        <v>0.71</v>
      </c>
    </row>
    <row r="4675" spans="1:15">
      <c r="A4675" t="str">
        <f>"688093"</f>
        <v>688093</v>
      </c>
      <c r="B4675" t="s">
        <v>4720</v>
      </c>
      <c r="C4675">
        <v>-0.5</v>
      </c>
      <c r="D4675">
        <v>29.82</v>
      </c>
      <c r="E4675" t="s">
        <v>16</v>
      </c>
      <c r="F4675" t="s">
        <v>16</v>
      </c>
      <c r="H4675">
        <v>-0.02</v>
      </c>
      <c r="I4675">
        <v>4.27</v>
      </c>
      <c r="J4675">
        <v>-1.91</v>
      </c>
      <c r="L4675">
        <v>0.3</v>
      </c>
      <c r="M4675">
        <v>16.13</v>
      </c>
      <c r="N4675">
        <v>0.01</v>
      </c>
      <c r="O4675">
        <v>0.62</v>
      </c>
    </row>
    <row r="4676" spans="1:15">
      <c r="A4676" t="str">
        <f>"688095"</f>
        <v>688095</v>
      </c>
      <c r="B4676" t="s">
        <v>4721</v>
      </c>
      <c r="C4676">
        <v>2.7</v>
      </c>
      <c r="D4676">
        <v>66.49</v>
      </c>
      <c r="E4676" t="s">
        <v>16</v>
      </c>
      <c r="F4676" t="s">
        <v>16</v>
      </c>
      <c r="H4676">
        <v>0.14</v>
      </c>
      <c r="I4676">
        <v>-6.85</v>
      </c>
      <c r="J4676">
        <v>-1.61</v>
      </c>
      <c r="L4676">
        <v>0.25</v>
      </c>
      <c r="M4676">
        <v>16.87</v>
      </c>
      <c r="N4676">
        <v>0</v>
      </c>
      <c r="O4676">
        <v>0.58</v>
      </c>
    </row>
    <row r="4677" spans="1:15">
      <c r="A4677" t="str">
        <f>"688096"</f>
        <v>688096</v>
      </c>
      <c r="B4677" t="s">
        <v>4722</v>
      </c>
      <c r="C4677">
        <v>6.56</v>
      </c>
      <c r="D4677">
        <v>14.29</v>
      </c>
      <c r="E4677" t="s">
        <v>16</v>
      </c>
      <c r="F4677" t="s">
        <v>16</v>
      </c>
      <c r="H4677">
        <v>-1.3</v>
      </c>
      <c r="I4677">
        <v>12.79</v>
      </c>
      <c r="J4677">
        <v>-2.66</v>
      </c>
      <c r="L4677">
        <v>-0.22</v>
      </c>
      <c r="M4677">
        <v>127.18</v>
      </c>
      <c r="N4677">
        <v>0.05</v>
      </c>
      <c r="O4677">
        <v>7.26</v>
      </c>
    </row>
    <row r="4678" spans="1:15">
      <c r="A4678" t="str">
        <f>"688097"</f>
        <v>688097</v>
      </c>
      <c r="B4678" t="s">
        <v>4723</v>
      </c>
      <c r="C4678">
        <v>1.63</v>
      </c>
      <c r="D4678">
        <v>70.98</v>
      </c>
      <c r="E4678" t="s">
        <v>16</v>
      </c>
      <c r="F4678" t="s">
        <v>16</v>
      </c>
      <c r="H4678">
        <v>-0.02</v>
      </c>
      <c r="I4678">
        <v>-1.2</v>
      </c>
      <c r="J4678">
        <v>-0.87</v>
      </c>
      <c r="L4678">
        <v>-0.19</v>
      </c>
      <c r="M4678">
        <v>333.37</v>
      </c>
      <c r="N4678">
        <v>0.03</v>
      </c>
      <c r="O4678">
        <v>0.97</v>
      </c>
    </row>
    <row r="4679" spans="1:15">
      <c r="A4679" t="str">
        <f>"688098"</f>
        <v>688098</v>
      </c>
      <c r="B4679" t="s">
        <v>4724</v>
      </c>
      <c r="C4679">
        <v>-1.16</v>
      </c>
      <c r="D4679">
        <v>8.5</v>
      </c>
      <c r="E4679" t="s">
        <v>16</v>
      </c>
      <c r="F4679" t="s">
        <v>16</v>
      </c>
      <c r="H4679">
        <v>-0.11</v>
      </c>
      <c r="I4679">
        <v>13.64</v>
      </c>
      <c r="J4679">
        <v>-2.19</v>
      </c>
      <c r="L4679">
        <v>-0.47</v>
      </c>
      <c r="M4679">
        <v>0.68</v>
      </c>
      <c r="N4679">
        <v>0</v>
      </c>
      <c r="O4679">
        <v>0.15</v>
      </c>
    </row>
    <row r="4680" spans="1:15">
      <c r="A4680" t="str">
        <f>"688099"</f>
        <v>688099</v>
      </c>
      <c r="B4680" t="s">
        <v>4725</v>
      </c>
      <c r="C4680">
        <v>0.09</v>
      </c>
      <c r="D4680">
        <v>96.76</v>
      </c>
      <c r="E4680" t="s">
        <v>16</v>
      </c>
      <c r="F4680" t="s">
        <v>16</v>
      </c>
      <c r="H4680">
        <v>-0.42</v>
      </c>
      <c r="I4680">
        <v>-2.33</v>
      </c>
      <c r="J4680">
        <v>-1.66</v>
      </c>
      <c r="L4680">
        <v>0.7</v>
      </c>
      <c r="M4680">
        <v>446.83</v>
      </c>
      <c r="N4680">
        <v>0.01</v>
      </c>
      <c r="O4680">
        <v>1.08</v>
      </c>
    </row>
    <row r="4681" spans="1:15">
      <c r="A4681" t="str">
        <f>"688100"</f>
        <v>688100</v>
      </c>
      <c r="B4681" t="s">
        <v>4726</v>
      </c>
      <c r="C4681">
        <v>-0.22</v>
      </c>
      <c r="D4681">
        <v>31.4</v>
      </c>
      <c r="E4681" t="s">
        <v>16</v>
      </c>
      <c r="F4681" t="s">
        <v>16</v>
      </c>
      <c r="H4681">
        <v>-0.21</v>
      </c>
      <c r="I4681">
        <v>-7.65</v>
      </c>
      <c r="J4681">
        <v>-1.04</v>
      </c>
      <c r="L4681">
        <v>-0.92</v>
      </c>
      <c r="M4681">
        <v>56.81</v>
      </c>
      <c r="N4681">
        <v>0.01</v>
      </c>
      <c r="O4681">
        <v>1.66</v>
      </c>
    </row>
    <row r="4682" spans="1:15">
      <c r="A4682" t="str">
        <f>"688101"</f>
        <v>688101</v>
      </c>
      <c r="B4682" t="s">
        <v>4727</v>
      </c>
      <c r="C4682">
        <v>-1.33</v>
      </c>
      <c r="D4682">
        <v>17.09</v>
      </c>
      <c r="E4682" t="s">
        <v>16</v>
      </c>
      <c r="F4682" t="s">
        <v>16</v>
      </c>
      <c r="H4682">
        <v>0.06</v>
      </c>
      <c r="I4682">
        <v>-0.81</v>
      </c>
      <c r="J4682">
        <v>-2.06</v>
      </c>
      <c r="L4682">
        <v>0.29</v>
      </c>
      <c r="M4682">
        <v>81.52</v>
      </c>
      <c r="N4682">
        <v>0.05</v>
      </c>
      <c r="O4682">
        <v>1.25</v>
      </c>
    </row>
    <row r="4683" spans="1:15">
      <c r="A4683" t="str">
        <f>"688102"</f>
        <v>688102</v>
      </c>
      <c r="B4683" t="s">
        <v>4728</v>
      </c>
      <c r="C4683">
        <v>9.4</v>
      </c>
      <c r="D4683">
        <v>45.75</v>
      </c>
      <c r="E4683" t="s">
        <v>16</v>
      </c>
      <c r="F4683" t="s">
        <v>16</v>
      </c>
      <c r="H4683">
        <v>-0.27</v>
      </c>
      <c r="I4683">
        <v>26.42</v>
      </c>
      <c r="J4683">
        <v>-1.15</v>
      </c>
      <c r="L4683">
        <v>-1.96</v>
      </c>
      <c r="M4683">
        <v>770.65</v>
      </c>
      <c r="N4683">
        <v>0.05</v>
      </c>
      <c r="O4683">
        <v>1.15</v>
      </c>
    </row>
    <row r="4684" spans="1:15">
      <c r="A4684" t="str">
        <f>"688103"</f>
        <v>688103</v>
      </c>
      <c r="B4684" t="s">
        <v>4729</v>
      </c>
      <c r="C4684">
        <v>0.95</v>
      </c>
      <c r="D4684">
        <v>64.64</v>
      </c>
      <c r="E4684" t="s">
        <v>16</v>
      </c>
      <c r="F4684" t="s">
        <v>16</v>
      </c>
      <c r="H4684">
        <v>0.06</v>
      </c>
      <c r="I4684">
        <v>4.34</v>
      </c>
      <c r="J4684">
        <v>-2.8</v>
      </c>
      <c r="L4684">
        <v>0</v>
      </c>
      <c r="M4684">
        <v>28.17</v>
      </c>
      <c r="N4684">
        <v>0.01</v>
      </c>
      <c r="O4684">
        <v>7.33</v>
      </c>
    </row>
    <row r="4685" spans="1:15">
      <c r="A4685" t="str">
        <f>"688105"</f>
        <v>688105</v>
      </c>
      <c r="B4685" t="s">
        <v>4730</v>
      </c>
      <c r="C4685">
        <v>13.17</v>
      </c>
      <c r="D4685">
        <v>15.72</v>
      </c>
      <c r="E4685" t="s">
        <v>16</v>
      </c>
      <c r="F4685" t="s">
        <v>16</v>
      </c>
      <c r="H4685">
        <v>0</v>
      </c>
      <c r="I4685">
        <v>18.2</v>
      </c>
      <c r="J4685">
        <v>-0.13</v>
      </c>
      <c r="L4685">
        <v>-0.22</v>
      </c>
      <c r="M4685">
        <v>5.28</v>
      </c>
      <c r="N4685">
        <v>0</v>
      </c>
      <c r="O4685">
        <v>0.48</v>
      </c>
    </row>
    <row r="4686" spans="1:15">
      <c r="A4686" t="str">
        <f>"688106"</f>
        <v>688106</v>
      </c>
      <c r="B4686" t="s">
        <v>4731</v>
      </c>
      <c r="C4686">
        <v>-2.89</v>
      </c>
      <c r="D4686">
        <v>30.27</v>
      </c>
      <c r="E4686" t="s">
        <v>16</v>
      </c>
      <c r="F4686" t="s">
        <v>16</v>
      </c>
      <c r="H4686">
        <v>-0.15</v>
      </c>
      <c r="I4686">
        <v>7.19</v>
      </c>
      <c r="J4686">
        <v>-2.26</v>
      </c>
      <c r="L4686">
        <v>-1.28</v>
      </c>
      <c r="M4686">
        <v>779.53</v>
      </c>
      <c r="N4686">
        <v>0.08</v>
      </c>
      <c r="O4686">
        <v>0.65</v>
      </c>
    </row>
    <row r="4687" spans="1:15">
      <c r="A4687" t="str">
        <f>"688107"</f>
        <v>688107</v>
      </c>
      <c r="B4687" t="s">
        <v>4732</v>
      </c>
      <c r="C4687">
        <v>1.13</v>
      </c>
      <c r="D4687">
        <v>43.8</v>
      </c>
      <c r="E4687" t="s">
        <v>16</v>
      </c>
      <c r="F4687" t="s">
        <v>16</v>
      </c>
      <c r="H4687">
        <v>-0.13</v>
      </c>
      <c r="I4687">
        <v>-1.48</v>
      </c>
      <c r="J4687">
        <v>-2.19</v>
      </c>
      <c r="L4687">
        <v>0.16</v>
      </c>
      <c r="M4687">
        <v>78.15</v>
      </c>
      <c r="N4687">
        <v>0.01</v>
      </c>
      <c r="O4687">
        <v>0.65</v>
      </c>
    </row>
    <row r="4688" spans="1:15">
      <c r="A4688" t="str">
        <f>"688108"</f>
        <v>688108</v>
      </c>
      <c r="B4688" t="s">
        <v>4733</v>
      </c>
      <c r="C4688">
        <v>1.05</v>
      </c>
      <c r="D4688">
        <v>20.16</v>
      </c>
      <c r="E4688" t="s">
        <v>16</v>
      </c>
      <c r="F4688" t="s">
        <v>16</v>
      </c>
      <c r="H4688">
        <v>0.15</v>
      </c>
      <c r="I4688">
        <v>0.4</v>
      </c>
      <c r="J4688">
        <v>-0.44</v>
      </c>
      <c r="L4688">
        <v>0.2</v>
      </c>
      <c r="M4688">
        <v>60.41</v>
      </c>
      <c r="N4688">
        <v>0.01</v>
      </c>
      <c r="O4688">
        <v>0.5</v>
      </c>
    </row>
    <row r="4689" spans="1:15">
      <c r="A4689" t="str">
        <f>"688109"</f>
        <v>688109</v>
      </c>
      <c r="B4689" t="s">
        <v>4734</v>
      </c>
      <c r="C4689">
        <v>2.84</v>
      </c>
      <c r="D4689">
        <v>82.79</v>
      </c>
      <c r="E4689" t="s">
        <v>16</v>
      </c>
      <c r="F4689" t="s">
        <v>16</v>
      </c>
      <c r="H4689">
        <v>-0.04</v>
      </c>
      <c r="I4689">
        <v>-5.06</v>
      </c>
      <c r="J4689">
        <v>-1.6</v>
      </c>
      <c r="L4689">
        <v>1.47</v>
      </c>
      <c r="M4689">
        <v>18.03</v>
      </c>
      <c r="N4689">
        <v>0.01</v>
      </c>
      <c r="O4689">
        <v>0.71</v>
      </c>
    </row>
    <row r="4690" spans="1:15">
      <c r="A4690" t="str">
        <f>"688110"</f>
        <v>688110</v>
      </c>
      <c r="B4690" t="s">
        <v>4735</v>
      </c>
      <c r="C4690">
        <v>0.99</v>
      </c>
      <c r="D4690">
        <v>154.42</v>
      </c>
      <c r="E4690" t="s">
        <v>16</v>
      </c>
      <c r="F4690" t="s">
        <v>16</v>
      </c>
      <c r="H4690">
        <v>-0.16</v>
      </c>
      <c r="I4690">
        <v>16.98</v>
      </c>
      <c r="J4690">
        <v>-4.68</v>
      </c>
      <c r="L4690">
        <v>4.64</v>
      </c>
      <c r="M4690">
        <v>5175.65</v>
      </c>
      <c r="N4690">
        <v>0.11</v>
      </c>
      <c r="O4690">
        <v>2.74</v>
      </c>
    </row>
    <row r="4691" spans="1:15">
      <c r="A4691" t="str">
        <f>"688111"</f>
        <v>688111</v>
      </c>
      <c r="B4691" t="s">
        <v>4736</v>
      </c>
      <c r="C4691">
        <v>0.96</v>
      </c>
      <c r="D4691">
        <v>217.36</v>
      </c>
      <c r="E4691" t="s">
        <v>16</v>
      </c>
      <c r="F4691" t="s">
        <v>16</v>
      </c>
      <c r="H4691">
        <v>-0.2</v>
      </c>
      <c r="I4691">
        <v>-8.54</v>
      </c>
      <c r="J4691">
        <v>-2.79</v>
      </c>
      <c r="L4691">
        <v>-0.6</v>
      </c>
      <c r="M4691">
        <v>253.29</v>
      </c>
      <c r="N4691">
        <v>0.01</v>
      </c>
      <c r="O4691">
        <v>0.47</v>
      </c>
    </row>
    <row r="4692" spans="1:15">
      <c r="A4692" t="str">
        <f>"688112"</f>
        <v>688112</v>
      </c>
      <c r="B4692" t="s">
        <v>4737</v>
      </c>
      <c r="C4692">
        <v>0.89</v>
      </c>
      <c r="D4692">
        <v>78.01</v>
      </c>
      <c r="E4692" t="s">
        <v>16</v>
      </c>
      <c r="F4692" t="s">
        <v>16</v>
      </c>
      <c r="H4692">
        <v>-0.44</v>
      </c>
      <c r="I4692">
        <v>9.73</v>
      </c>
      <c r="J4692">
        <v>-3.52</v>
      </c>
      <c r="L4692">
        <v>-0.16</v>
      </c>
      <c r="M4692">
        <v>173.89</v>
      </c>
      <c r="N4692">
        <v>0.05</v>
      </c>
      <c r="O4692">
        <v>0.98</v>
      </c>
    </row>
    <row r="4693" spans="1:15">
      <c r="A4693" t="str">
        <f>"688113"</f>
        <v>688113</v>
      </c>
      <c r="B4693" t="s">
        <v>4738</v>
      </c>
      <c r="C4693">
        <v>-0.26</v>
      </c>
      <c r="D4693">
        <v>38.62</v>
      </c>
      <c r="E4693" t="s">
        <v>16</v>
      </c>
      <c r="F4693" t="s">
        <v>16</v>
      </c>
      <c r="H4693">
        <v>0.29</v>
      </c>
      <c r="I4693">
        <v>-0.05</v>
      </c>
      <c r="J4693">
        <v>-0.85</v>
      </c>
      <c r="L4693">
        <v>-0.8</v>
      </c>
      <c r="M4693">
        <v>26</v>
      </c>
      <c r="N4693">
        <v>0.02</v>
      </c>
      <c r="O4693">
        <v>1.23</v>
      </c>
    </row>
    <row r="4694" spans="1:15">
      <c r="A4694" t="str">
        <f>"688114"</f>
        <v>688114</v>
      </c>
      <c r="B4694" t="s">
        <v>4739</v>
      </c>
      <c r="C4694">
        <v>1.75</v>
      </c>
      <c r="D4694">
        <v>49.9</v>
      </c>
      <c r="E4694" t="s">
        <v>16</v>
      </c>
      <c r="F4694" t="s">
        <v>16</v>
      </c>
      <c r="H4694">
        <v>0.16</v>
      </c>
      <c r="I4694">
        <v>4.26</v>
      </c>
      <c r="J4694">
        <v>-1.58</v>
      </c>
      <c r="L4694">
        <v>0</v>
      </c>
      <c r="M4694">
        <v>92.94</v>
      </c>
      <c r="N4694">
        <v>0.01</v>
      </c>
      <c r="O4694">
        <v>1.29</v>
      </c>
    </row>
    <row r="4695" spans="1:15">
      <c r="A4695" t="str">
        <f>"688115"</f>
        <v>688115</v>
      </c>
      <c r="B4695" t="s">
        <v>4740</v>
      </c>
      <c r="C4695">
        <v>0.87</v>
      </c>
      <c r="D4695">
        <v>58.96</v>
      </c>
      <c r="E4695" t="s">
        <v>16</v>
      </c>
      <c r="F4695" t="s">
        <v>16</v>
      </c>
      <c r="H4695">
        <v>0.39</v>
      </c>
      <c r="I4695">
        <v>6.01</v>
      </c>
      <c r="J4695">
        <v>-0.41</v>
      </c>
      <c r="L4695">
        <v>-0.17</v>
      </c>
      <c r="M4695">
        <v>18.7</v>
      </c>
      <c r="N4695">
        <v>0.01</v>
      </c>
      <c r="O4695">
        <v>2.91</v>
      </c>
    </row>
    <row r="4696" spans="1:15">
      <c r="A4696" t="str">
        <f>"688116"</f>
        <v>688116</v>
      </c>
      <c r="B4696" t="s">
        <v>4741</v>
      </c>
      <c r="C4696">
        <v>-1.09</v>
      </c>
      <c r="D4696">
        <v>41.69</v>
      </c>
      <c r="E4696" t="s">
        <v>16</v>
      </c>
      <c r="F4696" t="s">
        <v>16</v>
      </c>
      <c r="H4696">
        <v>-0.32</v>
      </c>
      <c r="I4696">
        <v>9.02</v>
      </c>
      <c r="J4696">
        <v>-2.59</v>
      </c>
      <c r="L4696">
        <v>-0.36</v>
      </c>
      <c r="M4696">
        <v>83.62</v>
      </c>
      <c r="N4696">
        <v>0.01</v>
      </c>
      <c r="O4696">
        <v>0.55</v>
      </c>
    </row>
    <row r="4697" spans="1:15">
      <c r="A4697" t="str">
        <f>"688117"</f>
        <v>688117</v>
      </c>
      <c r="B4697" t="s">
        <v>4742</v>
      </c>
      <c r="C4697">
        <v>2.6</v>
      </c>
      <c r="D4697">
        <v>23.72</v>
      </c>
      <c r="E4697" t="s">
        <v>16</v>
      </c>
      <c r="F4697" t="s">
        <v>16</v>
      </c>
      <c r="H4697">
        <v>-0.16</v>
      </c>
      <c r="I4697">
        <v>3.31</v>
      </c>
      <c r="J4697">
        <v>-1.66</v>
      </c>
      <c r="L4697">
        <v>-0.09</v>
      </c>
      <c r="M4697">
        <v>4.39</v>
      </c>
      <c r="N4697">
        <v>0</v>
      </c>
      <c r="O4697">
        <v>0.18</v>
      </c>
    </row>
    <row r="4698" spans="1:15">
      <c r="A4698" t="str">
        <f>"688118"</f>
        <v>688118</v>
      </c>
      <c r="B4698" t="s">
        <v>4743</v>
      </c>
      <c r="C4698">
        <v>-0.09</v>
      </c>
      <c r="D4698">
        <v>21.91</v>
      </c>
      <c r="E4698" t="s">
        <v>16</v>
      </c>
      <c r="F4698" t="s">
        <v>16</v>
      </c>
      <c r="H4698">
        <v>-0.13</v>
      </c>
      <c r="I4698">
        <v>-1.31</v>
      </c>
      <c r="J4698">
        <v>-2.41</v>
      </c>
      <c r="L4698">
        <v>-2.83</v>
      </c>
      <c r="M4698">
        <v>21.33</v>
      </c>
      <c r="N4698">
        <v>0.01</v>
      </c>
      <c r="O4698">
        <v>1.03</v>
      </c>
    </row>
    <row r="4699" spans="1:15">
      <c r="A4699" t="str">
        <f>"688119"</f>
        <v>688119</v>
      </c>
      <c r="B4699" t="s">
        <v>4744</v>
      </c>
      <c r="C4699">
        <v>4.34</v>
      </c>
      <c r="D4699">
        <v>4.81</v>
      </c>
      <c r="E4699" t="s">
        <v>16</v>
      </c>
      <c r="F4699" t="s">
        <v>16</v>
      </c>
      <c r="H4699">
        <v>1.91</v>
      </c>
      <c r="I4699">
        <v>8.58</v>
      </c>
      <c r="J4699">
        <v>-3.99</v>
      </c>
      <c r="L4699">
        <v>0.65</v>
      </c>
      <c r="M4699">
        <v>23.55</v>
      </c>
      <c r="N4699">
        <v>0.01</v>
      </c>
      <c r="O4699">
        <v>2.49</v>
      </c>
    </row>
    <row r="4700" spans="1:15">
      <c r="A4700" t="str">
        <f>"688120"</f>
        <v>688120</v>
      </c>
      <c r="B4700" t="s">
        <v>4745</v>
      </c>
      <c r="C4700">
        <v>2.05</v>
      </c>
      <c r="D4700">
        <v>226.86</v>
      </c>
      <c r="E4700" t="s">
        <v>16</v>
      </c>
      <c r="F4700" t="s">
        <v>16</v>
      </c>
      <c r="H4700">
        <v>-0.4</v>
      </c>
      <c r="I4700">
        <v>24.71</v>
      </c>
      <c r="J4700">
        <v>-2.35</v>
      </c>
      <c r="L4700">
        <v>1.24</v>
      </c>
      <c r="M4700">
        <v>3944.47</v>
      </c>
      <c r="N4700">
        <v>0.05</v>
      </c>
      <c r="O4700">
        <v>1.57</v>
      </c>
    </row>
    <row r="4701" spans="1:15">
      <c r="A4701" t="str">
        <f>"688121"</f>
        <v>688121</v>
      </c>
      <c r="B4701" t="s">
        <v>4746</v>
      </c>
      <c r="C4701">
        <v>0</v>
      </c>
      <c r="D4701">
        <v>6.48</v>
      </c>
      <c r="E4701" t="s">
        <v>16</v>
      </c>
      <c r="F4701" t="s">
        <v>16</v>
      </c>
      <c r="H4701">
        <v>0</v>
      </c>
      <c r="I4701">
        <v>0</v>
      </c>
      <c r="J4701" t="s">
        <v>16</v>
      </c>
      <c r="L4701" t="s">
        <v>16</v>
      </c>
      <c r="M4701">
        <v>0</v>
      </c>
      <c r="N4701" t="s">
        <v>16</v>
      </c>
      <c r="O4701" t="s">
        <v>16</v>
      </c>
    </row>
    <row r="4702" spans="1:15">
      <c r="A4702" t="str">
        <f>"688122"</f>
        <v>688122</v>
      </c>
      <c r="B4702" t="s">
        <v>4747</v>
      </c>
      <c r="C4702">
        <v>2.9</v>
      </c>
      <c r="D4702">
        <v>60.3</v>
      </c>
      <c r="E4702" t="s">
        <v>16</v>
      </c>
      <c r="F4702" t="s">
        <v>16</v>
      </c>
      <c r="H4702">
        <v>0.22</v>
      </c>
      <c r="I4702">
        <v>-4.3</v>
      </c>
      <c r="J4702">
        <v>-1.44</v>
      </c>
      <c r="L4702">
        <v>0</v>
      </c>
      <c r="M4702">
        <v>293.75</v>
      </c>
      <c r="N4702">
        <v>0.01</v>
      </c>
      <c r="O4702">
        <v>1.54</v>
      </c>
    </row>
    <row r="4703" spans="1:15">
      <c r="A4703" t="str">
        <f>"688123"</f>
        <v>688123</v>
      </c>
      <c r="B4703" t="s">
        <v>4748</v>
      </c>
      <c r="C4703">
        <v>-0.14</v>
      </c>
      <c r="D4703">
        <v>138.91</v>
      </c>
      <c r="E4703" t="s">
        <v>16</v>
      </c>
      <c r="F4703" t="s">
        <v>16</v>
      </c>
      <c r="H4703">
        <v>-0.04</v>
      </c>
      <c r="I4703">
        <v>0.95</v>
      </c>
      <c r="J4703">
        <v>-2.09</v>
      </c>
      <c r="L4703">
        <v>-0.8</v>
      </c>
      <c r="M4703">
        <v>727.63</v>
      </c>
      <c r="N4703">
        <v>0.04</v>
      </c>
      <c r="O4703">
        <v>1.03</v>
      </c>
    </row>
    <row r="4704" spans="1:15">
      <c r="A4704" t="str">
        <f>"688125"</f>
        <v>688125</v>
      </c>
      <c r="B4704" t="s">
        <v>4749</v>
      </c>
      <c r="C4704">
        <v>-5.45</v>
      </c>
      <c r="D4704">
        <v>190.55</v>
      </c>
      <c r="E4704" t="s">
        <v>16</v>
      </c>
      <c r="F4704" t="s">
        <v>16</v>
      </c>
      <c r="H4704">
        <v>0.25</v>
      </c>
      <c r="I4704">
        <v>5.51</v>
      </c>
      <c r="J4704">
        <v>-7.95</v>
      </c>
      <c r="L4704">
        <v>0.42</v>
      </c>
      <c r="M4704">
        <v>13.56</v>
      </c>
      <c r="N4704">
        <v>0</v>
      </c>
      <c r="O4704">
        <v>0.12</v>
      </c>
    </row>
    <row r="4705" spans="1:15">
      <c r="A4705" t="str">
        <f>"688126"</f>
        <v>688126</v>
      </c>
      <c r="B4705" t="s">
        <v>4750</v>
      </c>
      <c r="C4705">
        <v>-0.62</v>
      </c>
      <c r="D4705">
        <v>32.2</v>
      </c>
      <c r="E4705" t="s">
        <v>16</v>
      </c>
      <c r="F4705" t="s">
        <v>16</v>
      </c>
      <c r="H4705">
        <v>0</v>
      </c>
      <c r="I4705">
        <v>11.61</v>
      </c>
      <c r="J4705">
        <v>-2.72</v>
      </c>
      <c r="L4705">
        <v>-0.93</v>
      </c>
      <c r="M4705">
        <v>4672.16</v>
      </c>
      <c r="N4705">
        <v>0.09</v>
      </c>
      <c r="O4705">
        <v>0.77</v>
      </c>
    </row>
    <row r="4706" spans="1:15">
      <c r="A4706" t="str">
        <f>"688127"</f>
        <v>688127</v>
      </c>
      <c r="B4706" t="s">
        <v>4751</v>
      </c>
      <c r="C4706">
        <v>2.56</v>
      </c>
      <c r="D4706">
        <v>89.48</v>
      </c>
      <c r="E4706" t="s">
        <v>16</v>
      </c>
      <c r="F4706" t="s">
        <v>16</v>
      </c>
      <c r="H4706">
        <v>0.11</v>
      </c>
      <c r="I4706">
        <v>4.59</v>
      </c>
      <c r="J4706">
        <v>-1.07</v>
      </c>
      <c r="L4706">
        <v>-0.37</v>
      </c>
      <c r="M4706">
        <v>1039.59</v>
      </c>
      <c r="N4706">
        <v>0.06</v>
      </c>
      <c r="O4706">
        <v>2.84</v>
      </c>
    </row>
    <row r="4707" spans="1:15">
      <c r="A4707" t="str">
        <f>"688128"</f>
        <v>688128</v>
      </c>
      <c r="B4707" t="s">
        <v>4752</v>
      </c>
      <c r="C4707">
        <v>0.6</v>
      </c>
      <c r="D4707">
        <v>26.77</v>
      </c>
      <c r="E4707" t="s">
        <v>16</v>
      </c>
      <c r="F4707" t="s">
        <v>16</v>
      </c>
      <c r="H4707">
        <v>-0.33</v>
      </c>
      <c r="I4707">
        <v>-2.94</v>
      </c>
      <c r="J4707">
        <v>-0.74</v>
      </c>
      <c r="L4707">
        <v>-0.64</v>
      </c>
      <c r="M4707">
        <v>41.44</v>
      </c>
      <c r="N4707">
        <v>0.02</v>
      </c>
      <c r="O4707">
        <v>1.49</v>
      </c>
    </row>
    <row r="4708" spans="1:15">
      <c r="A4708" t="str">
        <f>"688129"</f>
        <v>688129</v>
      </c>
      <c r="B4708" t="s">
        <v>4753</v>
      </c>
      <c r="C4708">
        <v>1.33</v>
      </c>
      <c r="D4708">
        <v>25.88</v>
      </c>
      <c r="E4708" t="s">
        <v>16</v>
      </c>
      <c r="F4708" t="s">
        <v>16</v>
      </c>
      <c r="H4708">
        <v>0</v>
      </c>
      <c r="I4708">
        <v>-0.88</v>
      </c>
      <c r="J4708">
        <v>-2.82</v>
      </c>
      <c r="L4708">
        <v>0.08</v>
      </c>
      <c r="M4708">
        <v>134.38</v>
      </c>
      <c r="N4708">
        <v>0.13</v>
      </c>
      <c r="O4708">
        <v>3.89</v>
      </c>
    </row>
    <row r="4709" spans="1:15">
      <c r="A4709" t="str">
        <f>"688130"</f>
        <v>688130</v>
      </c>
      <c r="B4709" t="s">
        <v>4754</v>
      </c>
      <c r="C4709">
        <v>1.21</v>
      </c>
      <c r="D4709">
        <v>27.7</v>
      </c>
      <c r="E4709" t="s">
        <v>16</v>
      </c>
      <c r="F4709" t="s">
        <v>16</v>
      </c>
      <c r="H4709">
        <v>0.14</v>
      </c>
      <c r="I4709">
        <v>13.25</v>
      </c>
      <c r="J4709">
        <v>-0.72</v>
      </c>
      <c r="L4709">
        <v>-1.35</v>
      </c>
      <c r="M4709">
        <v>39.92</v>
      </c>
      <c r="N4709">
        <v>0.04</v>
      </c>
      <c r="O4709">
        <v>1.02</v>
      </c>
    </row>
    <row r="4710" spans="1:15">
      <c r="A4710" t="str">
        <f>"688131"</f>
        <v>688131</v>
      </c>
      <c r="B4710" t="s">
        <v>4755</v>
      </c>
      <c r="C4710">
        <v>15.08</v>
      </c>
      <c r="D4710">
        <v>86.37</v>
      </c>
      <c r="E4710" t="s">
        <v>16</v>
      </c>
      <c r="F4710" t="s">
        <v>16</v>
      </c>
      <c r="H4710">
        <v>-0.02</v>
      </c>
      <c r="I4710">
        <v>13.11</v>
      </c>
      <c r="J4710">
        <v>-4.1</v>
      </c>
      <c r="L4710">
        <v>0.2</v>
      </c>
      <c r="M4710">
        <v>57.22</v>
      </c>
      <c r="N4710">
        <v>0.01</v>
      </c>
      <c r="O4710">
        <v>1.21</v>
      </c>
    </row>
    <row r="4711" spans="1:15">
      <c r="A4711" t="str">
        <f>"688132"</f>
        <v>688132</v>
      </c>
      <c r="B4711" t="s">
        <v>4756</v>
      </c>
      <c r="C4711">
        <v>-1.19</v>
      </c>
      <c r="D4711">
        <v>14.13</v>
      </c>
      <c r="E4711" t="s">
        <v>16</v>
      </c>
      <c r="F4711" t="s">
        <v>16</v>
      </c>
      <c r="H4711">
        <v>0</v>
      </c>
      <c r="I4711">
        <v>0.64</v>
      </c>
      <c r="J4711">
        <v>-2.82</v>
      </c>
      <c r="L4711">
        <v>-0.56</v>
      </c>
      <c r="M4711">
        <v>14.12</v>
      </c>
      <c r="N4711">
        <v>0.01</v>
      </c>
      <c r="O4711">
        <v>3.82</v>
      </c>
    </row>
    <row r="4712" spans="1:15">
      <c r="A4712" t="str">
        <f>"688133"</f>
        <v>688133</v>
      </c>
      <c r="B4712" t="s">
        <v>4757</v>
      </c>
      <c r="C4712">
        <v>2.1</v>
      </c>
      <c r="D4712">
        <v>20.46</v>
      </c>
      <c r="E4712" t="s">
        <v>16</v>
      </c>
      <c r="F4712" t="s">
        <v>16</v>
      </c>
      <c r="H4712">
        <v>0.05</v>
      </c>
      <c r="I4712">
        <v>1.84</v>
      </c>
      <c r="J4712">
        <v>-1.54</v>
      </c>
      <c r="L4712">
        <v>-0.4</v>
      </c>
      <c r="M4712">
        <v>52.19</v>
      </c>
      <c r="N4712">
        <v>0.02</v>
      </c>
      <c r="O4712">
        <v>0.61</v>
      </c>
    </row>
    <row r="4713" spans="1:15">
      <c r="A4713" t="str">
        <f>"688135"</f>
        <v>688135</v>
      </c>
      <c r="B4713" t="s">
        <v>4758</v>
      </c>
      <c r="C4713">
        <v>3.54</v>
      </c>
      <c r="D4713">
        <v>39.5</v>
      </c>
      <c r="E4713" t="s">
        <v>16</v>
      </c>
      <c r="F4713" t="s">
        <v>16</v>
      </c>
      <c r="H4713">
        <v>0.18</v>
      </c>
      <c r="I4713">
        <v>8.94</v>
      </c>
      <c r="J4713">
        <v>-4.31</v>
      </c>
      <c r="L4713">
        <v>-1.1</v>
      </c>
      <c r="M4713">
        <v>215.85</v>
      </c>
      <c r="N4713">
        <v>0.03</v>
      </c>
      <c r="O4713">
        <v>1.69</v>
      </c>
    </row>
    <row r="4714" spans="1:15">
      <c r="A4714" t="str">
        <f>"688136"</f>
        <v>688136</v>
      </c>
      <c r="B4714" t="s">
        <v>4759</v>
      </c>
      <c r="C4714">
        <v>0.94</v>
      </c>
      <c r="D4714">
        <v>18.29</v>
      </c>
      <c r="E4714" t="s">
        <v>16</v>
      </c>
      <c r="F4714" t="s">
        <v>16</v>
      </c>
      <c r="H4714">
        <v>0.49</v>
      </c>
      <c r="I4714">
        <v>-5.72</v>
      </c>
      <c r="J4714">
        <v>-4.24</v>
      </c>
      <c r="L4714">
        <v>0.55</v>
      </c>
      <c r="M4714">
        <v>42.09</v>
      </c>
      <c r="N4714">
        <v>0.02</v>
      </c>
      <c r="O4714">
        <v>2.29</v>
      </c>
    </row>
    <row r="4715" spans="1:15">
      <c r="A4715" t="str">
        <f>"688137"</f>
        <v>688137</v>
      </c>
      <c r="B4715" t="s">
        <v>4760</v>
      </c>
      <c r="C4715">
        <v>3.36</v>
      </c>
      <c r="D4715">
        <v>35.98</v>
      </c>
      <c r="E4715" t="s">
        <v>16</v>
      </c>
      <c r="F4715" t="s">
        <v>16</v>
      </c>
      <c r="H4715">
        <v>0</v>
      </c>
      <c r="I4715">
        <v>-8.07</v>
      </c>
      <c r="J4715">
        <v>-1.4</v>
      </c>
      <c r="L4715">
        <v>0.63</v>
      </c>
      <c r="M4715">
        <v>33.83</v>
      </c>
      <c r="N4715">
        <v>0.04</v>
      </c>
      <c r="O4715">
        <v>1.4</v>
      </c>
    </row>
    <row r="4716" spans="1:15">
      <c r="A4716" t="str">
        <f>"688138"</f>
        <v>688138</v>
      </c>
      <c r="B4716" t="s">
        <v>4761</v>
      </c>
      <c r="C4716">
        <v>-4.08</v>
      </c>
      <c r="D4716">
        <v>39.26</v>
      </c>
      <c r="E4716" t="s">
        <v>16</v>
      </c>
      <c r="F4716" t="s">
        <v>16</v>
      </c>
      <c r="H4716">
        <v>-0.09</v>
      </c>
      <c r="I4716">
        <v>24.87</v>
      </c>
      <c r="J4716">
        <v>-3.32</v>
      </c>
      <c r="L4716">
        <v>-0.98</v>
      </c>
      <c r="M4716">
        <v>602.11</v>
      </c>
      <c r="N4716">
        <v>0.12</v>
      </c>
      <c r="O4716">
        <v>1.95</v>
      </c>
    </row>
    <row r="4717" spans="1:15">
      <c r="A4717" t="str">
        <f>"688139"</f>
        <v>688139</v>
      </c>
      <c r="B4717" t="s">
        <v>4762</v>
      </c>
      <c r="C4717">
        <v>0</v>
      </c>
      <c r="D4717">
        <v>26.67</v>
      </c>
      <c r="E4717" t="s">
        <v>16</v>
      </c>
      <c r="F4717" t="s">
        <v>16</v>
      </c>
      <c r="H4717">
        <v>-0.33</v>
      </c>
      <c r="I4717">
        <v>-8.13</v>
      </c>
      <c r="J4717">
        <v>-1.91</v>
      </c>
      <c r="L4717">
        <v>0.04</v>
      </c>
      <c r="M4717">
        <v>15.63</v>
      </c>
      <c r="N4717">
        <v>0</v>
      </c>
      <c r="O4717">
        <v>0.41</v>
      </c>
    </row>
    <row r="4718" spans="1:15">
      <c r="A4718" t="str">
        <f>"688141"</f>
        <v>688141</v>
      </c>
      <c r="B4718" t="s">
        <v>4763</v>
      </c>
      <c r="C4718">
        <v>5.56</v>
      </c>
      <c r="D4718">
        <v>142.93</v>
      </c>
      <c r="E4718" t="s">
        <v>16</v>
      </c>
      <c r="F4718" t="s">
        <v>16</v>
      </c>
      <c r="H4718">
        <v>0.2</v>
      </c>
      <c r="I4718">
        <v>46.44</v>
      </c>
      <c r="J4718">
        <v>-3.58</v>
      </c>
      <c r="L4718">
        <v>1.92</v>
      </c>
      <c r="M4718">
        <v>737.46</v>
      </c>
      <c r="N4718">
        <v>0.02</v>
      </c>
      <c r="O4718">
        <v>0.92</v>
      </c>
    </row>
    <row r="4719" spans="1:15">
      <c r="A4719" t="str">
        <f>"688143"</f>
        <v>688143</v>
      </c>
      <c r="B4719" t="s">
        <v>4764</v>
      </c>
      <c r="C4719">
        <v>0</v>
      </c>
      <c r="D4719">
        <v>218</v>
      </c>
      <c r="E4719" t="s">
        <v>16</v>
      </c>
      <c r="F4719" t="s">
        <v>16</v>
      </c>
      <c r="H4719">
        <v>0</v>
      </c>
      <c r="I4719">
        <v>23.3</v>
      </c>
      <c r="J4719" t="s">
        <v>16</v>
      </c>
      <c r="L4719" t="s">
        <v>16</v>
      </c>
      <c r="M4719">
        <v>0</v>
      </c>
      <c r="N4719" t="s">
        <v>16</v>
      </c>
      <c r="O4719" t="s">
        <v>16</v>
      </c>
    </row>
    <row r="4720" spans="1:15">
      <c r="A4720" t="str">
        <f>"688146"</f>
        <v>688146</v>
      </c>
      <c r="B4720" t="s">
        <v>4765</v>
      </c>
      <c r="C4720">
        <v>7.15</v>
      </c>
      <c r="D4720">
        <v>364</v>
      </c>
      <c r="E4720" t="s">
        <v>16</v>
      </c>
      <c r="F4720" t="s">
        <v>16</v>
      </c>
      <c r="H4720">
        <v>-0.23</v>
      </c>
      <c r="I4720">
        <v>66.22</v>
      </c>
      <c r="J4720">
        <v>-0.27</v>
      </c>
      <c r="L4720">
        <v>-2.27</v>
      </c>
      <c r="M4720">
        <v>8328.72</v>
      </c>
      <c r="N4720">
        <v>0.17</v>
      </c>
      <c r="O4720">
        <v>0.58</v>
      </c>
    </row>
    <row r="4721" spans="1:15">
      <c r="A4721" t="str">
        <f>"688147"</f>
        <v>688147</v>
      </c>
      <c r="B4721" t="s">
        <v>4766</v>
      </c>
      <c r="C4721">
        <v>-2.69</v>
      </c>
      <c r="D4721">
        <v>112.95</v>
      </c>
      <c r="E4721" t="s">
        <v>16</v>
      </c>
      <c r="F4721" t="s">
        <v>16</v>
      </c>
      <c r="H4721">
        <v>0.15</v>
      </c>
      <c r="I4721">
        <v>25.77</v>
      </c>
      <c r="J4721">
        <v>-2.08</v>
      </c>
      <c r="L4721">
        <v>-0.92</v>
      </c>
      <c r="M4721">
        <v>741.08</v>
      </c>
      <c r="N4721">
        <v>0.04</v>
      </c>
      <c r="O4721">
        <v>0.64</v>
      </c>
    </row>
    <row r="4722" spans="1:15">
      <c r="A4722" t="str">
        <f>"688148"</f>
        <v>688148</v>
      </c>
      <c r="B4722" t="s">
        <v>4767</v>
      </c>
      <c r="C4722">
        <v>0.11</v>
      </c>
      <c r="D4722">
        <v>9.07</v>
      </c>
      <c r="E4722" t="s">
        <v>16</v>
      </c>
      <c r="F4722" t="s">
        <v>16</v>
      </c>
      <c r="H4722">
        <v>0</v>
      </c>
      <c r="I4722">
        <v>13.38</v>
      </c>
      <c r="J4722">
        <v>-2.26</v>
      </c>
      <c r="L4722">
        <v>-0.99</v>
      </c>
      <c r="M4722">
        <v>35.82</v>
      </c>
      <c r="N4722">
        <v>0.01</v>
      </c>
      <c r="O4722">
        <v>0.41</v>
      </c>
    </row>
    <row r="4723" spans="1:15">
      <c r="A4723" t="str">
        <f>"688150"</f>
        <v>688150</v>
      </c>
      <c r="B4723" t="s">
        <v>4768</v>
      </c>
      <c r="C4723">
        <v>4.42</v>
      </c>
      <c r="D4723">
        <v>57.83</v>
      </c>
      <c r="E4723" t="s">
        <v>16</v>
      </c>
      <c r="F4723" t="s">
        <v>16</v>
      </c>
      <c r="H4723">
        <v>0.05</v>
      </c>
      <c r="I4723">
        <v>11.43</v>
      </c>
      <c r="J4723">
        <v>-1.82</v>
      </c>
      <c r="L4723">
        <v>-0.02</v>
      </c>
      <c r="M4723">
        <v>155.06</v>
      </c>
      <c r="N4723">
        <v>0.02</v>
      </c>
      <c r="O4723">
        <v>2.69</v>
      </c>
    </row>
    <row r="4724" spans="1:15">
      <c r="A4724" t="str">
        <f>"688151"</f>
        <v>688151</v>
      </c>
      <c r="B4724" t="s">
        <v>4769</v>
      </c>
      <c r="C4724">
        <v>0.13</v>
      </c>
      <c r="D4724">
        <v>16</v>
      </c>
      <c r="E4724" t="s">
        <v>16</v>
      </c>
      <c r="F4724" t="s">
        <v>16</v>
      </c>
      <c r="H4724">
        <v>-0.11</v>
      </c>
      <c r="I4724">
        <v>-4.19</v>
      </c>
      <c r="J4724">
        <v>-1.42</v>
      </c>
      <c r="L4724">
        <v>0.44</v>
      </c>
      <c r="M4724">
        <v>21.33</v>
      </c>
      <c r="N4724">
        <v>0.01</v>
      </c>
      <c r="O4724">
        <v>1.6</v>
      </c>
    </row>
    <row r="4725" spans="1:15">
      <c r="A4725" t="str">
        <f>"688152"</f>
        <v>688152</v>
      </c>
      <c r="B4725" t="s">
        <v>4770</v>
      </c>
      <c r="C4725">
        <v>1.15</v>
      </c>
      <c r="D4725">
        <v>30.83</v>
      </c>
      <c r="E4725" t="s">
        <v>16</v>
      </c>
      <c r="F4725" t="s">
        <v>16</v>
      </c>
      <c r="H4725">
        <v>-0.25</v>
      </c>
      <c r="I4725">
        <v>-1.47</v>
      </c>
      <c r="J4725">
        <v>-2.84</v>
      </c>
      <c r="L4725">
        <v>-0.1</v>
      </c>
      <c r="M4725">
        <v>9.14</v>
      </c>
      <c r="N4725">
        <v>0.01</v>
      </c>
      <c r="O4725">
        <v>0.3</v>
      </c>
    </row>
    <row r="4726" spans="1:15">
      <c r="A4726" t="str">
        <f>"688153"</f>
        <v>688153</v>
      </c>
      <c r="B4726" t="s">
        <v>4771</v>
      </c>
      <c r="C4726">
        <v>1.3</v>
      </c>
      <c r="D4726">
        <v>32.01</v>
      </c>
      <c r="E4726" t="s">
        <v>16</v>
      </c>
      <c r="F4726" t="s">
        <v>16</v>
      </c>
      <c r="H4726">
        <v>0.22</v>
      </c>
      <c r="I4726">
        <v>9.36</v>
      </c>
      <c r="J4726">
        <v>-0.71</v>
      </c>
      <c r="L4726">
        <v>-1.17</v>
      </c>
      <c r="M4726">
        <v>34.45</v>
      </c>
      <c r="N4726">
        <v>0.01</v>
      </c>
      <c r="O4726">
        <v>0.42</v>
      </c>
    </row>
    <row r="4727" spans="1:15">
      <c r="A4727" t="str">
        <f>"688155"</f>
        <v>688155</v>
      </c>
      <c r="B4727" t="s">
        <v>4772</v>
      </c>
      <c r="C4727">
        <v>-0.44</v>
      </c>
      <c r="D4727">
        <v>83.4</v>
      </c>
      <c r="E4727" t="s">
        <v>16</v>
      </c>
      <c r="F4727" t="s">
        <v>16</v>
      </c>
      <c r="H4727">
        <v>-0.06</v>
      </c>
      <c r="I4727">
        <v>3.63</v>
      </c>
      <c r="J4727">
        <v>-1.26</v>
      </c>
      <c r="L4727">
        <v>0.73</v>
      </c>
      <c r="M4727">
        <v>67.19</v>
      </c>
      <c r="N4727">
        <v>0.01</v>
      </c>
      <c r="O4727">
        <v>0.39</v>
      </c>
    </row>
    <row r="4728" spans="1:15">
      <c r="A4728" t="str">
        <f>"688156"</f>
        <v>688156</v>
      </c>
      <c r="B4728" t="s">
        <v>4773</v>
      </c>
      <c r="C4728">
        <v>0.62</v>
      </c>
      <c r="D4728">
        <v>29.37</v>
      </c>
      <c r="E4728" t="s">
        <v>16</v>
      </c>
      <c r="F4728" t="s">
        <v>16</v>
      </c>
      <c r="H4728">
        <v>-0.33</v>
      </c>
      <c r="I4728">
        <v>20.76</v>
      </c>
      <c r="J4728">
        <v>-0.78</v>
      </c>
      <c r="L4728">
        <v>-0.62</v>
      </c>
      <c r="M4728">
        <v>58.69</v>
      </c>
      <c r="N4728">
        <v>0.03</v>
      </c>
      <c r="O4728">
        <v>0.85</v>
      </c>
    </row>
    <row r="4729" spans="1:15">
      <c r="A4729" t="str">
        <f>"688157"</f>
        <v>688157</v>
      </c>
      <c r="B4729" t="s">
        <v>4774</v>
      </c>
      <c r="C4729">
        <v>-0.52</v>
      </c>
      <c r="D4729">
        <v>28.69</v>
      </c>
      <c r="E4729" t="s">
        <v>16</v>
      </c>
      <c r="F4729" t="s">
        <v>16</v>
      </c>
      <c r="H4729">
        <v>-0.23</v>
      </c>
      <c r="I4729">
        <v>3.16</v>
      </c>
      <c r="J4729">
        <v>-2.18</v>
      </c>
      <c r="L4729">
        <v>0.45</v>
      </c>
      <c r="M4729">
        <v>24.91</v>
      </c>
      <c r="N4729">
        <v>0.01</v>
      </c>
      <c r="O4729">
        <v>2.32</v>
      </c>
    </row>
    <row r="4730" spans="1:15">
      <c r="A4730" t="str">
        <f>"688158"</f>
        <v>688158</v>
      </c>
      <c r="B4730" t="s">
        <v>4775</v>
      </c>
      <c r="C4730">
        <v>3.84</v>
      </c>
      <c r="D4730">
        <v>38.63</v>
      </c>
      <c r="E4730" t="s">
        <v>16</v>
      </c>
      <c r="F4730" t="s">
        <v>16</v>
      </c>
      <c r="H4730">
        <v>0</v>
      </c>
      <c r="I4730">
        <v>-0.18</v>
      </c>
      <c r="J4730">
        <v>-0.44</v>
      </c>
      <c r="L4730">
        <v>0.4</v>
      </c>
      <c r="M4730">
        <v>662.21</v>
      </c>
      <c r="N4730">
        <v>0.05</v>
      </c>
      <c r="O4730">
        <v>2.13</v>
      </c>
    </row>
    <row r="4731" spans="1:15">
      <c r="A4731" t="str">
        <f>"688159"</f>
        <v>688159</v>
      </c>
      <c r="B4731" t="s">
        <v>4776</v>
      </c>
      <c r="C4731">
        <v>2.08</v>
      </c>
      <c r="D4731">
        <v>49</v>
      </c>
      <c r="E4731" t="s">
        <v>16</v>
      </c>
      <c r="F4731" t="s">
        <v>16</v>
      </c>
      <c r="H4731">
        <v>0.31</v>
      </c>
      <c r="I4731">
        <v>8.7</v>
      </c>
      <c r="J4731">
        <v>-1.57</v>
      </c>
      <c r="L4731">
        <v>-0.83</v>
      </c>
      <c r="M4731">
        <v>79.38</v>
      </c>
      <c r="N4731">
        <v>0.03</v>
      </c>
      <c r="O4731">
        <v>0.63</v>
      </c>
    </row>
    <row r="4732" spans="1:15">
      <c r="A4732" t="str">
        <f>"688160"</f>
        <v>688160</v>
      </c>
      <c r="B4732" t="s">
        <v>4777</v>
      </c>
      <c r="C4732">
        <v>2.55</v>
      </c>
      <c r="D4732">
        <v>112.09</v>
      </c>
      <c r="E4732" t="s">
        <v>16</v>
      </c>
      <c r="F4732" t="s">
        <v>16</v>
      </c>
      <c r="H4732">
        <v>-0.18</v>
      </c>
      <c r="I4732">
        <v>2.31</v>
      </c>
      <c r="J4732">
        <v>-1.85</v>
      </c>
      <c r="L4732">
        <v>0.16</v>
      </c>
      <c r="M4732">
        <v>48.32</v>
      </c>
      <c r="N4732">
        <v>0.01</v>
      </c>
      <c r="O4732">
        <v>1.52</v>
      </c>
    </row>
    <row r="4733" spans="1:15">
      <c r="A4733" t="str">
        <f>"688161"</f>
        <v>688161</v>
      </c>
      <c r="B4733" t="s">
        <v>4778</v>
      </c>
      <c r="C4733">
        <v>1.96</v>
      </c>
      <c r="D4733">
        <v>21.84</v>
      </c>
      <c r="E4733" t="s">
        <v>16</v>
      </c>
      <c r="F4733" t="s">
        <v>16</v>
      </c>
      <c r="H4733">
        <v>0</v>
      </c>
      <c r="I4733">
        <v>-8.58</v>
      </c>
      <c r="J4733">
        <v>-0.64</v>
      </c>
      <c r="L4733">
        <v>-0.51</v>
      </c>
      <c r="M4733">
        <v>0</v>
      </c>
      <c r="N4733">
        <v>0</v>
      </c>
      <c r="O4733">
        <v>0</v>
      </c>
    </row>
    <row r="4734" spans="1:15">
      <c r="A4734" t="str">
        <f>"688162"</f>
        <v>688162</v>
      </c>
      <c r="B4734" t="s">
        <v>4779</v>
      </c>
      <c r="C4734">
        <v>1.2</v>
      </c>
      <c r="D4734">
        <v>26.19</v>
      </c>
      <c r="E4734" t="s">
        <v>16</v>
      </c>
      <c r="F4734" t="s">
        <v>16</v>
      </c>
      <c r="H4734">
        <v>0.34</v>
      </c>
      <c r="I4734">
        <v>-4.59</v>
      </c>
      <c r="J4734">
        <v>-0.98</v>
      </c>
      <c r="L4734">
        <v>-0.85</v>
      </c>
      <c r="M4734">
        <v>3.43</v>
      </c>
      <c r="N4734">
        <v>0</v>
      </c>
      <c r="O4734">
        <v>0.18</v>
      </c>
    </row>
    <row r="4735" spans="1:15">
      <c r="A4735" t="str">
        <f>"688163"</f>
        <v>688163</v>
      </c>
      <c r="B4735" t="s">
        <v>4780</v>
      </c>
      <c r="C4735">
        <v>0.1</v>
      </c>
      <c r="D4735">
        <v>47.73</v>
      </c>
      <c r="E4735" t="s">
        <v>16</v>
      </c>
      <c r="F4735" t="s">
        <v>16</v>
      </c>
      <c r="H4735">
        <v>-0.01</v>
      </c>
      <c r="I4735">
        <v>30.77</v>
      </c>
      <c r="J4735">
        <v>-1.59</v>
      </c>
      <c r="L4735">
        <v>-1.13</v>
      </c>
      <c r="M4735">
        <v>106.07</v>
      </c>
      <c r="N4735">
        <v>0.05</v>
      </c>
      <c r="O4735">
        <v>1.13</v>
      </c>
    </row>
    <row r="4736" spans="1:15">
      <c r="A4736" t="str">
        <f>"688165"</f>
        <v>688165</v>
      </c>
      <c r="B4736" t="s">
        <v>4781</v>
      </c>
      <c r="C4736">
        <v>5.52</v>
      </c>
      <c r="D4736">
        <v>21.03</v>
      </c>
      <c r="E4736" t="s">
        <v>16</v>
      </c>
      <c r="F4736" t="s">
        <v>16</v>
      </c>
      <c r="H4736">
        <v>0.14</v>
      </c>
      <c r="I4736">
        <v>10.51</v>
      </c>
      <c r="J4736">
        <v>-2.05</v>
      </c>
      <c r="L4736">
        <v>1.2</v>
      </c>
      <c r="M4736">
        <v>124.51</v>
      </c>
      <c r="N4736">
        <v>0.02</v>
      </c>
      <c r="O4736">
        <v>0.64</v>
      </c>
    </row>
    <row r="4737" spans="1:15">
      <c r="A4737" t="str">
        <f>"688166"</f>
        <v>688166</v>
      </c>
      <c r="B4737" t="s">
        <v>4782</v>
      </c>
      <c r="C4737">
        <v>7.01</v>
      </c>
      <c r="D4737">
        <v>43.21</v>
      </c>
      <c r="E4737" t="s">
        <v>16</v>
      </c>
      <c r="F4737" t="s">
        <v>16</v>
      </c>
      <c r="H4737">
        <v>-0.43</v>
      </c>
      <c r="I4737">
        <v>-9.34</v>
      </c>
      <c r="J4737">
        <v>-4.89</v>
      </c>
      <c r="L4737">
        <v>0.37</v>
      </c>
      <c r="M4737">
        <v>61.83</v>
      </c>
      <c r="N4737">
        <v>0.01</v>
      </c>
      <c r="O4737">
        <v>0.48</v>
      </c>
    </row>
    <row r="4738" spans="1:15">
      <c r="A4738" t="str">
        <f>"688167"</f>
        <v>688167</v>
      </c>
      <c r="B4738" t="s">
        <v>4783</v>
      </c>
      <c r="C4738">
        <v>-1.56</v>
      </c>
      <c r="D4738">
        <v>393</v>
      </c>
      <c r="E4738" t="s">
        <v>16</v>
      </c>
      <c r="F4738" t="s">
        <v>16</v>
      </c>
      <c r="H4738">
        <v>0.1</v>
      </c>
      <c r="I4738">
        <v>25.1</v>
      </c>
      <c r="J4738">
        <v>-2.65</v>
      </c>
      <c r="K4738" t="s">
        <v>971</v>
      </c>
      <c r="L4738">
        <v>-1.06</v>
      </c>
      <c r="M4738">
        <v>1392.61</v>
      </c>
      <c r="N4738">
        <v>0.03</v>
      </c>
      <c r="O4738">
        <v>0.5</v>
      </c>
    </row>
    <row r="4739" spans="1:15">
      <c r="A4739" t="str">
        <f>"688168"</f>
        <v>688168</v>
      </c>
      <c r="B4739" t="s">
        <v>4784</v>
      </c>
      <c r="C4739">
        <v>3.6</v>
      </c>
      <c r="D4739">
        <v>65.88</v>
      </c>
      <c r="E4739" t="s">
        <v>16</v>
      </c>
      <c r="F4739" t="s">
        <v>16</v>
      </c>
      <c r="H4739">
        <v>0.03</v>
      </c>
      <c r="I4739">
        <v>14.93</v>
      </c>
      <c r="J4739">
        <v>-4.36</v>
      </c>
      <c r="L4739">
        <v>-0.72</v>
      </c>
      <c r="M4739">
        <v>52.03</v>
      </c>
      <c r="N4739">
        <v>0.01</v>
      </c>
      <c r="O4739">
        <v>2.06</v>
      </c>
    </row>
    <row r="4740" spans="1:15">
      <c r="A4740" t="str">
        <f>"688169"</f>
        <v>688169</v>
      </c>
      <c r="B4740" t="s">
        <v>4785</v>
      </c>
      <c r="C4740">
        <v>-0.25</v>
      </c>
      <c r="D4740">
        <v>97.27</v>
      </c>
      <c r="E4740" t="s">
        <v>16</v>
      </c>
      <c r="F4740" t="s">
        <v>16</v>
      </c>
      <c r="H4740">
        <v>-0.21</v>
      </c>
      <c r="I4740">
        <v>-6.65</v>
      </c>
      <c r="J4740">
        <v>-2.65</v>
      </c>
      <c r="L4740">
        <v>0</v>
      </c>
      <c r="M4740">
        <v>135.1</v>
      </c>
      <c r="N4740">
        <v>0.01</v>
      </c>
      <c r="O4740">
        <v>0.96</v>
      </c>
    </row>
    <row r="4741" spans="1:15">
      <c r="A4741" t="str">
        <f>"688170"</f>
        <v>688170</v>
      </c>
      <c r="B4741" t="s">
        <v>4786</v>
      </c>
      <c r="C4741">
        <v>-0.63</v>
      </c>
      <c r="D4741">
        <v>85.25</v>
      </c>
      <c r="E4741" t="s">
        <v>16</v>
      </c>
      <c r="F4741" t="s">
        <v>16</v>
      </c>
      <c r="H4741">
        <v>-0.05</v>
      </c>
      <c r="I4741">
        <v>13.52</v>
      </c>
      <c r="J4741">
        <v>-1.33</v>
      </c>
      <c r="L4741">
        <v>-3.16</v>
      </c>
      <c r="M4741">
        <v>951.76</v>
      </c>
      <c r="N4741">
        <v>0.16</v>
      </c>
      <c r="O4741">
        <v>2.42</v>
      </c>
    </row>
    <row r="4742" spans="1:15">
      <c r="A4742" t="str">
        <f>"688171"</f>
        <v>688171</v>
      </c>
      <c r="B4742" t="s">
        <v>4787</v>
      </c>
      <c r="C4742">
        <v>3.38</v>
      </c>
      <c r="D4742">
        <v>48.67</v>
      </c>
      <c r="E4742" t="s">
        <v>16</v>
      </c>
      <c r="F4742" t="s">
        <v>16</v>
      </c>
      <c r="H4742">
        <v>0.68</v>
      </c>
      <c r="I4742">
        <v>-3.64</v>
      </c>
      <c r="J4742">
        <v>-0.08</v>
      </c>
      <c r="L4742">
        <v>0.74</v>
      </c>
      <c r="M4742">
        <v>34.15</v>
      </c>
      <c r="N4742">
        <v>0.02</v>
      </c>
      <c r="O4742">
        <v>2.67</v>
      </c>
    </row>
    <row r="4743" spans="1:15">
      <c r="A4743" t="str">
        <f>"688172"</f>
        <v>688172</v>
      </c>
      <c r="B4743" t="s">
        <v>4788</v>
      </c>
      <c r="C4743">
        <v>12.53</v>
      </c>
      <c r="D4743">
        <v>75.01</v>
      </c>
      <c r="E4743" t="s">
        <v>16</v>
      </c>
      <c r="F4743" t="s">
        <v>16</v>
      </c>
      <c r="H4743">
        <v>-0.57</v>
      </c>
      <c r="I4743">
        <v>6.07</v>
      </c>
      <c r="J4743">
        <v>-2.81</v>
      </c>
      <c r="L4743">
        <v>1.67</v>
      </c>
      <c r="M4743">
        <v>390.86</v>
      </c>
      <c r="N4743">
        <v>0.01</v>
      </c>
      <c r="O4743">
        <v>0.72</v>
      </c>
    </row>
    <row r="4744" spans="1:15">
      <c r="A4744" t="str">
        <f>"688173"</f>
        <v>688173</v>
      </c>
      <c r="B4744" t="s">
        <v>4789</v>
      </c>
      <c r="C4744">
        <v>2.72</v>
      </c>
      <c r="D4744">
        <v>17.39</v>
      </c>
      <c r="E4744" t="s">
        <v>16</v>
      </c>
      <c r="F4744" t="s">
        <v>16</v>
      </c>
      <c r="H4744">
        <v>0.23</v>
      </c>
      <c r="I4744">
        <v>9.03</v>
      </c>
      <c r="J4744">
        <v>-0.06</v>
      </c>
      <c r="L4744">
        <v>-0.41</v>
      </c>
      <c r="M4744">
        <v>35.85</v>
      </c>
      <c r="N4744">
        <v>0.01</v>
      </c>
      <c r="O4744">
        <v>0.89</v>
      </c>
    </row>
    <row r="4745" spans="1:15">
      <c r="A4745" t="str">
        <f>"688175"</f>
        <v>688175</v>
      </c>
      <c r="B4745" t="s">
        <v>4790</v>
      </c>
      <c r="C4745">
        <v>-2.37</v>
      </c>
      <c r="D4745">
        <v>26.36</v>
      </c>
      <c r="E4745" t="s">
        <v>16</v>
      </c>
      <c r="F4745" t="s">
        <v>16</v>
      </c>
      <c r="H4745">
        <v>-0.33</v>
      </c>
      <c r="I4745">
        <v>-1.13</v>
      </c>
      <c r="J4745">
        <v>-4.97</v>
      </c>
      <c r="L4745">
        <v>-1.52</v>
      </c>
      <c r="M4745">
        <v>0.53</v>
      </c>
      <c r="N4745">
        <v>0</v>
      </c>
      <c r="O4745">
        <v>0.06</v>
      </c>
    </row>
    <row r="4746" spans="1:15">
      <c r="A4746" t="str">
        <f>"688176"</f>
        <v>688176</v>
      </c>
      <c r="B4746" t="s">
        <v>4791</v>
      </c>
      <c r="C4746">
        <v>0.3</v>
      </c>
      <c r="D4746">
        <v>10.18</v>
      </c>
      <c r="E4746" t="s">
        <v>16</v>
      </c>
      <c r="F4746" t="s">
        <v>16</v>
      </c>
      <c r="H4746">
        <v>0</v>
      </c>
      <c r="I4746">
        <v>-0.78</v>
      </c>
      <c r="J4746">
        <v>-1.83</v>
      </c>
      <c r="L4746">
        <v>0.1</v>
      </c>
      <c r="M4746">
        <v>43.45</v>
      </c>
      <c r="N4746">
        <v>0.01</v>
      </c>
      <c r="O4746">
        <v>0.3</v>
      </c>
    </row>
    <row r="4747" spans="1:15">
      <c r="A4747" t="str">
        <f>"688177"</f>
        <v>688177</v>
      </c>
      <c r="B4747" t="s">
        <v>4792</v>
      </c>
      <c r="C4747">
        <v>4.22</v>
      </c>
      <c r="D4747">
        <v>17.06</v>
      </c>
      <c r="E4747" t="s">
        <v>16</v>
      </c>
      <c r="F4747" t="s">
        <v>16</v>
      </c>
      <c r="H4747">
        <v>0.12</v>
      </c>
      <c r="I4747">
        <v>-2.35</v>
      </c>
      <c r="J4747">
        <v>-1.56</v>
      </c>
      <c r="L4747">
        <v>-0.18</v>
      </c>
      <c r="M4747">
        <v>2.93</v>
      </c>
      <c r="N4747">
        <v>0</v>
      </c>
      <c r="O4747">
        <v>0.38</v>
      </c>
    </row>
    <row r="4748" spans="1:15">
      <c r="A4748" t="str">
        <f>"688178"</f>
        <v>688178</v>
      </c>
      <c r="B4748" t="s">
        <v>4793</v>
      </c>
      <c r="C4748">
        <v>-1.63</v>
      </c>
      <c r="D4748">
        <v>38.02</v>
      </c>
      <c r="E4748" t="s">
        <v>16</v>
      </c>
      <c r="F4748" t="s">
        <v>16</v>
      </c>
      <c r="H4748">
        <v>0.34</v>
      </c>
      <c r="I4748">
        <v>0.85</v>
      </c>
      <c r="J4748">
        <v>-1.76</v>
      </c>
      <c r="L4748">
        <v>-0.7</v>
      </c>
      <c r="M4748">
        <v>36.96</v>
      </c>
      <c r="N4748">
        <v>0.02</v>
      </c>
      <c r="O4748">
        <v>0.57</v>
      </c>
    </row>
    <row r="4749" spans="1:15">
      <c r="A4749" t="str">
        <f>"688179"</f>
        <v>688179</v>
      </c>
      <c r="B4749" t="s">
        <v>4794</v>
      </c>
      <c r="C4749">
        <v>4.71</v>
      </c>
      <c r="D4749">
        <v>22.24</v>
      </c>
      <c r="E4749" t="s">
        <v>16</v>
      </c>
      <c r="F4749" t="s">
        <v>16</v>
      </c>
      <c r="H4749">
        <v>0</v>
      </c>
      <c r="I4749">
        <v>4.27</v>
      </c>
      <c r="J4749">
        <v>-0.94</v>
      </c>
      <c r="L4749">
        <v>-0.61</v>
      </c>
      <c r="M4749">
        <v>32.14</v>
      </c>
      <c r="N4749">
        <v>0.01</v>
      </c>
      <c r="O4749">
        <v>0.2</v>
      </c>
    </row>
    <row r="4750" spans="1:15">
      <c r="A4750" t="str">
        <f>"688180"</f>
        <v>688180</v>
      </c>
      <c r="B4750" t="s">
        <v>4795</v>
      </c>
      <c r="C4750">
        <v>2.38</v>
      </c>
      <c r="D4750">
        <v>30.09</v>
      </c>
      <c r="E4750" t="s">
        <v>16</v>
      </c>
      <c r="F4750" t="s">
        <v>16</v>
      </c>
      <c r="H4750">
        <v>-0.02</v>
      </c>
      <c r="I4750">
        <v>-2.94</v>
      </c>
      <c r="J4750">
        <v>-1.92</v>
      </c>
      <c r="L4750">
        <v>-0.14</v>
      </c>
      <c r="M4750">
        <v>43.25</v>
      </c>
      <c r="N4750">
        <v>0</v>
      </c>
      <c r="O4750">
        <v>0.49</v>
      </c>
    </row>
    <row r="4751" spans="1:15">
      <c r="A4751" t="str">
        <f>"688181"</f>
        <v>688181</v>
      </c>
      <c r="B4751" t="s">
        <v>4796</v>
      </c>
      <c r="C4751">
        <v>-0.39</v>
      </c>
      <c r="D4751">
        <v>45.55</v>
      </c>
      <c r="E4751" t="s">
        <v>16</v>
      </c>
      <c r="F4751" t="s">
        <v>16</v>
      </c>
      <c r="H4751">
        <v>-0.03</v>
      </c>
      <c r="I4751">
        <v>15.29</v>
      </c>
      <c r="J4751">
        <v>-1.56</v>
      </c>
      <c r="L4751">
        <v>0.48</v>
      </c>
      <c r="M4751">
        <v>331.34</v>
      </c>
      <c r="N4751">
        <v>0.07</v>
      </c>
      <c r="O4751">
        <v>1.06</v>
      </c>
    </row>
    <row r="4752" spans="1:15">
      <c r="A4752" t="str">
        <f>"688182"</f>
        <v>688182</v>
      </c>
      <c r="B4752" t="s">
        <v>4797</v>
      </c>
      <c r="C4752">
        <v>7.96</v>
      </c>
      <c r="D4752">
        <v>44.6</v>
      </c>
      <c r="E4752" t="s">
        <v>16</v>
      </c>
      <c r="F4752" t="s">
        <v>16</v>
      </c>
      <c r="H4752">
        <v>-0.06</v>
      </c>
      <c r="I4752">
        <v>27.61</v>
      </c>
      <c r="J4752">
        <v>-1.81</v>
      </c>
      <c r="L4752">
        <v>-0.02</v>
      </c>
      <c r="M4752">
        <v>158.74</v>
      </c>
      <c r="N4752">
        <v>0.03</v>
      </c>
      <c r="O4752">
        <v>0.37</v>
      </c>
    </row>
    <row r="4753" spans="1:15">
      <c r="A4753" t="str">
        <f>"688183"</f>
        <v>688183</v>
      </c>
      <c r="B4753" t="s">
        <v>4798</v>
      </c>
      <c r="C4753">
        <v>-1.82</v>
      </c>
      <c r="D4753">
        <v>138.5</v>
      </c>
      <c r="E4753" t="s">
        <v>16</v>
      </c>
      <c r="F4753" t="s">
        <v>16</v>
      </c>
      <c r="H4753">
        <v>-0.13</v>
      </c>
      <c r="I4753">
        <v>8.2</v>
      </c>
      <c r="J4753">
        <v>-2.79</v>
      </c>
      <c r="L4753">
        <v>-1.02</v>
      </c>
      <c r="M4753">
        <v>3660.83</v>
      </c>
      <c r="N4753">
        <v>0.1</v>
      </c>
      <c r="O4753">
        <v>1.07</v>
      </c>
    </row>
    <row r="4754" spans="1:15">
      <c r="A4754" t="str">
        <f>"688184"</f>
        <v>688184</v>
      </c>
      <c r="B4754" t="s">
        <v>4799</v>
      </c>
      <c r="C4754">
        <v>-0.78</v>
      </c>
      <c r="D4754">
        <v>11.49</v>
      </c>
      <c r="E4754" t="s">
        <v>16</v>
      </c>
      <c r="F4754" t="s">
        <v>16</v>
      </c>
      <c r="H4754">
        <v>0.88</v>
      </c>
      <c r="I4754">
        <v>-6.96</v>
      </c>
      <c r="J4754">
        <v>-3.36</v>
      </c>
      <c r="L4754">
        <v>-0.86</v>
      </c>
      <c r="M4754">
        <v>9.58</v>
      </c>
      <c r="N4754">
        <v>0.01</v>
      </c>
      <c r="O4754" t="s">
        <v>16</v>
      </c>
    </row>
    <row r="4755" spans="1:15">
      <c r="A4755" t="str">
        <f>"688185"</f>
        <v>688185</v>
      </c>
      <c r="B4755" t="s">
        <v>4800</v>
      </c>
      <c r="C4755">
        <v>0.34</v>
      </c>
      <c r="D4755">
        <v>49.93</v>
      </c>
      <c r="E4755" t="s">
        <v>16</v>
      </c>
      <c r="F4755" t="s">
        <v>16</v>
      </c>
      <c r="H4755">
        <v>-0.31</v>
      </c>
      <c r="I4755">
        <v>-4.77</v>
      </c>
      <c r="J4755">
        <v>-2.9</v>
      </c>
      <c r="L4755">
        <v>-0.76</v>
      </c>
      <c r="M4755">
        <v>12.84</v>
      </c>
      <c r="N4755">
        <v>0</v>
      </c>
      <c r="O4755">
        <v>1.13</v>
      </c>
    </row>
    <row r="4756" spans="1:15">
      <c r="A4756" t="str">
        <f>"688186"</f>
        <v>688186</v>
      </c>
      <c r="B4756" t="s">
        <v>4801</v>
      </c>
      <c r="C4756">
        <v>-1.73</v>
      </c>
      <c r="D4756">
        <v>16.51</v>
      </c>
      <c r="E4756" t="s">
        <v>16</v>
      </c>
      <c r="F4756" t="s">
        <v>16</v>
      </c>
      <c r="H4756">
        <v>-0.05</v>
      </c>
      <c r="I4756">
        <v>-13.56</v>
      </c>
      <c r="J4756">
        <v>-3.84</v>
      </c>
      <c r="L4756">
        <v>-0.6</v>
      </c>
      <c r="M4756">
        <v>25.55</v>
      </c>
      <c r="N4756">
        <v>0.01</v>
      </c>
      <c r="O4756">
        <v>1.2</v>
      </c>
    </row>
    <row r="4757" spans="1:15">
      <c r="A4757" t="str">
        <f>"688187"</f>
        <v>688187</v>
      </c>
      <c r="B4757" t="s">
        <v>4802</v>
      </c>
      <c r="C4757">
        <v>0.14</v>
      </c>
      <c r="D4757">
        <v>58.7</v>
      </c>
      <c r="E4757" t="s">
        <v>16</v>
      </c>
      <c r="F4757" t="s">
        <v>16</v>
      </c>
      <c r="H4757">
        <v>-0.08</v>
      </c>
      <c r="I4757">
        <v>0.95</v>
      </c>
      <c r="J4757">
        <v>-1.81</v>
      </c>
      <c r="L4757">
        <v>0.49</v>
      </c>
      <c r="M4757">
        <v>560.41</v>
      </c>
      <c r="N4757">
        <v>0.04</v>
      </c>
      <c r="O4757">
        <v>1.3</v>
      </c>
    </row>
    <row r="4758" spans="1:15">
      <c r="A4758" t="str">
        <f>"688188"</f>
        <v>688188</v>
      </c>
      <c r="B4758" t="s">
        <v>4803</v>
      </c>
      <c r="C4758">
        <v>-1</v>
      </c>
      <c r="D4758">
        <v>168.59</v>
      </c>
      <c r="E4758" t="s">
        <v>16</v>
      </c>
      <c r="F4758" t="s">
        <v>16</v>
      </c>
      <c r="H4758">
        <v>-0.2</v>
      </c>
      <c r="I4758">
        <v>9.54</v>
      </c>
      <c r="J4758">
        <v>-3.34</v>
      </c>
      <c r="L4758">
        <v>-0.02</v>
      </c>
      <c r="M4758">
        <v>730.47</v>
      </c>
      <c r="N4758">
        <v>0.04</v>
      </c>
      <c r="O4758">
        <v>2</v>
      </c>
    </row>
    <row r="4759" spans="1:15">
      <c r="A4759" t="str">
        <f>"688189"</f>
        <v>688189</v>
      </c>
      <c r="B4759" t="s">
        <v>4804</v>
      </c>
      <c r="C4759">
        <v>-3.21</v>
      </c>
      <c r="D4759">
        <v>6.34</v>
      </c>
      <c r="E4759" t="s">
        <v>16</v>
      </c>
      <c r="F4759" t="s">
        <v>16</v>
      </c>
      <c r="H4759">
        <v>-0.62</v>
      </c>
      <c r="I4759">
        <v>-16.14</v>
      </c>
      <c r="J4759">
        <v>-6.76</v>
      </c>
      <c r="L4759">
        <v>3.05</v>
      </c>
      <c r="M4759">
        <v>79.69</v>
      </c>
      <c r="N4759">
        <v>0.08</v>
      </c>
      <c r="O4759">
        <v>0.42</v>
      </c>
    </row>
    <row r="4760" spans="1:15">
      <c r="A4760" t="str">
        <f>"688190"</f>
        <v>688190</v>
      </c>
      <c r="B4760" t="s">
        <v>4805</v>
      </c>
      <c r="C4760">
        <v>-3.33</v>
      </c>
      <c r="D4760">
        <v>107.92</v>
      </c>
      <c r="E4760" t="s">
        <v>16</v>
      </c>
      <c r="F4760" t="s">
        <v>16</v>
      </c>
      <c r="H4760">
        <v>-0.16</v>
      </c>
      <c r="I4760">
        <v>0.21</v>
      </c>
      <c r="J4760">
        <v>-5.33</v>
      </c>
      <c r="L4760">
        <v>-0.69</v>
      </c>
      <c r="M4760">
        <v>59.2</v>
      </c>
      <c r="N4760">
        <v>0.01</v>
      </c>
      <c r="O4760">
        <v>0.26</v>
      </c>
    </row>
    <row r="4761" spans="1:15">
      <c r="A4761" t="str">
        <f>"688191"</f>
        <v>688191</v>
      </c>
      <c r="B4761" t="s">
        <v>4806</v>
      </c>
      <c r="C4761">
        <v>5.67</v>
      </c>
      <c r="D4761">
        <v>39.13</v>
      </c>
      <c r="E4761" t="s">
        <v>16</v>
      </c>
      <c r="F4761" t="s">
        <v>16</v>
      </c>
      <c r="H4761">
        <v>-0.09</v>
      </c>
      <c r="I4761">
        <v>6.85</v>
      </c>
      <c r="J4761">
        <v>-0.69</v>
      </c>
      <c r="L4761">
        <v>0.89</v>
      </c>
      <c r="M4761">
        <v>56.25</v>
      </c>
      <c r="N4761">
        <v>0.01</v>
      </c>
      <c r="O4761">
        <v>0.23</v>
      </c>
    </row>
    <row r="4762" spans="1:15">
      <c r="A4762" t="str">
        <f>"688192"</f>
        <v>688192</v>
      </c>
      <c r="B4762" t="s">
        <v>4807</v>
      </c>
      <c r="C4762">
        <v>3.72</v>
      </c>
      <c r="D4762">
        <v>37.96</v>
      </c>
      <c r="E4762" t="s">
        <v>16</v>
      </c>
      <c r="F4762" t="s">
        <v>16</v>
      </c>
      <c r="H4762">
        <v>-0.02</v>
      </c>
      <c r="I4762">
        <v>-6.53</v>
      </c>
      <c r="J4762">
        <v>-2.57</v>
      </c>
      <c r="L4762">
        <v>-0.05</v>
      </c>
      <c r="M4762">
        <v>31.87</v>
      </c>
      <c r="N4762">
        <v>0.01</v>
      </c>
      <c r="O4762">
        <v>1.08</v>
      </c>
    </row>
    <row r="4763" spans="1:15">
      <c r="A4763" t="str">
        <f>"688193"</f>
        <v>688193</v>
      </c>
      <c r="B4763" t="s">
        <v>4808</v>
      </c>
      <c r="C4763">
        <v>6.92</v>
      </c>
      <c r="D4763">
        <v>55.91</v>
      </c>
      <c r="E4763" t="s">
        <v>16</v>
      </c>
      <c r="F4763" t="s">
        <v>16</v>
      </c>
      <c r="H4763">
        <v>-0.31</v>
      </c>
      <c r="I4763">
        <v>19.49</v>
      </c>
      <c r="J4763">
        <v>-0.75</v>
      </c>
      <c r="L4763">
        <v>-1.93</v>
      </c>
      <c r="M4763">
        <v>0</v>
      </c>
      <c r="N4763">
        <v>0</v>
      </c>
      <c r="O4763">
        <v>0</v>
      </c>
    </row>
    <row r="4764" spans="1:15">
      <c r="A4764" t="str">
        <f>"688195"</f>
        <v>688195</v>
      </c>
      <c r="B4764" t="s">
        <v>4809</v>
      </c>
      <c r="C4764">
        <v>0.82</v>
      </c>
      <c r="D4764">
        <v>212.54</v>
      </c>
      <c r="E4764" t="s">
        <v>16</v>
      </c>
      <c r="F4764" t="s">
        <v>16</v>
      </c>
      <c r="H4764">
        <v>0.2</v>
      </c>
      <c r="I4764">
        <v>-10.2</v>
      </c>
      <c r="J4764">
        <v>-1.6</v>
      </c>
      <c r="L4764">
        <v>0.09</v>
      </c>
      <c r="M4764">
        <v>568.35</v>
      </c>
      <c r="N4764">
        <v>0.02</v>
      </c>
      <c r="O4764">
        <v>0.6</v>
      </c>
    </row>
    <row r="4765" spans="1:15">
      <c r="A4765" t="str">
        <f>"688196"</f>
        <v>688196</v>
      </c>
      <c r="B4765" t="s">
        <v>4810</v>
      </c>
      <c r="C4765">
        <v>-1.07</v>
      </c>
      <c r="D4765">
        <v>39</v>
      </c>
      <c r="E4765" t="s">
        <v>16</v>
      </c>
      <c r="F4765" t="s">
        <v>16</v>
      </c>
      <c r="H4765">
        <v>0.03</v>
      </c>
      <c r="I4765">
        <v>-6.18</v>
      </c>
      <c r="J4765">
        <v>-2.01</v>
      </c>
      <c r="L4765">
        <v>0.03</v>
      </c>
      <c r="M4765">
        <v>3.39</v>
      </c>
      <c r="N4765">
        <v>0</v>
      </c>
      <c r="O4765">
        <v>0.17</v>
      </c>
    </row>
    <row r="4766" spans="1:15">
      <c r="A4766" t="str">
        <f>"688197"</f>
        <v>688197</v>
      </c>
      <c r="B4766" t="s">
        <v>4811</v>
      </c>
      <c r="C4766">
        <v>6.62</v>
      </c>
      <c r="D4766">
        <v>32.38</v>
      </c>
      <c r="E4766" t="s">
        <v>16</v>
      </c>
      <c r="F4766" t="s">
        <v>16</v>
      </c>
      <c r="H4766">
        <v>0.47</v>
      </c>
      <c r="I4766">
        <v>-3.02</v>
      </c>
      <c r="J4766">
        <v>-1.52</v>
      </c>
      <c r="L4766">
        <v>-0.23</v>
      </c>
      <c r="M4766">
        <v>0.88</v>
      </c>
      <c r="N4766">
        <v>0</v>
      </c>
      <c r="O4766">
        <v>1.45</v>
      </c>
    </row>
    <row r="4767" spans="1:15">
      <c r="A4767" t="str">
        <f>"688198"</f>
        <v>688198</v>
      </c>
      <c r="B4767" t="s">
        <v>4812</v>
      </c>
      <c r="C4767">
        <v>0.94</v>
      </c>
      <c r="D4767">
        <v>87.15</v>
      </c>
      <c r="E4767" t="s">
        <v>16</v>
      </c>
      <c r="F4767" t="s">
        <v>16</v>
      </c>
      <c r="H4767">
        <v>-0.28</v>
      </c>
      <c r="I4767">
        <v>8.94</v>
      </c>
      <c r="J4767">
        <v>-2.28</v>
      </c>
      <c r="L4767">
        <v>-0.96</v>
      </c>
      <c r="M4767">
        <v>6.44</v>
      </c>
      <c r="N4767">
        <v>0</v>
      </c>
      <c r="O4767" t="s">
        <v>16</v>
      </c>
    </row>
    <row r="4768" spans="1:15">
      <c r="A4768" t="str">
        <f>"688199"</f>
        <v>688199</v>
      </c>
      <c r="B4768" t="s">
        <v>4813</v>
      </c>
      <c r="C4768">
        <v>1.22</v>
      </c>
      <c r="D4768">
        <v>30.81</v>
      </c>
      <c r="E4768" t="s">
        <v>16</v>
      </c>
      <c r="F4768" t="s">
        <v>16</v>
      </c>
      <c r="H4768">
        <v>0.03</v>
      </c>
      <c r="I4768">
        <v>15.78</v>
      </c>
      <c r="J4768">
        <v>-0.29</v>
      </c>
      <c r="L4768">
        <v>-0.99</v>
      </c>
      <c r="M4768">
        <v>24.02</v>
      </c>
      <c r="N4768">
        <v>0.01</v>
      </c>
      <c r="O4768">
        <v>0.64</v>
      </c>
    </row>
    <row r="4769" spans="1:15">
      <c r="A4769" t="str">
        <f>"688200"</f>
        <v>688200</v>
      </c>
      <c r="B4769" t="s">
        <v>4814</v>
      </c>
      <c r="C4769">
        <v>3.07</v>
      </c>
      <c r="D4769">
        <v>375</v>
      </c>
      <c r="E4769" t="s">
        <v>16</v>
      </c>
      <c r="F4769" t="s">
        <v>16</v>
      </c>
      <c r="H4769">
        <v>0.08</v>
      </c>
      <c r="I4769">
        <v>26.19</v>
      </c>
      <c r="J4769">
        <v>-1.02</v>
      </c>
      <c r="L4769">
        <v>0.32</v>
      </c>
      <c r="M4769">
        <v>1216.87</v>
      </c>
      <c r="N4769">
        <v>0.03</v>
      </c>
      <c r="O4769">
        <v>0.94</v>
      </c>
    </row>
    <row r="4770" spans="1:15">
      <c r="A4770" t="str">
        <f>"688201"</f>
        <v>688201</v>
      </c>
      <c r="B4770" t="s">
        <v>4815</v>
      </c>
      <c r="C4770">
        <v>0.28</v>
      </c>
      <c r="D4770">
        <v>7.17</v>
      </c>
      <c r="E4770" t="s">
        <v>16</v>
      </c>
      <c r="F4770" t="s">
        <v>16</v>
      </c>
      <c r="H4770">
        <v>0.14</v>
      </c>
      <c r="I4770">
        <v>-10.49</v>
      </c>
      <c r="J4770">
        <v>-1.1</v>
      </c>
      <c r="L4770">
        <v>0.14</v>
      </c>
      <c r="M4770">
        <v>8.81</v>
      </c>
      <c r="N4770">
        <v>0.01</v>
      </c>
      <c r="O4770">
        <v>0.65</v>
      </c>
    </row>
    <row r="4771" spans="1:15">
      <c r="A4771" t="str">
        <f>"688202"</f>
        <v>688202</v>
      </c>
      <c r="B4771" t="s">
        <v>4816</v>
      </c>
      <c r="C4771">
        <v>6.42</v>
      </c>
      <c r="D4771">
        <v>56.99</v>
      </c>
      <c r="E4771" t="s">
        <v>16</v>
      </c>
      <c r="F4771" t="s">
        <v>16</v>
      </c>
      <c r="H4771">
        <v>0.05</v>
      </c>
      <c r="I4771">
        <v>2.02</v>
      </c>
      <c r="J4771">
        <v>-2.38</v>
      </c>
      <c r="L4771">
        <v>0.56</v>
      </c>
      <c r="M4771">
        <v>150.64</v>
      </c>
      <c r="N4771">
        <v>0.04</v>
      </c>
      <c r="O4771">
        <v>2.15</v>
      </c>
    </row>
    <row r="4772" spans="1:15">
      <c r="A4772" t="str">
        <f>"688203"</f>
        <v>688203</v>
      </c>
      <c r="B4772" t="s">
        <v>4817</v>
      </c>
      <c r="C4772">
        <v>0.17</v>
      </c>
      <c r="D4772">
        <v>11.48</v>
      </c>
      <c r="E4772" t="s">
        <v>16</v>
      </c>
      <c r="F4772" t="s">
        <v>16</v>
      </c>
      <c r="H4772">
        <v>0.44</v>
      </c>
      <c r="I4772">
        <v>2.59</v>
      </c>
      <c r="J4772">
        <v>-4.33</v>
      </c>
      <c r="L4772">
        <v>-1.31</v>
      </c>
      <c r="M4772">
        <v>14.93</v>
      </c>
      <c r="N4772">
        <v>0.01</v>
      </c>
      <c r="O4772">
        <v>0.94</v>
      </c>
    </row>
    <row r="4773" spans="1:15">
      <c r="A4773" t="str">
        <f>"688205"</f>
        <v>688205</v>
      </c>
      <c r="B4773" t="s">
        <v>4818</v>
      </c>
      <c r="C4773">
        <v>6.48</v>
      </c>
      <c r="D4773">
        <v>252.4</v>
      </c>
      <c r="E4773" t="s">
        <v>16</v>
      </c>
      <c r="F4773" t="s">
        <v>16</v>
      </c>
      <c r="H4773">
        <v>0.17</v>
      </c>
      <c r="I4773">
        <v>7.89</v>
      </c>
      <c r="J4773">
        <v>-1.02</v>
      </c>
      <c r="L4773">
        <v>-1.22</v>
      </c>
      <c r="M4773">
        <v>562.1</v>
      </c>
      <c r="N4773">
        <v>0.02</v>
      </c>
      <c r="O4773">
        <v>0.2</v>
      </c>
    </row>
    <row r="4774" spans="1:15">
      <c r="A4774" t="str">
        <f>"688206"</f>
        <v>688206</v>
      </c>
      <c r="B4774" t="s">
        <v>4819</v>
      </c>
      <c r="C4774">
        <v>-1.54</v>
      </c>
      <c r="D4774">
        <v>38.4</v>
      </c>
      <c r="E4774" t="s">
        <v>16</v>
      </c>
      <c r="F4774" t="s">
        <v>16</v>
      </c>
      <c r="H4774">
        <v>0.03</v>
      </c>
      <c r="I4774">
        <v>-1.54</v>
      </c>
      <c r="J4774">
        <v>-2.76</v>
      </c>
      <c r="L4774">
        <v>-0.51</v>
      </c>
      <c r="M4774">
        <v>202.81</v>
      </c>
      <c r="N4774">
        <v>0.02</v>
      </c>
      <c r="O4774">
        <v>1.56</v>
      </c>
    </row>
    <row r="4775" spans="1:15">
      <c r="A4775" t="str">
        <f>"688207"</f>
        <v>688207</v>
      </c>
      <c r="B4775" t="s">
        <v>4820</v>
      </c>
      <c r="C4775">
        <v>-2.76</v>
      </c>
      <c r="D4775">
        <v>21.13</v>
      </c>
      <c r="E4775" t="s">
        <v>16</v>
      </c>
      <c r="F4775" t="s">
        <v>16</v>
      </c>
      <c r="H4775">
        <v>-0.27</v>
      </c>
      <c r="I4775">
        <v>46.74</v>
      </c>
      <c r="J4775">
        <v>-2.58</v>
      </c>
      <c r="L4775">
        <v>-1.06</v>
      </c>
      <c r="M4775">
        <v>355.99</v>
      </c>
      <c r="N4775">
        <v>0.09</v>
      </c>
      <c r="O4775">
        <v>0.48</v>
      </c>
    </row>
    <row r="4776" spans="1:15">
      <c r="A4776" t="str">
        <f>"688208"</f>
        <v>688208</v>
      </c>
      <c r="B4776" t="s">
        <v>4821</v>
      </c>
      <c r="C4776">
        <v>-1.04</v>
      </c>
      <c r="D4776">
        <v>27.58</v>
      </c>
      <c r="E4776" t="s">
        <v>16</v>
      </c>
      <c r="F4776" t="s">
        <v>16</v>
      </c>
      <c r="H4776">
        <v>0.18</v>
      </c>
      <c r="I4776">
        <v>-7.29</v>
      </c>
      <c r="J4776">
        <v>-1.82</v>
      </c>
      <c r="L4776">
        <v>-0.07</v>
      </c>
      <c r="M4776">
        <v>24.47</v>
      </c>
      <c r="N4776">
        <v>0</v>
      </c>
      <c r="O4776">
        <v>0.27</v>
      </c>
    </row>
    <row r="4777" spans="1:15">
      <c r="A4777" t="str">
        <f>"688209"</f>
        <v>688209</v>
      </c>
      <c r="B4777" t="s">
        <v>4822</v>
      </c>
      <c r="C4777">
        <v>1.79</v>
      </c>
      <c r="D4777">
        <v>25.61</v>
      </c>
      <c r="E4777" t="s">
        <v>16</v>
      </c>
      <c r="F4777" t="s">
        <v>16</v>
      </c>
      <c r="H4777">
        <v>0.08</v>
      </c>
      <c r="I4777">
        <v>18.35</v>
      </c>
      <c r="J4777">
        <v>-0.74</v>
      </c>
      <c r="L4777">
        <v>-0.04</v>
      </c>
      <c r="M4777">
        <v>154.83</v>
      </c>
      <c r="N4777">
        <v>0.03</v>
      </c>
      <c r="O4777">
        <v>1.21</v>
      </c>
    </row>
    <row r="4778" spans="1:15">
      <c r="A4778" t="str">
        <f>"688210"</f>
        <v>688210</v>
      </c>
      <c r="B4778" t="s">
        <v>4823</v>
      </c>
      <c r="C4778">
        <v>-1.95</v>
      </c>
      <c r="D4778">
        <v>45.26</v>
      </c>
      <c r="E4778" t="s">
        <v>16</v>
      </c>
      <c r="F4778" t="s">
        <v>16</v>
      </c>
      <c r="H4778">
        <v>-0.08</v>
      </c>
      <c r="I4778">
        <v>-2.9</v>
      </c>
      <c r="J4778">
        <v>-2.69</v>
      </c>
      <c r="L4778">
        <v>-0.61</v>
      </c>
      <c r="M4778">
        <v>20.91</v>
      </c>
      <c r="N4778">
        <v>0</v>
      </c>
      <c r="O4778">
        <v>0.72</v>
      </c>
    </row>
    <row r="4779" spans="1:15">
      <c r="A4779" t="str">
        <f>"688211"</f>
        <v>688211</v>
      </c>
      <c r="B4779" t="s">
        <v>4824</v>
      </c>
      <c r="C4779">
        <v>1.33</v>
      </c>
      <c r="D4779">
        <v>33.4</v>
      </c>
      <c r="E4779" t="s">
        <v>16</v>
      </c>
      <c r="F4779" t="s">
        <v>16</v>
      </c>
      <c r="H4779">
        <v>0.24</v>
      </c>
      <c r="I4779">
        <v>3.41</v>
      </c>
      <c r="J4779">
        <v>-2.34</v>
      </c>
      <c r="L4779">
        <v>-0.06</v>
      </c>
      <c r="M4779">
        <v>13.25</v>
      </c>
      <c r="N4779">
        <v>0.01</v>
      </c>
      <c r="O4779">
        <v>4.47</v>
      </c>
    </row>
    <row r="4780" spans="1:15">
      <c r="A4780" t="str">
        <f>"688212"</f>
        <v>688212</v>
      </c>
      <c r="B4780" t="s">
        <v>4825</v>
      </c>
      <c r="C4780">
        <v>0.58</v>
      </c>
      <c r="D4780">
        <v>27.83</v>
      </c>
      <c r="E4780" t="s">
        <v>16</v>
      </c>
      <c r="F4780" t="s">
        <v>16</v>
      </c>
      <c r="H4780">
        <v>-0.06</v>
      </c>
      <c r="I4780">
        <v>-4.1</v>
      </c>
      <c r="J4780">
        <v>-3.64</v>
      </c>
      <c r="L4780">
        <v>-0.83</v>
      </c>
      <c r="M4780">
        <v>11.52</v>
      </c>
      <c r="N4780">
        <v>0</v>
      </c>
      <c r="O4780" t="s">
        <v>16</v>
      </c>
    </row>
    <row r="4781" spans="1:15">
      <c r="A4781" t="str">
        <f>"688213"</f>
        <v>688213</v>
      </c>
      <c r="B4781" t="s">
        <v>4826</v>
      </c>
      <c r="C4781">
        <v>0.38</v>
      </c>
      <c r="D4781">
        <v>102.32</v>
      </c>
      <c r="E4781" t="s">
        <v>16</v>
      </c>
      <c r="F4781" t="s">
        <v>16</v>
      </c>
      <c r="H4781">
        <v>-0.54</v>
      </c>
      <c r="I4781">
        <v>2.65</v>
      </c>
      <c r="J4781">
        <v>-1.26</v>
      </c>
      <c r="L4781">
        <v>0.04</v>
      </c>
      <c r="M4781">
        <v>423.8</v>
      </c>
      <c r="N4781">
        <v>0.01</v>
      </c>
      <c r="O4781">
        <v>1.48</v>
      </c>
    </row>
    <row r="4782" spans="1:15">
      <c r="A4782" t="str">
        <f>"688215"</f>
        <v>688215</v>
      </c>
      <c r="B4782" t="s">
        <v>4827</v>
      </c>
      <c r="C4782">
        <v>-0.12</v>
      </c>
      <c r="D4782">
        <v>42.66</v>
      </c>
      <c r="E4782" t="s">
        <v>16</v>
      </c>
      <c r="F4782" t="s">
        <v>16</v>
      </c>
      <c r="H4782">
        <v>0.45</v>
      </c>
      <c r="I4782">
        <v>-8.79</v>
      </c>
      <c r="J4782">
        <v>-0.7</v>
      </c>
      <c r="L4782">
        <v>-0.94</v>
      </c>
      <c r="M4782">
        <v>3.05</v>
      </c>
      <c r="N4782">
        <v>0</v>
      </c>
      <c r="O4782">
        <v>0.21</v>
      </c>
    </row>
    <row r="4783" spans="1:15">
      <c r="A4783" t="str">
        <f>"688216"</f>
        <v>688216</v>
      </c>
      <c r="B4783" t="s">
        <v>4828</v>
      </c>
      <c r="C4783">
        <v>2.16</v>
      </c>
      <c r="D4783">
        <v>39.2</v>
      </c>
      <c r="E4783" t="s">
        <v>16</v>
      </c>
      <c r="F4783" t="s">
        <v>16</v>
      </c>
      <c r="H4783">
        <v>0.36</v>
      </c>
      <c r="I4783">
        <v>20.62</v>
      </c>
      <c r="J4783">
        <v>-1.51</v>
      </c>
      <c r="L4783">
        <v>-0.99</v>
      </c>
      <c r="M4783">
        <v>75.41</v>
      </c>
      <c r="N4783">
        <v>0.04</v>
      </c>
      <c r="O4783">
        <v>0.7</v>
      </c>
    </row>
    <row r="4784" spans="1:15">
      <c r="A4784" t="str">
        <f>"688217"</f>
        <v>688217</v>
      </c>
      <c r="B4784" t="s">
        <v>4829</v>
      </c>
      <c r="C4784">
        <v>0.77</v>
      </c>
      <c r="D4784">
        <v>22.33</v>
      </c>
      <c r="E4784" t="s">
        <v>16</v>
      </c>
      <c r="F4784" t="s">
        <v>16</v>
      </c>
      <c r="H4784">
        <v>0.09</v>
      </c>
      <c r="I4784">
        <v>-5.7</v>
      </c>
      <c r="J4784">
        <v>-0.53</v>
      </c>
      <c r="L4784">
        <v>0.99</v>
      </c>
      <c r="M4784">
        <v>14.65</v>
      </c>
      <c r="N4784">
        <v>0.02</v>
      </c>
      <c r="O4784">
        <v>1.87</v>
      </c>
    </row>
    <row r="4785" spans="1:15">
      <c r="A4785" t="str">
        <f>"688218"</f>
        <v>688218</v>
      </c>
      <c r="B4785" t="s">
        <v>4830</v>
      </c>
      <c r="C4785">
        <v>0.36</v>
      </c>
      <c r="D4785">
        <v>55</v>
      </c>
      <c r="E4785" t="s">
        <v>16</v>
      </c>
      <c r="F4785" t="s">
        <v>16</v>
      </c>
      <c r="H4785">
        <v>-0.01</v>
      </c>
      <c r="I4785">
        <v>31.17</v>
      </c>
      <c r="J4785">
        <v>-4.26</v>
      </c>
      <c r="L4785">
        <v>1.22</v>
      </c>
      <c r="M4785">
        <v>177.06</v>
      </c>
      <c r="N4785">
        <v>0.03</v>
      </c>
      <c r="O4785">
        <v>0.56</v>
      </c>
    </row>
    <row r="4786" spans="1:15">
      <c r="A4786" t="str">
        <f>"688219"</f>
        <v>688219</v>
      </c>
      <c r="B4786" t="s">
        <v>4831</v>
      </c>
      <c r="C4786">
        <v>-0.8</v>
      </c>
      <c r="D4786">
        <v>12.47</v>
      </c>
      <c r="E4786" t="s">
        <v>16</v>
      </c>
      <c r="F4786" t="s">
        <v>16</v>
      </c>
      <c r="H4786">
        <v>0.08</v>
      </c>
      <c r="I4786">
        <v>14.72</v>
      </c>
      <c r="J4786">
        <v>-1.27</v>
      </c>
      <c r="L4786">
        <v>-1.11</v>
      </c>
      <c r="M4786">
        <v>42.53</v>
      </c>
      <c r="N4786">
        <v>0.01</v>
      </c>
      <c r="O4786">
        <v>0.07</v>
      </c>
    </row>
    <row r="4787" spans="1:15">
      <c r="A4787" t="str">
        <f>"688220"</f>
        <v>688220</v>
      </c>
      <c r="B4787" t="s">
        <v>4832</v>
      </c>
      <c r="C4787">
        <v>1.36</v>
      </c>
      <c r="D4787">
        <v>101.11</v>
      </c>
      <c r="E4787" t="s">
        <v>16</v>
      </c>
      <c r="F4787" t="s">
        <v>16</v>
      </c>
      <c r="H4787">
        <v>-0.53</v>
      </c>
      <c r="I4787">
        <v>-2.54</v>
      </c>
      <c r="J4787">
        <v>-1.93</v>
      </c>
      <c r="L4787">
        <v>-0.22</v>
      </c>
      <c r="M4787">
        <v>205.99</v>
      </c>
      <c r="N4787">
        <v>0.01</v>
      </c>
      <c r="O4787">
        <v>0.81</v>
      </c>
    </row>
    <row r="4788" spans="1:15">
      <c r="A4788" t="str">
        <f>"688221"</f>
        <v>688221</v>
      </c>
      <c r="B4788" t="s">
        <v>4833</v>
      </c>
      <c r="C4788">
        <v>4.48</v>
      </c>
      <c r="D4788">
        <v>18.65</v>
      </c>
      <c r="E4788" t="s">
        <v>16</v>
      </c>
      <c r="F4788" t="s">
        <v>16</v>
      </c>
      <c r="H4788">
        <v>0.05</v>
      </c>
      <c r="I4788">
        <v>-1.89</v>
      </c>
      <c r="J4788">
        <v>-1.53</v>
      </c>
      <c r="L4788">
        <v>-0.34</v>
      </c>
      <c r="M4788">
        <v>18.41</v>
      </c>
      <c r="N4788">
        <v>0</v>
      </c>
      <c r="O4788">
        <v>0.33</v>
      </c>
    </row>
    <row r="4789" spans="1:15">
      <c r="A4789" t="str">
        <f>"688222"</f>
        <v>688222</v>
      </c>
      <c r="B4789" t="s">
        <v>4834</v>
      </c>
      <c r="C4789">
        <v>4.64</v>
      </c>
      <c r="D4789">
        <v>27.53</v>
      </c>
      <c r="E4789" t="s">
        <v>16</v>
      </c>
      <c r="F4789" t="s">
        <v>16</v>
      </c>
      <c r="H4789">
        <v>-0.1</v>
      </c>
      <c r="I4789">
        <v>4.52</v>
      </c>
      <c r="J4789">
        <v>-1.57</v>
      </c>
      <c r="L4789">
        <v>0</v>
      </c>
      <c r="M4789">
        <v>54.66</v>
      </c>
      <c r="N4789">
        <v>0.01</v>
      </c>
      <c r="O4789">
        <v>1.62</v>
      </c>
    </row>
    <row r="4790" spans="1:15">
      <c r="A4790" t="str">
        <f>"688223"</f>
        <v>688223</v>
      </c>
      <c r="B4790" t="s">
        <v>4835</v>
      </c>
      <c r="C4790">
        <v>-1.55</v>
      </c>
      <c r="D4790">
        <v>5.09</v>
      </c>
      <c r="E4790" t="s">
        <v>16</v>
      </c>
      <c r="F4790" t="s">
        <v>16</v>
      </c>
      <c r="H4790">
        <v>0</v>
      </c>
      <c r="I4790">
        <v>-8.29</v>
      </c>
      <c r="J4790">
        <v>-2.3</v>
      </c>
      <c r="L4790">
        <v>0</v>
      </c>
      <c r="M4790">
        <v>295.28</v>
      </c>
      <c r="N4790">
        <v>0.01</v>
      </c>
      <c r="O4790">
        <v>1.39</v>
      </c>
    </row>
    <row r="4791" spans="1:15">
      <c r="A4791" t="str">
        <f>"688225"</f>
        <v>688225</v>
      </c>
      <c r="B4791" t="s">
        <v>4836</v>
      </c>
      <c r="C4791">
        <v>4.06</v>
      </c>
      <c r="D4791">
        <v>13.58</v>
      </c>
      <c r="E4791" t="s">
        <v>16</v>
      </c>
      <c r="F4791" t="s">
        <v>16</v>
      </c>
      <c r="H4791">
        <v>-0.06</v>
      </c>
      <c r="I4791">
        <v>-3.35</v>
      </c>
      <c r="J4791">
        <v>-3.48</v>
      </c>
      <c r="L4791">
        <v>-1.3</v>
      </c>
      <c r="M4791">
        <v>17.52</v>
      </c>
      <c r="N4791">
        <v>0.01</v>
      </c>
      <c r="O4791">
        <v>1.28</v>
      </c>
    </row>
    <row r="4792" spans="1:15">
      <c r="A4792" t="str">
        <f>"688226"</f>
        <v>688226</v>
      </c>
      <c r="B4792" t="s">
        <v>4837</v>
      </c>
      <c r="C4792">
        <v>-1.7</v>
      </c>
      <c r="D4792">
        <v>46.74</v>
      </c>
      <c r="E4792" t="s">
        <v>16</v>
      </c>
      <c r="F4792" t="s">
        <v>16</v>
      </c>
      <c r="H4792">
        <v>-0.52</v>
      </c>
      <c r="I4792">
        <v>-2.69</v>
      </c>
      <c r="J4792">
        <v>-3.99</v>
      </c>
      <c r="L4792">
        <v>-0.44</v>
      </c>
      <c r="M4792">
        <v>29.35</v>
      </c>
      <c r="N4792">
        <v>0.01</v>
      </c>
      <c r="O4792">
        <v>0.51</v>
      </c>
    </row>
    <row r="4793" spans="1:15">
      <c r="A4793" t="str">
        <f>"688227"</f>
        <v>688227</v>
      </c>
      <c r="B4793" t="s">
        <v>4838</v>
      </c>
      <c r="C4793">
        <v>20</v>
      </c>
      <c r="D4793">
        <v>102.3</v>
      </c>
      <c r="E4793">
        <v>10162.48</v>
      </c>
      <c r="F4793">
        <v>1</v>
      </c>
      <c r="H4793">
        <v>0</v>
      </c>
      <c r="I4793">
        <v>20.37</v>
      </c>
      <c r="J4793">
        <v>0</v>
      </c>
      <c r="K4793" t="s">
        <v>140</v>
      </c>
      <c r="L4793">
        <v>-0.06</v>
      </c>
      <c r="M4793">
        <v>56.59</v>
      </c>
      <c r="N4793">
        <v>0.01</v>
      </c>
      <c r="O4793">
        <v>0.48</v>
      </c>
    </row>
    <row r="4794" spans="1:15">
      <c r="A4794" t="str">
        <f>"688228"</f>
        <v>688228</v>
      </c>
      <c r="B4794" t="s">
        <v>4839</v>
      </c>
      <c r="C4794">
        <v>-0.25</v>
      </c>
      <c r="D4794">
        <v>86.76</v>
      </c>
      <c r="E4794" t="s">
        <v>16</v>
      </c>
      <c r="F4794" t="s">
        <v>16</v>
      </c>
      <c r="H4794">
        <v>-0.04</v>
      </c>
      <c r="I4794">
        <v>-0.8</v>
      </c>
      <c r="J4794">
        <v>-1.41</v>
      </c>
      <c r="L4794">
        <v>-0.56</v>
      </c>
      <c r="M4794">
        <v>3.46</v>
      </c>
      <c r="N4794">
        <v>0</v>
      </c>
      <c r="O4794">
        <v>0.12</v>
      </c>
    </row>
    <row r="4795" spans="1:15">
      <c r="A4795" t="str">
        <f>"688229"</f>
        <v>688229</v>
      </c>
      <c r="B4795" t="s">
        <v>4840</v>
      </c>
      <c r="C4795">
        <v>-2.6</v>
      </c>
      <c r="D4795">
        <v>86.7</v>
      </c>
      <c r="E4795" t="s">
        <v>16</v>
      </c>
      <c r="F4795" t="s">
        <v>16</v>
      </c>
      <c r="H4795">
        <v>-0.06</v>
      </c>
      <c r="I4795">
        <v>-8.68</v>
      </c>
      <c r="J4795">
        <v>-5.88</v>
      </c>
      <c r="L4795">
        <v>0.74</v>
      </c>
      <c r="M4795">
        <v>63.67</v>
      </c>
      <c r="N4795">
        <v>0.03</v>
      </c>
      <c r="O4795">
        <v>2.37</v>
      </c>
    </row>
    <row r="4796" spans="1:15">
      <c r="A4796" t="str">
        <f>"688230"</f>
        <v>688230</v>
      </c>
      <c r="B4796" t="s">
        <v>4841</v>
      </c>
      <c r="C4796">
        <v>1.22</v>
      </c>
      <c r="D4796">
        <v>71.07</v>
      </c>
      <c r="E4796" t="s">
        <v>16</v>
      </c>
      <c r="F4796" t="s">
        <v>16</v>
      </c>
      <c r="H4796">
        <v>0</v>
      </c>
      <c r="I4796">
        <v>10.74</v>
      </c>
      <c r="J4796">
        <v>-0.89</v>
      </c>
      <c r="L4796">
        <v>-0.3</v>
      </c>
      <c r="M4796">
        <v>14.42</v>
      </c>
      <c r="N4796">
        <v>0.01</v>
      </c>
      <c r="O4796">
        <v>0.29</v>
      </c>
    </row>
    <row r="4797" spans="1:15">
      <c r="A4797" t="str">
        <f>"688231"</f>
        <v>688231</v>
      </c>
      <c r="B4797" t="s">
        <v>4842</v>
      </c>
      <c r="C4797">
        <v>8.63</v>
      </c>
      <c r="D4797">
        <v>48.2</v>
      </c>
      <c r="E4797" t="s">
        <v>16</v>
      </c>
      <c r="F4797" t="s">
        <v>16</v>
      </c>
      <c r="H4797">
        <v>0.17</v>
      </c>
      <c r="I4797">
        <v>8.12</v>
      </c>
      <c r="J4797">
        <v>-3.54</v>
      </c>
      <c r="L4797">
        <v>-0.5</v>
      </c>
      <c r="M4797">
        <v>21.28</v>
      </c>
      <c r="N4797">
        <v>0</v>
      </c>
      <c r="O4797">
        <v>1.42</v>
      </c>
    </row>
    <row r="4798" spans="1:15">
      <c r="A4798" t="str">
        <f>"688232"</f>
        <v>688232</v>
      </c>
      <c r="B4798" t="s">
        <v>4843</v>
      </c>
      <c r="C4798">
        <v>1.12</v>
      </c>
      <c r="D4798">
        <v>18.96</v>
      </c>
      <c r="E4798" t="s">
        <v>16</v>
      </c>
      <c r="F4798" t="s">
        <v>16</v>
      </c>
      <c r="H4798">
        <v>0.26</v>
      </c>
      <c r="I4798">
        <v>-0.94</v>
      </c>
      <c r="J4798">
        <v>-1.46</v>
      </c>
      <c r="L4798">
        <v>-0.48</v>
      </c>
      <c r="M4798">
        <v>5.97</v>
      </c>
      <c r="N4798">
        <v>0</v>
      </c>
      <c r="O4798">
        <v>0.18</v>
      </c>
    </row>
    <row r="4799" spans="1:15">
      <c r="A4799" t="str">
        <f>"688233"</f>
        <v>688233</v>
      </c>
      <c r="B4799" t="s">
        <v>4844</v>
      </c>
      <c r="C4799">
        <v>2.19</v>
      </c>
      <c r="D4799">
        <v>124.37</v>
      </c>
      <c r="E4799" t="s">
        <v>16</v>
      </c>
      <c r="F4799" t="s">
        <v>16</v>
      </c>
      <c r="H4799">
        <v>0.18</v>
      </c>
      <c r="I4799">
        <v>40.04</v>
      </c>
      <c r="J4799">
        <v>-4.55</v>
      </c>
      <c r="L4799">
        <v>-0.56</v>
      </c>
      <c r="M4799">
        <v>849.46</v>
      </c>
      <c r="N4799">
        <v>0.07</v>
      </c>
      <c r="O4799">
        <v>1.23</v>
      </c>
    </row>
    <row r="4800" spans="1:15">
      <c r="A4800" t="str">
        <f>"688234"</f>
        <v>688234</v>
      </c>
      <c r="B4800" t="s">
        <v>4845</v>
      </c>
      <c r="C4800">
        <v>-0.31</v>
      </c>
      <c r="D4800">
        <v>149.2</v>
      </c>
      <c r="E4800" t="s">
        <v>16</v>
      </c>
      <c r="F4800" t="s">
        <v>16</v>
      </c>
      <c r="H4800">
        <v>0.05</v>
      </c>
      <c r="I4800">
        <v>7.26</v>
      </c>
      <c r="J4800">
        <v>-5.27</v>
      </c>
      <c r="L4800">
        <v>0.88</v>
      </c>
      <c r="M4800">
        <v>1852.58</v>
      </c>
      <c r="N4800">
        <v>0.06</v>
      </c>
      <c r="O4800">
        <v>0.9</v>
      </c>
    </row>
    <row r="4801" spans="1:15">
      <c r="A4801" t="str">
        <f>"688235"</f>
        <v>688235</v>
      </c>
      <c r="B4801" t="s">
        <v>4846</v>
      </c>
      <c r="C4801">
        <v>3.07</v>
      </c>
      <c r="D4801">
        <v>218.22</v>
      </c>
      <c r="E4801" t="s">
        <v>16</v>
      </c>
      <c r="F4801" t="s">
        <v>16</v>
      </c>
      <c r="H4801">
        <v>0.09</v>
      </c>
      <c r="I4801">
        <v>-2.57</v>
      </c>
      <c r="J4801">
        <v>-2.28</v>
      </c>
      <c r="L4801">
        <v>-0.26</v>
      </c>
      <c r="M4801">
        <v>332.17</v>
      </c>
      <c r="N4801">
        <v>0.01</v>
      </c>
      <c r="O4801">
        <v>4.25</v>
      </c>
    </row>
    <row r="4802" spans="1:15">
      <c r="A4802" t="str">
        <f>"688236"</f>
        <v>688236</v>
      </c>
      <c r="B4802" t="s">
        <v>4847</v>
      </c>
      <c r="C4802">
        <v>1.68</v>
      </c>
      <c r="D4802">
        <v>15.16</v>
      </c>
      <c r="E4802" t="s">
        <v>16</v>
      </c>
      <c r="F4802" t="s">
        <v>16</v>
      </c>
      <c r="H4802">
        <v>-0.45</v>
      </c>
      <c r="I4802">
        <v>-1.43</v>
      </c>
      <c r="J4802">
        <v>-1.81</v>
      </c>
      <c r="L4802">
        <v>-0.6</v>
      </c>
      <c r="M4802">
        <v>4.86</v>
      </c>
      <c r="N4802">
        <v>0.01</v>
      </c>
      <c r="O4802">
        <v>0.55</v>
      </c>
    </row>
    <row r="4803" spans="1:15">
      <c r="A4803" t="str">
        <f>"688237"</f>
        <v>688237</v>
      </c>
      <c r="B4803" t="s">
        <v>4848</v>
      </c>
      <c r="C4803">
        <v>-0.75</v>
      </c>
      <c r="D4803">
        <v>57.1</v>
      </c>
      <c r="E4803" t="s">
        <v>16</v>
      </c>
      <c r="F4803" t="s">
        <v>16</v>
      </c>
      <c r="H4803">
        <v>-0.39</v>
      </c>
      <c r="I4803">
        <v>20.82</v>
      </c>
      <c r="J4803">
        <v>-2.14</v>
      </c>
      <c r="L4803">
        <v>-0.75</v>
      </c>
      <c r="M4803">
        <v>91.53</v>
      </c>
      <c r="N4803">
        <v>0.04</v>
      </c>
      <c r="O4803">
        <v>0.96</v>
      </c>
    </row>
    <row r="4804" spans="1:15">
      <c r="A4804" t="str">
        <f>"688238"</f>
        <v>688238</v>
      </c>
      <c r="B4804" t="s">
        <v>4849</v>
      </c>
      <c r="C4804">
        <v>3.93</v>
      </c>
      <c r="D4804">
        <v>5.55</v>
      </c>
      <c r="E4804" t="s">
        <v>16</v>
      </c>
      <c r="F4804" t="s">
        <v>16</v>
      </c>
      <c r="H4804">
        <v>0.18</v>
      </c>
      <c r="I4804">
        <v>-5.61</v>
      </c>
      <c r="J4804">
        <v>-2.63</v>
      </c>
      <c r="L4804">
        <v>0</v>
      </c>
      <c r="M4804">
        <v>24.95</v>
      </c>
      <c r="N4804">
        <v>0.01</v>
      </c>
      <c r="O4804" t="s">
        <v>16</v>
      </c>
    </row>
    <row r="4805" spans="1:15">
      <c r="A4805" t="str">
        <f>"688239"</f>
        <v>688239</v>
      </c>
      <c r="B4805" t="s">
        <v>4850</v>
      </c>
      <c r="C4805">
        <v>4.19</v>
      </c>
      <c r="D4805">
        <v>58.92</v>
      </c>
      <c r="E4805" t="s">
        <v>16</v>
      </c>
      <c r="F4805" t="s">
        <v>16</v>
      </c>
      <c r="H4805">
        <v>0.02</v>
      </c>
      <c r="I4805">
        <v>3.01</v>
      </c>
      <c r="J4805">
        <v>-3.55</v>
      </c>
      <c r="L4805">
        <v>2.76</v>
      </c>
      <c r="M4805">
        <v>398.95</v>
      </c>
      <c r="N4805">
        <v>0.05</v>
      </c>
      <c r="O4805">
        <v>3.9</v>
      </c>
    </row>
    <row r="4806" spans="1:15">
      <c r="A4806" t="str">
        <f>"688244"</f>
        <v>688244</v>
      </c>
      <c r="B4806" t="s">
        <v>4851</v>
      </c>
      <c r="C4806">
        <v>0.38</v>
      </c>
      <c r="D4806">
        <v>15.67</v>
      </c>
      <c r="E4806" t="s">
        <v>16</v>
      </c>
      <c r="F4806" t="s">
        <v>16</v>
      </c>
      <c r="H4806">
        <v>0.19</v>
      </c>
      <c r="I4806">
        <v>-2.31</v>
      </c>
      <c r="J4806">
        <v>-1.14</v>
      </c>
      <c r="L4806">
        <v>-0.38</v>
      </c>
      <c r="M4806">
        <v>5.6</v>
      </c>
      <c r="N4806">
        <v>0.01</v>
      </c>
      <c r="O4806">
        <v>1.44</v>
      </c>
    </row>
    <row r="4807" spans="1:15">
      <c r="A4807" t="str">
        <f>"688246"</f>
        <v>688246</v>
      </c>
      <c r="B4807" t="s">
        <v>4852</v>
      </c>
      <c r="C4807">
        <v>-2.6</v>
      </c>
      <c r="D4807">
        <v>24.69</v>
      </c>
      <c r="E4807" t="s">
        <v>16</v>
      </c>
      <c r="F4807" t="s">
        <v>16</v>
      </c>
      <c r="H4807">
        <v>-0.07</v>
      </c>
      <c r="I4807">
        <v>21.03</v>
      </c>
      <c r="J4807">
        <v>-3.93</v>
      </c>
      <c r="L4807">
        <v>1.18</v>
      </c>
      <c r="M4807">
        <v>41.89</v>
      </c>
      <c r="N4807">
        <v>0.02</v>
      </c>
      <c r="O4807">
        <v>11.67</v>
      </c>
    </row>
    <row r="4808" spans="1:15">
      <c r="A4808" t="str">
        <f>"688247"</f>
        <v>688247</v>
      </c>
      <c r="B4808" t="s">
        <v>4853</v>
      </c>
      <c r="C4808">
        <v>0.66</v>
      </c>
      <c r="D4808">
        <v>7.58</v>
      </c>
      <c r="E4808" t="s">
        <v>16</v>
      </c>
      <c r="F4808" t="s">
        <v>16</v>
      </c>
      <c r="H4808">
        <v>-0.25</v>
      </c>
      <c r="I4808">
        <v>-4.77</v>
      </c>
      <c r="J4808">
        <v>-2.07</v>
      </c>
      <c r="L4808">
        <v>-0.66</v>
      </c>
      <c r="M4808">
        <v>0.97</v>
      </c>
      <c r="N4808">
        <v>0</v>
      </c>
      <c r="O4808">
        <v>0.07</v>
      </c>
    </row>
    <row r="4809" spans="1:15">
      <c r="A4809" t="str">
        <f>"688248"</f>
        <v>688248</v>
      </c>
      <c r="B4809" t="s">
        <v>4854</v>
      </c>
      <c r="C4809">
        <v>1.29</v>
      </c>
      <c r="D4809">
        <v>55.71</v>
      </c>
      <c r="E4809" t="s">
        <v>16</v>
      </c>
      <c r="F4809" t="s">
        <v>16</v>
      </c>
      <c r="H4809">
        <v>-0.15</v>
      </c>
      <c r="I4809">
        <v>8.13</v>
      </c>
      <c r="J4809">
        <v>-1.29</v>
      </c>
      <c r="L4809">
        <v>-0.49</v>
      </c>
      <c r="M4809">
        <v>91.27</v>
      </c>
      <c r="N4809">
        <v>0.01</v>
      </c>
      <c r="O4809">
        <v>2.19</v>
      </c>
    </row>
    <row r="4810" spans="1:15">
      <c r="A4810" t="str">
        <f>"688249"</f>
        <v>688249</v>
      </c>
      <c r="B4810" t="s">
        <v>4855</v>
      </c>
      <c r="C4810">
        <v>7.6</v>
      </c>
      <c r="D4810">
        <v>49.96</v>
      </c>
      <c r="E4810" t="s">
        <v>16</v>
      </c>
      <c r="F4810" t="s">
        <v>16</v>
      </c>
      <c r="H4810">
        <v>-0.01</v>
      </c>
      <c r="I4810">
        <v>18.3</v>
      </c>
      <c r="J4810">
        <v>-3.66</v>
      </c>
      <c r="L4810">
        <v>-0.22</v>
      </c>
      <c r="M4810">
        <v>1785.52</v>
      </c>
      <c r="N4810">
        <v>0.05</v>
      </c>
      <c r="O4810">
        <v>3.23</v>
      </c>
    </row>
    <row r="4811" spans="1:15">
      <c r="A4811" t="str">
        <f>"688251"</f>
        <v>688251</v>
      </c>
      <c r="B4811" t="s">
        <v>4856</v>
      </c>
      <c r="C4811">
        <v>1</v>
      </c>
      <c r="D4811">
        <v>25.3</v>
      </c>
      <c r="E4811" t="s">
        <v>16</v>
      </c>
      <c r="F4811" t="s">
        <v>16</v>
      </c>
      <c r="H4811">
        <v>0.24</v>
      </c>
      <c r="I4811">
        <v>3.01</v>
      </c>
      <c r="J4811">
        <v>-2.32</v>
      </c>
      <c r="L4811">
        <v>0</v>
      </c>
      <c r="M4811">
        <v>19.41</v>
      </c>
      <c r="N4811">
        <v>0.02</v>
      </c>
      <c r="O4811">
        <v>0.32</v>
      </c>
    </row>
    <row r="4812" spans="1:15">
      <c r="A4812" t="str">
        <f>"688252"</f>
        <v>688252</v>
      </c>
      <c r="B4812" t="s">
        <v>4857</v>
      </c>
      <c r="C4812">
        <v>-0.83</v>
      </c>
      <c r="D4812">
        <v>22.7</v>
      </c>
      <c r="E4812" t="s">
        <v>16</v>
      </c>
      <c r="F4812" t="s">
        <v>16</v>
      </c>
      <c r="H4812">
        <v>0.18</v>
      </c>
      <c r="I4812">
        <v>8.56</v>
      </c>
      <c r="J4812">
        <v>-1.43</v>
      </c>
      <c r="L4812">
        <v>0</v>
      </c>
      <c r="M4812">
        <v>90.05</v>
      </c>
      <c r="N4812">
        <v>0.03</v>
      </c>
      <c r="O4812">
        <v>0.52</v>
      </c>
    </row>
    <row r="4813" spans="1:15">
      <c r="A4813" t="str">
        <f>"688253"</f>
        <v>688253</v>
      </c>
      <c r="B4813" t="s">
        <v>4858</v>
      </c>
      <c r="C4813">
        <v>1.52</v>
      </c>
      <c r="D4813">
        <v>58.7</v>
      </c>
      <c r="E4813" t="s">
        <v>16</v>
      </c>
      <c r="F4813" t="s">
        <v>16</v>
      </c>
      <c r="H4813">
        <v>-0.14</v>
      </c>
      <c r="I4813">
        <v>3.8</v>
      </c>
      <c r="J4813">
        <v>-3.23</v>
      </c>
      <c r="L4813">
        <v>0</v>
      </c>
      <c r="M4813">
        <v>8.67</v>
      </c>
      <c r="N4813">
        <v>0</v>
      </c>
      <c r="O4813">
        <v>0.56</v>
      </c>
    </row>
    <row r="4814" spans="1:15">
      <c r="A4814" t="str">
        <f>"688255"</f>
        <v>688255</v>
      </c>
      <c r="B4814" t="s">
        <v>4859</v>
      </c>
      <c r="C4814">
        <v>2.31</v>
      </c>
      <c r="D4814">
        <v>31.51</v>
      </c>
      <c r="E4814" t="s">
        <v>16</v>
      </c>
      <c r="F4814" t="s">
        <v>16</v>
      </c>
      <c r="H4814">
        <v>-0.15</v>
      </c>
      <c r="I4814">
        <v>4.23</v>
      </c>
      <c r="J4814">
        <v>-1.53</v>
      </c>
      <c r="L4814">
        <v>-0.49</v>
      </c>
      <c r="M4814">
        <v>21.46</v>
      </c>
      <c r="N4814">
        <v>0.01</v>
      </c>
      <c r="O4814">
        <v>1.23</v>
      </c>
    </row>
    <row r="4815" spans="1:15">
      <c r="A4815" t="str">
        <f>"688256"</f>
        <v>688256</v>
      </c>
      <c r="B4815" t="s">
        <v>4860</v>
      </c>
      <c r="C4815">
        <v>14.2</v>
      </c>
      <c r="D4815">
        <v>1507.46</v>
      </c>
      <c r="E4815" t="s">
        <v>16</v>
      </c>
      <c r="F4815" t="s">
        <v>16</v>
      </c>
      <c r="H4815">
        <v>-0.29</v>
      </c>
      <c r="I4815">
        <v>10.93</v>
      </c>
      <c r="J4815">
        <v>-2.11</v>
      </c>
      <c r="L4815">
        <v>-0.02</v>
      </c>
      <c r="M4815">
        <v>12351</v>
      </c>
      <c r="N4815">
        <v>0.03</v>
      </c>
      <c r="O4815">
        <v>3.31</v>
      </c>
    </row>
    <row r="4816" spans="1:15">
      <c r="A4816" t="str">
        <f>"688257"</f>
        <v>688257</v>
      </c>
      <c r="B4816" t="s">
        <v>4861</v>
      </c>
      <c r="C4816">
        <v>6.53</v>
      </c>
      <c r="D4816">
        <v>108.51</v>
      </c>
      <c r="E4816" t="s">
        <v>16</v>
      </c>
      <c r="F4816" t="s">
        <v>16</v>
      </c>
      <c r="H4816">
        <v>0.49</v>
      </c>
      <c r="I4816">
        <v>37.6</v>
      </c>
      <c r="J4816">
        <v>-0.87</v>
      </c>
      <c r="L4816">
        <v>-0.83</v>
      </c>
      <c r="M4816">
        <v>1458.71</v>
      </c>
      <c r="N4816">
        <v>0.06</v>
      </c>
      <c r="O4816">
        <v>1.17</v>
      </c>
    </row>
    <row r="4817" spans="1:15">
      <c r="A4817" t="str">
        <f>"688258"</f>
        <v>688258</v>
      </c>
      <c r="B4817" t="s">
        <v>4862</v>
      </c>
      <c r="C4817">
        <v>0.41</v>
      </c>
      <c r="D4817">
        <v>128.63</v>
      </c>
      <c r="E4817" t="s">
        <v>16</v>
      </c>
      <c r="F4817" t="s">
        <v>16</v>
      </c>
      <c r="H4817">
        <v>-0.51</v>
      </c>
      <c r="I4817">
        <v>-4.57</v>
      </c>
      <c r="J4817">
        <v>-3.78</v>
      </c>
      <c r="L4817">
        <v>1.22</v>
      </c>
      <c r="M4817">
        <v>458.81</v>
      </c>
      <c r="N4817">
        <v>0.05</v>
      </c>
      <c r="O4817">
        <v>0.6</v>
      </c>
    </row>
    <row r="4818" spans="1:15">
      <c r="A4818" t="str">
        <f>"688259"</f>
        <v>688259</v>
      </c>
      <c r="B4818" t="s">
        <v>4863</v>
      </c>
      <c r="C4818">
        <v>0.9</v>
      </c>
      <c r="D4818">
        <v>39.18</v>
      </c>
      <c r="E4818" t="s">
        <v>16</v>
      </c>
      <c r="F4818" t="s">
        <v>16</v>
      </c>
      <c r="H4818">
        <v>0.36</v>
      </c>
      <c r="I4818">
        <v>8.53</v>
      </c>
      <c r="J4818">
        <v>-0.81</v>
      </c>
      <c r="L4818">
        <v>-0.08</v>
      </c>
      <c r="M4818">
        <v>50.72</v>
      </c>
      <c r="N4818">
        <v>0.02</v>
      </c>
      <c r="O4818">
        <v>1.95</v>
      </c>
    </row>
    <row r="4819" spans="1:15">
      <c r="A4819" t="str">
        <f>"688260"</f>
        <v>688260</v>
      </c>
      <c r="B4819" t="s">
        <v>4864</v>
      </c>
      <c r="C4819">
        <v>4.38</v>
      </c>
      <c r="D4819">
        <v>129.03</v>
      </c>
      <c r="E4819" t="s">
        <v>16</v>
      </c>
      <c r="F4819" t="s">
        <v>16</v>
      </c>
      <c r="H4819">
        <v>-1.46</v>
      </c>
      <c r="I4819">
        <v>32.09</v>
      </c>
      <c r="J4819">
        <v>-7.17</v>
      </c>
      <c r="K4819" t="s">
        <v>54</v>
      </c>
      <c r="L4819">
        <v>-2.25</v>
      </c>
      <c r="M4819">
        <v>1209.82</v>
      </c>
      <c r="N4819">
        <v>0.14</v>
      </c>
      <c r="O4819">
        <v>0.69</v>
      </c>
    </row>
    <row r="4820" spans="1:15">
      <c r="A4820" t="str">
        <f>"688261"</f>
        <v>688261</v>
      </c>
      <c r="B4820" t="s">
        <v>4865</v>
      </c>
      <c r="C4820">
        <v>-1.88</v>
      </c>
      <c r="D4820">
        <v>93.7</v>
      </c>
      <c r="E4820" t="s">
        <v>16</v>
      </c>
      <c r="F4820" t="s">
        <v>16</v>
      </c>
      <c r="H4820">
        <v>-0.2</v>
      </c>
      <c r="I4820">
        <v>5.3</v>
      </c>
      <c r="J4820">
        <v>-2.63</v>
      </c>
      <c r="L4820">
        <v>-2</v>
      </c>
      <c r="M4820">
        <v>721.04</v>
      </c>
      <c r="N4820">
        <v>0.12</v>
      </c>
      <c r="O4820">
        <v>1.54</v>
      </c>
    </row>
    <row r="4821" spans="1:15">
      <c r="A4821" t="str">
        <f>"688262"</f>
        <v>688262</v>
      </c>
      <c r="B4821" t="s">
        <v>4866</v>
      </c>
      <c r="C4821">
        <v>3.47</v>
      </c>
      <c r="D4821">
        <v>39.63</v>
      </c>
      <c r="E4821" t="s">
        <v>16</v>
      </c>
      <c r="F4821" t="s">
        <v>16</v>
      </c>
      <c r="H4821">
        <v>0</v>
      </c>
      <c r="I4821">
        <v>7.69</v>
      </c>
      <c r="J4821">
        <v>-1.81</v>
      </c>
      <c r="L4821">
        <v>1.46</v>
      </c>
      <c r="M4821">
        <v>236.87</v>
      </c>
      <c r="N4821">
        <v>0.03</v>
      </c>
      <c r="O4821">
        <v>0.71</v>
      </c>
    </row>
    <row r="4822" spans="1:15">
      <c r="A4822" t="str">
        <f>"688265"</f>
        <v>688265</v>
      </c>
      <c r="B4822" t="s">
        <v>4867</v>
      </c>
      <c r="C4822">
        <v>2.28</v>
      </c>
      <c r="D4822">
        <v>31.85</v>
      </c>
      <c r="E4822" t="s">
        <v>16</v>
      </c>
      <c r="F4822" t="s">
        <v>16</v>
      </c>
      <c r="H4822">
        <v>-0.37</v>
      </c>
      <c r="I4822">
        <v>-3.95</v>
      </c>
      <c r="J4822">
        <v>-3.1</v>
      </c>
      <c r="L4822">
        <v>1</v>
      </c>
      <c r="M4822">
        <v>25.16</v>
      </c>
      <c r="N4822">
        <v>0.03</v>
      </c>
      <c r="O4822">
        <v>0.62</v>
      </c>
    </row>
    <row r="4823" spans="1:15">
      <c r="A4823" t="str">
        <f>"688266"</f>
        <v>688266</v>
      </c>
      <c r="B4823" t="s">
        <v>4868</v>
      </c>
      <c r="C4823">
        <v>3.09</v>
      </c>
      <c r="D4823">
        <v>89.69</v>
      </c>
      <c r="E4823" t="s">
        <v>16</v>
      </c>
      <c r="F4823" t="s">
        <v>16</v>
      </c>
      <c r="H4823">
        <v>-0.08</v>
      </c>
      <c r="I4823">
        <v>-0.28</v>
      </c>
      <c r="J4823">
        <v>-1.86</v>
      </c>
      <c r="L4823">
        <v>-0.08</v>
      </c>
      <c r="M4823">
        <v>125.6</v>
      </c>
      <c r="N4823">
        <v>0.01</v>
      </c>
      <c r="O4823">
        <v>1.62</v>
      </c>
    </row>
    <row r="4824" spans="1:15">
      <c r="A4824" t="str">
        <f>"688267"</f>
        <v>688267</v>
      </c>
      <c r="B4824" t="s">
        <v>4869</v>
      </c>
      <c r="C4824">
        <v>-0.04</v>
      </c>
      <c r="D4824">
        <v>23.26</v>
      </c>
      <c r="E4824" t="s">
        <v>16</v>
      </c>
      <c r="F4824" t="s">
        <v>16</v>
      </c>
      <c r="H4824">
        <v>-0.55</v>
      </c>
      <c r="I4824">
        <v>-3.41</v>
      </c>
      <c r="J4824">
        <v>-3.73</v>
      </c>
      <c r="L4824">
        <v>0.99</v>
      </c>
      <c r="M4824">
        <v>26.31</v>
      </c>
      <c r="N4824">
        <v>0.01</v>
      </c>
      <c r="O4824">
        <v>3.61</v>
      </c>
    </row>
    <row r="4825" spans="1:15">
      <c r="A4825" t="str">
        <f>"688268"</f>
        <v>688268</v>
      </c>
      <c r="B4825" t="s">
        <v>4870</v>
      </c>
      <c r="C4825">
        <v>0.54</v>
      </c>
      <c r="D4825">
        <v>188.36</v>
      </c>
      <c r="E4825" t="s">
        <v>16</v>
      </c>
      <c r="F4825" t="s">
        <v>16</v>
      </c>
      <c r="H4825">
        <v>-0.25</v>
      </c>
      <c r="I4825">
        <v>-7.49</v>
      </c>
      <c r="J4825">
        <v>-1.47</v>
      </c>
      <c r="L4825">
        <v>-3.36</v>
      </c>
      <c r="M4825">
        <v>1134.23</v>
      </c>
      <c r="N4825">
        <v>0.1</v>
      </c>
      <c r="O4825">
        <v>0.27</v>
      </c>
    </row>
    <row r="4826" spans="1:15">
      <c r="A4826" t="str">
        <f>"688269"</f>
        <v>688269</v>
      </c>
      <c r="B4826" t="s">
        <v>4871</v>
      </c>
      <c r="C4826">
        <v>-0.96</v>
      </c>
      <c r="D4826">
        <v>34.99</v>
      </c>
      <c r="E4826" t="s">
        <v>16</v>
      </c>
      <c r="F4826" t="s">
        <v>16</v>
      </c>
      <c r="H4826">
        <v>0.03</v>
      </c>
      <c r="I4826">
        <v>3</v>
      </c>
      <c r="J4826">
        <v>-2.89</v>
      </c>
      <c r="L4826">
        <v>-0.54</v>
      </c>
      <c r="M4826">
        <v>7.8</v>
      </c>
      <c r="N4826">
        <v>0</v>
      </c>
      <c r="O4826">
        <v>5.55</v>
      </c>
    </row>
    <row r="4827" spans="1:15">
      <c r="A4827" t="str">
        <f>"688270"</f>
        <v>688270</v>
      </c>
      <c r="B4827" t="s">
        <v>4872</v>
      </c>
      <c r="C4827">
        <v>4.07</v>
      </c>
      <c r="D4827">
        <v>85.15</v>
      </c>
      <c r="E4827" t="s">
        <v>16</v>
      </c>
      <c r="F4827" t="s">
        <v>16</v>
      </c>
      <c r="H4827">
        <v>0.48</v>
      </c>
      <c r="I4827">
        <v>11.73</v>
      </c>
      <c r="J4827">
        <v>-0.87</v>
      </c>
      <c r="L4827">
        <v>-1.61</v>
      </c>
      <c r="M4827">
        <v>639</v>
      </c>
      <c r="N4827">
        <v>0.04</v>
      </c>
      <c r="O4827">
        <v>1.59</v>
      </c>
    </row>
    <row r="4828" spans="1:15">
      <c r="A4828" t="str">
        <f>"688271"</f>
        <v>688271</v>
      </c>
      <c r="B4828" t="s">
        <v>4873</v>
      </c>
      <c r="C4828">
        <v>-5.99</v>
      </c>
      <c r="D4828">
        <v>103.48</v>
      </c>
      <c r="E4828" t="s">
        <v>16</v>
      </c>
      <c r="F4828" t="s">
        <v>16</v>
      </c>
      <c r="H4828">
        <v>-1.3</v>
      </c>
      <c r="I4828">
        <v>-7.26</v>
      </c>
      <c r="J4828">
        <v>-6.2</v>
      </c>
      <c r="L4828">
        <v>0.2</v>
      </c>
      <c r="M4828">
        <v>109.84</v>
      </c>
      <c r="N4828">
        <v>0</v>
      </c>
      <c r="O4828">
        <v>0.92</v>
      </c>
    </row>
    <row r="4829" spans="1:15">
      <c r="A4829" t="str">
        <f>"688272"</f>
        <v>688272</v>
      </c>
      <c r="B4829" t="s">
        <v>4874</v>
      </c>
      <c r="C4829">
        <v>-2.21</v>
      </c>
      <c r="D4829">
        <v>34.48</v>
      </c>
      <c r="E4829" t="s">
        <v>16</v>
      </c>
      <c r="F4829" t="s">
        <v>16</v>
      </c>
      <c r="H4829">
        <v>-0.16</v>
      </c>
      <c r="I4829">
        <v>0.52</v>
      </c>
      <c r="J4829">
        <v>-2.63</v>
      </c>
      <c r="L4829">
        <v>-1.99</v>
      </c>
      <c r="M4829">
        <v>30.49</v>
      </c>
      <c r="N4829">
        <v>0.03</v>
      </c>
      <c r="O4829">
        <v>3.39</v>
      </c>
    </row>
    <row r="4830" spans="1:15">
      <c r="A4830" t="str">
        <f>"688273"</f>
        <v>688273</v>
      </c>
      <c r="B4830" t="s">
        <v>4875</v>
      </c>
      <c r="C4830">
        <v>2.19</v>
      </c>
      <c r="D4830">
        <v>42.92</v>
      </c>
      <c r="E4830" t="s">
        <v>16</v>
      </c>
      <c r="F4830" t="s">
        <v>16</v>
      </c>
      <c r="H4830">
        <v>-1.1</v>
      </c>
      <c r="I4830">
        <v>0.42</v>
      </c>
      <c r="J4830">
        <v>-1.74</v>
      </c>
      <c r="L4830">
        <v>-0.12</v>
      </c>
      <c r="M4830">
        <v>4.61</v>
      </c>
      <c r="N4830">
        <v>0</v>
      </c>
      <c r="O4830">
        <v>0.11</v>
      </c>
    </row>
    <row r="4831" spans="1:15">
      <c r="A4831" t="str">
        <f>"688275"</f>
        <v>688275</v>
      </c>
      <c r="B4831" t="s">
        <v>4876</v>
      </c>
      <c r="C4831">
        <v>-0.07</v>
      </c>
      <c r="D4831">
        <v>136.05</v>
      </c>
      <c r="E4831" t="s">
        <v>16</v>
      </c>
      <c r="F4831" t="s">
        <v>16</v>
      </c>
      <c r="H4831">
        <v>0.1</v>
      </c>
      <c r="I4831">
        <v>6.26</v>
      </c>
      <c r="J4831">
        <v>-3.02</v>
      </c>
      <c r="L4831">
        <v>0.09</v>
      </c>
      <c r="M4831">
        <v>157.72</v>
      </c>
      <c r="N4831">
        <v>0.02</v>
      </c>
      <c r="O4831">
        <v>0.84</v>
      </c>
    </row>
    <row r="4832" spans="1:15">
      <c r="A4832" t="str">
        <f>"688276"</f>
        <v>688276</v>
      </c>
      <c r="B4832" t="s">
        <v>4877</v>
      </c>
      <c r="C4832">
        <v>2.6</v>
      </c>
      <c r="D4832">
        <v>14.23</v>
      </c>
      <c r="E4832" t="s">
        <v>16</v>
      </c>
      <c r="F4832" t="s">
        <v>16</v>
      </c>
      <c r="H4832">
        <v>-0.27</v>
      </c>
      <c r="I4832">
        <v>-3.2</v>
      </c>
      <c r="J4832">
        <v>-2.8</v>
      </c>
      <c r="L4832">
        <v>0</v>
      </c>
      <c r="M4832">
        <v>24.26</v>
      </c>
      <c r="N4832">
        <v>0.01</v>
      </c>
      <c r="O4832">
        <v>1.9</v>
      </c>
    </row>
    <row r="4833" spans="1:15">
      <c r="A4833" t="str">
        <f>"688277"</f>
        <v>688277</v>
      </c>
      <c r="B4833" t="s">
        <v>4878</v>
      </c>
      <c r="C4833">
        <v>-5.51</v>
      </c>
      <c r="D4833">
        <v>18.87</v>
      </c>
      <c r="E4833" t="s">
        <v>16</v>
      </c>
      <c r="F4833" t="s">
        <v>16</v>
      </c>
      <c r="H4833">
        <v>0.11</v>
      </c>
      <c r="I4833">
        <v>12.72</v>
      </c>
      <c r="J4833">
        <v>-6.35</v>
      </c>
      <c r="L4833">
        <v>-0.05</v>
      </c>
      <c r="M4833">
        <v>65.73</v>
      </c>
      <c r="N4833">
        <v>0.01</v>
      </c>
      <c r="O4833">
        <v>1.26</v>
      </c>
    </row>
    <row r="4834" spans="1:15">
      <c r="A4834" t="str">
        <f>"688278"</f>
        <v>688278</v>
      </c>
      <c r="B4834" t="s">
        <v>4879</v>
      </c>
      <c r="C4834">
        <v>2.31</v>
      </c>
      <c r="D4834">
        <v>55.82</v>
      </c>
      <c r="E4834" t="s">
        <v>16</v>
      </c>
      <c r="F4834" t="s">
        <v>16</v>
      </c>
      <c r="H4834">
        <v>-0.03</v>
      </c>
      <c r="I4834">
        <v>3.18</v>
      </c>
      <c r="J4834">
        <v>-0.55</v>
      </c>
      <c r="L4834">
        <v>-0.13</v>
      </c>
      <c r="M4834">
        <v>7.08</v>
      </c>
      <c r="N4834">
        <v>0</v>
      </c>
      <c r="O4834">
        <v>0.15</v>
      </c>
    </row>
    <row r="4835" spans="1:15">
      <c r="A4835" t="str">
        <f>"688279"</f>
        <v>688279</v>
      </c>
      <c r="B4835" t="s">
        <v>4880</v>
      </c>
      <c r="C4835">
        <v>-0.56</v>
      </c>
      <c r="D4835">
        <v>209.19</v>
      </c>
      <c r="E4835" t="s">
        <v>16</v>
      </c>
      <c r="F4835" t="s">
        <v>16</v>
      </c>
      <c r="H4835">
        <v>0</v>
      </c>
      <c r="I4835">
        <v>-0.74</v>
      </c>
      <c r="J4835">
        <v>-3.38</v>
      </c>
      <c r="L4835">
        <v>0.53</v>
      </c>
      <c r="M4835">
        <v>64.99</v>
      </c>
      <c r="N4835">
        <v>0.01</v>
      </c>
      <c r="O4835">
        <v>1.06</v>
      </c>
    </row>
    <row r="4836" spans="1:15">
      <c r="A4836" t="str">
        <f>"688280"</f>
        <v>688280</v>
      </c>
      <c r="B4836" t="s">
        <v>4881</v>
      </c>
      <c r="C4836">
        <v>-2.52</v>
      </c>
      <c r="D4836">
        <v>6.19</v>
      </c>
      <c r="E4836" t="s">
        <v>16</v>
      </c>
      <c r="F4836" t="s">
        <v>16</v>
      </c>
      <c r="H4836">
        <v>0.16</v>
      </c>
      <c r="I4836">
        <v>10.73</v>
      </c>
      <c r="J4836">
        <v>-3.43</v>
      </c>
      <c r="L4836">
        <v>0.79</v>
      </c>
      <c r="M4836">
        <v>52.59</v>
      </c>
      <c r="N4836">
        <v>0.02</v>
      </c>
      <c r="O4836">
        <v>0.41</v>
      </c>
    </row>
    <row r="4837" spans="1:15">
      <c r="A4837" t="str">
        <f>"688281"</f>
        <v>688281</v>
      </c>
      <c r="B4837" t="s">
        <v>4882</v>
      </c>
      <c r="C4837">
        <v>2.89</v>
      </c>
      <c r="D4837">
        <v>53.35</v>
      </c>
      <c r="E4837" t="s">
        <v>16</v>
      </c>
      <c r="F4837" t="s">
        <v>16</v>
      </c>
      <c r="H4837">
        <v>0.04</v>
      </c>
      <c r="I4837">
        <v>5.79</v>
      </c>
      <c r="J4837">
        <v>-2.45</v>
      </c>
      <c r="L4837">
        <v>-0.68</v>
      </c>
      <c r="M4837">
        <v>13.79</v>
      </c>
      <c r="N4837">
        <v>0</v>
      </c>
      <c r="O4837">
        <v>0.4</v>
      </c>
    </row>
    <row r="4838" spans="1:15">
      <c r="A4838" t="str">
        <f>"688282"</f>
        <v>688282</v>
      </c>
      <c r="B4838" t="s">
        <v>4883</v>
      </c>
      <c r="C4838">
        <v>-5.36</v>
      </c>
      <c r="D4838">
        <v>65.51</v>
      </c>
      <c r="E4838" t="s">
        <v>16</v>
      </c>
      <c r="F4838" t="s">
        <v>16</v>
      </c>
      <c r="H4838">
        <v>-0.67</v>
      </c>
      <c r="I4838">
        <v>-9.78</v>
      </c>
      <c r="J4838">
        <v>-6.25</v>
      </c>
      <c r="L4838">
        <v>-0.32</v>
      </c>
      <c r="M4838">
        <v>0</v>
      </c>
      <c r="N4838">
        <v>0</v>
      </c>
      <c r="O4838">
        <v>0</v>
      </c>
    </row>
    <row r="4839" spans="1:15">
      <c r="A4839" t="str">
        <f>"688283"</f>
        <v>688283</v>
      </c>
      <c r="B4839" t="s">
        <v>4884</v>
      </c>
      <c r="C4839">
        <v>2.21</v>
      </c>
      <c r="D4839">
        <v>36.6</v>
      </c>
      <c r="E4839" t="s">
        <v>16</v>
      </c>
      <c r="F4839" t="s">
        <v>16</v>
      </c>
      <c r="H4839">
        <v>0.25</v>
      </c>
      <c r="I4839">
        <v>0.69</v>
      </c>
      <c r="J4839">
        <v>-3.15</v>
      </c>
      <c r="L4839">
        <v>0.14</v>
      </c>
      <c r="M4839">
        <v>30.08</v>
      </c>
      <c r="N4839">
        <v>0.01</v>
      </c>
      <c r="O4839">
        <v>0.38</v>
      </c>
    </row>
    <row r="4840" spans="1:15">
      <c r="A4840" t="str">
        <f>"688285"</f>
        <v>688285</v>
      </c>
      <c r="B4840" t="s">
        <v>4885</v>
      </c>
      <c r="C4840">
        <v>-1.05</v>
      </c>
      <c r="D4840">
        <v>7.56</v>
      </c>
      <c r="E4840" t="s">
        <v>16</v>
      </c>
      <c r="F4840" t="s">
        <v>16</v>
      </c>
      <c r="H4840">
        <v>0</v>
      </c>
      <c r="I4840">
        <v>-2.45</v>
      </c>
      <c r="J4840">
        <v>-0.79</v>
      </c>
      <c r="L4840">
        <v>-0.39</v>
      </c>
      <c r="M4840">
        <v>13.34</v>
      </c>
      <c r="N4840">
        <v>0.02</v>
      </c>
      <c r="O4840">
        <v>5.16</v>
      </c>
    </row>
    <row r="4841" spans="1:15">
      <c r="A4841" t="str">
        <f>"688286"</f>
        <v>688286</v>
      </c>
      <c r="B4841" t="s">
        <v>4886</v>
      </c>
      <c r="C4841">
        <v>-0.51</v>
      </c>
      <c r="D4841">
        <v>79.9</v>
      </c>
      <c r="E4841" t="s">
        <v>16</v>
      </c>
      <c r="F4841" t="s">
        <v>16</v>
      </c>
      <c r="H4841">
        <v>0.05</v>
      </c>
      <c r="I4841">
        <v>31.63</v>
      </c>
      <c r="J4841">
        <v>-2.23</v>
      </c>
      <c r="L4841">
        <v>0.07</v>
      </c>
      <c r="M4841">
        <v>436.37</v>
      </c>
      <c r="N4841">
        <v>0.12</v>
      </c>
      <c r="O4841">
        <v>1.21</v>
      </c>
    </row>
    <row r="4842" spans="1:15">
      <c r="A4842" t="str">
        <f>"688288"</f>
        <v>688288</v>
      </c>
      <c r="B4842" t="s">
        <v>4887</v>
      </c>
      <c r="C4842">
        <v>-2.39</v>
      </c>
      <c r="D4842">
        <v>19.6</v>
      </c>
      <c r="E4842" t="s">
        <v>16</v>
      </c>
      <c r="F4842" t="s">
        <v>16</v>
      </c>
      <c r="H4842">
        <v>-0.14</v>
      </c>
      <c r="I4842">
        <v>-4.67</v>
      </c>
      <c r="J4842">
        <v>-4.25</v>
      </c>
      <c r="L4842">
        <v>1.79</v>
      </c>
      <c r="M4842">
        <v>15.26</v>
      </c>
      <c r="N4842">
        <v>0.02</v>
      </c>
      <c r="O4842">
        <v>0.35</v>
      </c>
    </row>
    <row r="4843" spans="1:15">
      <c r="A4843" t="str">
        <f>"688289"</f>
        <v>688289</v>
      </c>
      <c r="B4843" t="s">
        <v>4888</v>
      </c>
      <c r="C4843">
        <v>0.99</v>
      </c>
      <c r="D4843">
        <v>14.33</v>
      </c>
      <c r="E4843" t="s">
        <v>16</v>
      </c>
      <c r="F4843" t="s">
        <v>16</v>
      </c>
      <c r="H4843">
        <v>0.07</v>
      </c>
      <c r="I4843">
        <v>-5.66</v>
      </c>
      <c r="J4843">
        <v>-1.51</v>
      </c>
      <c r="L4843">
        <v>-0.63</v>
      </c>
      <c r="M4843">
        <v>4.4</v>
      </c>
      <c r="N4843">
        <v>0</v>
      </c>
      <c r="O4843">
        <v>0.68</v>
      </c>
    </row>
    <row r="4844" spans="1:15">
      <c r="A4844" t="str">
        <f>"688290"</f>
        <v>688290</v>
      </c>
      <c r="B4844" t="s">
        <v>4889</v>
      </c>
      <c r="C4844">
        <v>6.39</v>
      </c>
      <c r="D4844">
        <v>70.3</v>
      </c>
      <c r="E4844" t="s">
        <v>16</v>
      </c>
      <c r="F4844" t="s">
        <v>16</v>
      </c>
      <c r="H4844">
        <v>-0.2</v>
      </c>
      <c r="I4844">
        <v>20.48</v>
      </c>
      <c r="J4844">
        <v>-7.45</v>
      </c>
      <c r="L4844">
        <v>0</v>
      </c>
      <c r="M4844">
        <v>3.04</v>
      </c>
      <c r="N4844">
        <v>0</v>
      </c>
      <c r="O4844">
        <v>0.15</v>
      </c>
    </row>
    <row r="4845" spans="1:15">
      <c r="A4845" t="str">
        <f>"688291"</f>
        <v>688291</v>
      </c>
      <c r="B4845" t="s">
        <v>4890</v>
      </c>
      <c r="C4845">
        <v>7.94</v>
      </c>
      <c r="D4845">
        <v>54.68</v>
      </c>
      <c r="E4845" t="s">
        <v>16</v>
      </c>
      <c r="F4845" t="s">
        <v>16</v>
      </c>
      <c r="H4845">
        <v>0.15</v>
      </c>
      <c r="I4845">
        <v>12.95</v>
      </c>
      <c r="J4845">
        <v>-0.85</v>
      </c>
      <c r="L4845">
        <v>-1.28</v>
      </c>
      <c r="M4845">
        <v>76.14</v>
      </c>
      <c r="N4845">
        <v>0.05</v>
      </c>
      <c r="O4845">
        <v>1.31</v>
      </c>
    </row>
    <row r="4846" spans="1:15">
      <c r="A4846" t="str">
        <f>"688292"</f>
        <v>688292</v>
      </c>
      <c r="B4846" t="s">
        <v>4891</v>
      </c>
      <c r="C4846">
        <v>3.24</v>
      </c>
      <c r="D4846">
        <v>21.04</v>
      </c>
      <c r="E4846" t="s">
        <v>16</v>
      </c>
      <c r="F4846" t="s">
        <v>16</v>
      </c>
      <c r="H4846">
        <v>-0.18</v>
      </c>
      <c r="I4846">
        <v>-2.55</v>
      </c>
      <c r="J4846">
        <v>-0.75</v>
      </c>
      <c r="L4846">
        <v>-1.47</v>
      </c>
      <c r="M4846">
        <v>0</v>
      </c>
      <c r="N4846">
        <v>0</v>
      </c>
      <c r="O4846">
        <v>0</v>
      </c>
    </row>
    <row r="4847" spans="1:15">
      <c r="A4847" t="str">
        <f>"688293"</f>
        <v>688293</v>
      </c>
      <c r="B4847" t="s">
        <v>4892</v>
      </c>
      <c r="C4847">
        <v>1.55</v>
      </c>
      <c r="D4847">
        <v>38.09</v>
      </c>
      <c r="E4847" t="s">
        <v>16</v>
      </c>
      <c r="F4847" t="s">
        <v>16</v>
      </c>
      <c r="H4847">
        <v>0.24</v>
      </c>
      <c r="I4847">
        <v>-0.91</v>
      </c>
      <c r="J4847">
        <v>-2.61</v>
      </c>
      <c r="L4847">
        <v>0.03</v>
      </c>
      <c r="M4847">
        <v>0</v>
      </c>
      <c r="N4847">
        <v>0</v>
      </c>
      <c r="O4847">
        <v>0</v>
      </c>
    </row>
    <row r="4848" spans="1:15">
      <c r="A4848" t="str">
        <f>"688295"</f>
        <v>688295</v>
      </c>
      <c r="B4848" t="s">
        <v>4893</v>
      </c>
      <c r="C4848">
        <v>-2.37</v>
      </c>
      <c r="D4848">
        <v>51.15</v>
      </c>
      <c r="E4848" t="s">
        <v>16</v>
      </c>
      <c r="F4848" t="s">
        <v>16</v>
      </c>
      <c r="H4848">
        <v>-0.05</v>
      </c>
      <c r="I4848">
        <v>4.39</v>
      </c>
      <c r="J4848">
        <v>-5.01</v>
      </c>
      <c r="L4848">
        <v>-0.63</v>
      </c>
      <c r="M4848">
        <v>965.3</v>
      </c>
      <c r="N4848">
        <v>0.12</v>
      </c>
      <c r="O4848">
        <v>1.25</v>
      </c>
    </row>
    <row r="4849" spans="1:15">
      <c r="A4849" t="str">
        <f>"688296"</f>
        <v>688296</v>
      </c>
      <c r="B4849" t="s">
        <v>4894</v>
      </c>
      <c r="C4849">
        <v>0</v>
      </c>
      <c r="D4849">
        <v>12.76</v>
      </c>
      <c r="E4849" t="s">
        <v>16</v>
      </c>
      <c r="F4849" t="s">
        <v>16</v>
      </c>
      <c r="H4849">
        <v>0.31</v>
      </c>
      <c r="I4849">
        <v>-10.08</v>
      </c>
      <c r="J4849">
        <v>-1.24</v>
      </c>
      <c r="L4849">
        <v>-0.71</v>
      </c>
      <c r="M4849">
        <v>25.28</v>
      </c>
      <c r="N4849">
        <v>0.03</v>
      </c>
      <c r="O4849">
        <v>1.5</v>
      </c>
    </row>
    <row r="4850" spans="1:15">
      <c r="A4850" t="str">
        <f>"688297"</f>
        <v>688297</v>
      </c>
      <c r="B4850" t="s">
        <v>4895</v>
      </c>
      <c r="C4850">
        <v>-0.92</v>
      </c>
      <c r="D4850">
        <v>45.31</v>
      </c>
      <c r="E4850" t="s">
        <v>16</v>
      </c>
      <c r="F4850" t="s">
        <v>16</v>
      </c>
      <c r="H4850">
        <v>-0.03</v>
      </c>
      <c r="I4850">
        <v>2.56</v>
      </c>
      <c r="J4850">
        <v>-1.8</v>
      </c>
      <c r="L4850">
        <v>-0.33</v>
      </c>
      <c r="M4850">
        <v>88.9</v>
      </c>
      <c r="N4850">
        <v>0.01</v>
      </c>
      <c r="O4850">
        <v>1.15</v>
      </c>
    </row>
    <row r="4851" spans="1:15">
      <c r="A4851" t="str">
        <f>"688298"</f>
        <v>688298</v>
      </c>
      <c r="B4851" t="s">
        <v>4896</v>
      </c>
      <c r="C4851">
        <v>-1.74</v>
      </c>
      <c r="D4851">
        <v>19.24</v>
      </c>
      <c r="E4851" t="s">
        <v>16</v>
      </c>
      <c r="F4851" t="s">
        <v>16</v>
      </c>
      <c r="H4851">
        <v>0.26</v>
      </c>
      <c r="I4851">
        <v>-3.61</v>
      </c>
      <c r="J4851">
        <v>-1.79</v>
      </c>
      <c r="L4851">
        <v>-0.15</v>
      </c>
      <c r="M4851">
        <v>107.31</v>
      </c>
      <c r="N4851">
        <v>0.05</v>
      </c>
      <c r="O4851">
        <v>10.98</v>
      </c>
    </row>
    <row r="4852" spans="1:15">
      <c r="A4852" t="str">
        <f>"688299"</f>
        <v>688299</v>
      </c>
      <c r="B4852" t="s">
        <v>4897</v>
      </c>
      <c r="C4852">
        <v>-2.23</v>
      </c>
      <c r="D4852">
        <v>17.56</v>
      </c>
      <c r="E4852" t="s">
        <v>16</v>
      </c>
      <c r="F4852" t="s">
        <v>16</v>
      </c>
      <c r="H4852">
        <v>-0.56</v>
      </c>
      <c r="I4852">
        <v>9.96</v>
      </c>
      <c r="J4852">
        <v>-2.71</v>
      </c>
      <c r="L4852">
        <v>0.5</v>
      </c>
      <c r="M4852">
        <v>94.88</v>
      </c>
      <c r="N4852">
        <v>0.02</v>
      </c>
      <c r="O4852">
        <v>2.97</v>
      </c>
    </row>
    <row r="4853" spans="1:15">
      <c r="A4853" t="str">
        <f>"688300"</f>
        <v>688300</v>
      </c>
      <c r="B4853" t="s">
        <v>4898</v>
      </c>
      <c r="C4853">
        <v>14.98</v>
      </c>
      <c r="D4853">
        <v>270.47</v>
      </c>
      <c r="E4853" t="s">
        <v>16</v>
      </c>
      <c r="F4853" t="s">
        <v>16</v>
      </c>
      <c r="H4853">
        <v>-0.03</v>
      </c>
      <c r="I4853">
        <v>60.71</v>
      </c>
      <c r="J4853">
        <v>-2.61</v>
      </c>
      <c r="L4853">
        <v>-0.96</v>
      </c>
      <c r="M4853">
        <v>1976.34</v>
      </c>
      <c r="N4853">
        <v>0.09</v>
      </c>
      <c r="O4853">
        <v>1.05</v>
      </c>
    </row>
    <row r="4854" spans="1:15">
      <c r="A4854" t="str">
        <f>"688301"</f>
        <v>688301</v>
      </c>
      <c r="B4854" t="s">
        <v>4899</v>
      </c>
      <c r="C4854">
        <v>-0.26</v>
      </c>
      <c r="D4854">
        <v>120.54</v>
      </c>
      <c r="E4854" t="s">
        <v>16</v>
      </c>
      <c r="F4854" t="s">
        <v>16</v>
      </c>
      <c r="H4854">
        <v>0.04</v>
      </c>
      <c r="I4854">
        <v>-8.65</v>
      </c>
      <c r="J4854">
        <v>-3.18</v>
      </c>
      <c r="L4854">
        <v>0.55</v>
      </c>
      <c r="M4854">
        <v>609.84</v>
      </c>
      <c r="N4854">
        <v>0.03</v>
      </c>
      <c r="O4854">
        <v>1.71</v>
      </c>
    </row>
    <row r="4855" spans="1:15">
      <c r="A4855" t="str">
        <f>"688302"</f>
        <v>688302</v>
      </c>
      <c r="B4855" t="s">
        <v>4900</v>
      </c>
      <c r="C4855">
        <v>3.49</v>
      </c>
      <c r="D4855">
        <v>35.55</v>
      </c>
      <c r="E4855" t="s">
        <v>16</v>
      </c>
      <c r="F4855" t="s">
        <v>16</v>
      </c>
      <c r="H4855">
        <v>-0.27</v>
      </c>
      <c r="I4855">
        <v>-6.3</v>
      </c>
      <c r="J4855">
        <v>-0.7</v>
      </c>
      <c r="L4855">
        <v>-0.99</v>
      </c>
      <c r="M4855">
        <v>11.22</v>
      </c>
      <c r="N4855">
        <v>0</v>
      </c>
      <c r="O4855">
        <v>0.61</v>
      </c>
    </row>
    <row r="4856" spans="1:15">
      <c r="A4856" t="str">
        <f>"688303"</f>
        <v>688303</v>
      </c>
      <c r="B4856" t="s">
        <v>4901</v>
      </c>
      <c r="C4856">
        <v>-3.86</v>
      </c>
      <c r="D4856">
        <v>19.2</v>
      </c>
      <c r="E4856" t="s">
        <v>16</v>
      </c>
      <c r="F4856" t="s">
        <v>16</v>
      </c>
      <c r="H4856">
        <v>-0.15</v>
      </c>
      <c r="I4856">
        <v>-14.51</v>
      </c>
      <c r="J4856">
        <v>-4.71</v>
      </c>
      <c r="L4856">
        <v>-1.4</v>
      </c>
      <c r="M4856">
        <v>152.99</v>
      </c>
      <c r="N4856">
        <v>0.01</v>
      </c>
      <c r="O4856">
        <v>0.88</v>
      </c>
    </row>
    <row r="4857" spans="1:15">
      <c r="A4857" t="str">
        <f>"688305"</f>
        <v>688305</v>
      </c>
      <c r="B4857" t="s">
        <v>4902</v>
      </c>
      <c r="C4857">
        <v>1.89</v>
      </c>
      <c r="D4857">
        <v>70</v>
      </c>
      <c r="E4857" t="s">
        <v>16</v>
      </c>
      <c r="F4857" t="s">
        <v>16</v>
      </c>
      <c r="H4857">
        <v>0</v>
      </c>
      <c r="I4857">
        <v>14.53</v>
      </c>
      <c r="J4857">
        <v>-0.88</v>
      </c>
      <c r="L4857">
        <v>0</v>
      </c>
      <c r="M4857">
        <v>82.89</v>
      </c>
      <c r="N4857">
        <v>0.02</v>
      </c>
      <c r="O4857">
        <v>0.94</v>
      </c>
    </row>
    <row r="4858" spans="1:15">
      <c r="A4858" t="str">
        <f>"688306"</f>
        <v>688306</v>
      </c>
      <c r="B4858" t="s">
        <v>4903</v>
      </c>
      <c r="C4858">
        <v>11.67</v>
      </c>
      <c r="D4858">
        <v>10.43</v>
      </c>
      <c r="E4858" t="s">
        <v>16</v>
      </c>
      <c r="F4858" t="s">
        <v>16</v>
      </c>
      <c r="H4858">
        <v>-0.37</v>
      </c>
      <c r="I4858">
        <v>17.32</v>
      </c>
      <c r="J4858">
        <v>-1.88</v>
      </c>
      <c r="L4858">
        <v>-0.43</v>
      </c>
      <c r="M4858">
        <v>4.99</v>
      </c>
      <c r="N4858">
        <v>0</v>
      </c>
      <c r="O4858">
        <v>0.03</v>
      </c>
    </row>
    <row r="4859" spans="1:15">
      <c r="A4859" t="str">
        <f>"688307"</f>
        <v>688307</v>
      </c>
      <c r="B4859" t="s">
        <v>4904</v>
      </c>
      <c r="C4859">
        <v>3.53</v>
      </c>
      <c r="D4859">
        <v>75.58</v>
      </c>
      <c r="E4859" t="s">
        <v>16</v>
      </c>
      <c r="F4859" t="s">
        <v>16</v>
      </c>
      <c r="H4859">
        <v>0</v>
      </c>
      <c r="I4859">
        <v>8.75</v>
      </c>
      <c r="J4859">
        <v>-1.82</v>
      </c>
      <c r="L4859">
        <v>-0.27</v>
      </c>
      <c r="M4859">
        <v>215.92</v>
      </c>
      <c r="N4859">
        <v>0.04</v>
      </c>
      <c r="O4859">
        <v>1.39</v>
      </c>
    </row>
    <row r="4860" spans="1:15">
      <c r="A4860" t="str">
        <f>"688308"</f>
        <v>688308</v>
      </c>
      <c r="B4860" t="s">
        <v>4905</v>
      </c>
      <c r="C4860">
        <v>8.08</v>
      </c>
      <c r="D4860">
        <v>188.56</v>
      </c>
      <c r="E4860" t="s">
        <v>16</v>
      </c>
      <c r="F4860" t="s">
        <v>16</v>
      </c>
      <c r="H4860">
        <v>-0.16</v>
      </c>
      <c r="I4860">
        <v>18.03</v>
      </c>
      <c r="J4860">
        <v>-2.59</v>
      </c>
      <c r="L4860">
        <v>-2.4</v>
      </c>
      <c r="M4860">
        <v>1092.64</v>
      </c>
      <c r="N4860">
        <v>0.06</v>
      </c>
      <c r="O4860">
        <v>1.14</v>
      </c>
    </row>
    <row r="4861" spans="1:15">
      <c r="A4861" t="str">
        <f>"688309"</f>
        <v>688309</v>
      </c>
      <c r="B4861" t="s">
        <v>4906</v>
      </c>
      <c r="C4861">
        <v>4.08</v>
      </c>
      <c r="D4861">
        <v>66</v>
      </c>
      <c r="E4861" t="s">
        <v>16</v>
      </c>
      <c r="F4861" t="s">
        <v>16</v>
      </c>
      <c r="H4861">
        <v>0.5</v>
      </c>
      <c r="I4861">
        <v>0.66</v>
      </c>
      <c r="J4861">
        <v>-1.02</v>
      </c>
      <c r="L4861">
        <v>-1.04</v>
      </c>
      <c r="M4861">
        <v>23.22</v>
      </c>
      <c r="N4861">
        <v>0.01</v>
      </c>
      <c r="O4861">
        <v>0.2</v>
      </c>
    </row>
    <row r="4862" spans="1:15">
      <c r="A4862" t="str">
        <f>"688310"</f>
        <v>688310</v>
      </c>
      <c r="B4862" t="s">
        <v>4907</v>
      </c>
      <c r="C4862">
        <v>3.66</v>
      </c>
      <c r="D4862">
        <v>17.26</v>
      </c>
      <c r="E4862" t="s">
        <v>16</v>
      </c>
      <c r="F4862" t="s">
        <v>16</v>
      </c>
      <c r="H4862">
        <v>0</v>
      </c>
      <c r="I4862">
        <v>0.12</v>
      </c>
      <c r="J4862">
        <v>-1.54</v>
      </c>
      <c r="L4862">
        <v>0.12</v>
      </c>
      <c r="M4862">
        <v>0.4</v>
      </c>
      <c r="N4862">
        <v>0</v>
      </c>
      <c r="O4862">
        <v>0.16</v>
      </c>
    </row>
    <row r="4863" spans="1:15">
      <c r="A4863" t="str">
        <f>"688311"</f>
        <v>688311</v>
      </c>
      <c r="B4863" t="s">
        <v>4908</v>
      </c>
      <c r="C4863">
        <v>1.63</v>
      </c>
      <c r="D4863">
        <v>28</v>
      </c>
      <c r="E4863" t="s">
        <v>16</v>
      </c>
      <c r="F4863" t="s">
        <v>16</v>
      </c>
      <c r="H4863">
        <v>-0.03</v>
      </c>
      <c r="I4863">
        <v>-1.41</v>
      </c>
      <c r="J4863">
        <v>-0.46</v>
      </c>
      <c r="L4863">
        <v>-1.27</v>
      </c>
      <c r="M4863">
        <v>39.2</v>
      </c>
      <c r="N4863">
        <v>0.01</v>
      </c>
      <c r="O4863">
        <v>0.53</v>
      </c>
    </row>
    <row r="4864" spans="1:15">
      <c r="A4864" t="str">
        <f>"688312"</f>
        <v>688312</v>
      </c>
      <c r="B4864" t="s">
        <v>4909</v>
      </c>
      <c r="C4864">
        <v>-1.8</v>
      </c>
      <c r="D4864">
        <v>92.6</v>
      </c>
      <c r="E4864" t="s">
        <v>16</v>
      </c>
      <c r="F4864" t="s">
        <v>16</v>
      </c>
      <c r="H4864">
        <v>-0.38</v>
      </c>
      <c r="I4864">
        <v>9.6</v>
      </c>
      <c r="J4864">
        <v>-4.42</v>
      </c>
      <c r="L4864">
        <v>-0.31</v>
      </c>
      <c r="M4864">
        <v>442.11</v>
      </c>
      <c r="N4864">
        <v>0.06</v>
      </c>
      <c r="O4864">
        <v>1.51</v>
      </c>
    </row>
    <row r="4865" spans="1:15">
      <c r="A4865" t="str">
        <f>"688313"</f>
        <v>688313</v>
      </c>
      <c r="B4865" t="s">
        <v>4910</v>
      </c>
      <c r="C4865">
        <v>3.49</v>
      </c>
      <c r="D4865">
        <v>175.44</v>
      </c>
      <c r="E4865" t="s">
        <v>16</v>
      </c>
      <c r="F4865" t="s">
        <v>16</v>
      </c>
      <c r="H4865">
        <v>-0.12</v>
      </c>
      <c r="I4865">
        <v>6.23</v>
      </c>
      <c r="J4865">
        <v>-1.14</v>
      </c>
      <c r="L4865">
        <v>0.87</v>
      </c>
      <c r="M4865">
        <v>2553.29</v>
      </c>
      <c r="N4865">
        <v>0.05</v>
      </c>
      <c r="O4865">
        <v>0.68</v>
      </c>
    </row>
    <row r="4866" spans="1:15">
      <c r="A4866" t="str">
        <f>"688314"</f>
        <v>688314</v>
      </c>
      <c r="B4866" t="s">
        <v>4911</v>
      </c>
      <c r="C4866">
        <v>-2.1</v>
      </c>
      <c r="D4866">
        <v>39.65</v>
      </c>
      <c r="E4866" t="s">
        <v>16</v>
      </c>
      <c r="F4866" t="s">
        <v>16</v>
      </c>
      <c r="H4866">
        <v>1.38</v>
      </c>
      <c r="I4866">
        <v>-7.73</v>
      </c>
      <c r="J4866">
        <v>-3.01</v>
      </c>
      <c r="L4866">
        <v>0.89</v>
      </c>
      <c r="M4866">
        <v>48.45</v>
      </c>
      <c r="N4866">
        <v>0.04</v>
      </c>
      <c r="O4866">
        <v>2.2</v>
      </c>
    </row>
    <row r="4867" spans="1:15">
      <c r="A4867" t="str">
        <f>"688315"</f>
        <v>688315</v>
      </c>
      <c r="B4867" t="s">
        <v>4912</v>
      </c>
      <c r="C4867">
        <v>0.97</v>
      </c>
      <c r="D4867">
        <v>12.49</v>
      </c>
      <c r="E4867" t="s">
        <v>16</v>
      </c>
      <c r="F4867" t="s">
        <v>16</v>
      </c>
      <c r="H4867">
        <v>-0.15</v>
      </c>
      <c r="I4867">
        <v>-5.95</v>
      </c>
      <c r="J4867">
        <v>-2.8</v>
      </c>
      <c r="L4867">
        <v>0.08</v>
      </c>
      <c r="M4867">
        <v>8.54</v>
      </c>
      <c r="N4867">
        <v>0</v>
      </c>
      <c r="O4867">
        <v>1.25</v>
      </c>
    </row>
    <row r="4868" spans="1:15">
      <c r="A4868" t="str">
        <f>"688316"</f>
        <v>688316</v>
      </c>
      <c r="B4868" t="s">
        <v>4913</v>
      </c>
      <c r="C4868">
        <v>0.43</v>
      </c>
      <c r="D4868">
        <v>60.54</v>
      </c>
      <c r="E4868" t="s">
        <v>16</v>
      </c>
      <c r="F4868" t="s">
        <v>16</v>
      </c>
      <c r="H4868">
        <v>0.02</v>
      </c>
      <c r="I4868">
        <v>-1.18</v>
      </c>
      <c r="J4868">
        <v>-1.56</v>
      </c>
      <c r="L4868">
        <v>0</v>
      </c>
      <c r="M4868">
        <v>12.66</v>
      </c>
      <c r="N4868">
        <v>0.01</v>
      </c>
      <c r="O4868">
        <v>0.57</v>
      </c>
    </row>
    <row r="4869" spans="1:15">
      <c r="A4869" t="str">
        <f>"688317"</f>
        <v>688317</v>
      </c>
      <c r="B4869" t="s">
        <v>4914</v>
      </c>
      <c r="C4869">
        <v>0.18</v>
      </c>
      <c r="D4869">
        <v>16.37</v>
      </c>
      <c r="E4869" t="s">
        <v>16</v>
      </c>
      <c r="F4869" t="s">
        <v>16</v>
      </c>
      <c r="H4869">
        <v>0.06</v>
      </c>
      <c r="I4869">
        <v>-9.06</v>
      </c>
      <c r="J4869">
        <v>-2.39</v>
      </c>
      <c r="L4869">
        <v>0.06</v>
      </c>
      <c r="M4869">
        <v>14.07</v>
      </c>
      <c r="N4869">
        <v>0.01</v>
      </c>
      <c r="O4869">
        <v>1.25</v>
      </c>
    </row>
    <row r="4870" spans="1:15">
      <c r="A4870" t="str">
        <f>"688318"</f>
        <v>688318</v>
      </c>
      <c r="B4870" t="s">
        <v>4915</v>
      </c>
      <c r="C4870">
        <v>-2.38</v>
      </c>
      <c r="D4870">
        <v>72.99</v>
      </c>
      <c r="E4870" t="s">
        <v>16</v>
      </c>
      <c r="F4870" t="s">
        <v>16</v>
      </c>
      <c r="H4870">
        <v>0.29</v>
      </c>
      <c r="I4870">
        <v>-13.17</v>
      </c>
      <c r="J4870">
        <v>-3.81</v>
      </c>
      <c r="L4870">
        <v>0.31</v>
      </c>
      <c r="M4870">
        <v>118.51</v>
      </c>
      <c r="N4870">
        <v>0.01</v>
      </c>
      <c r="O4870">
        <v>1.27</v>
      </c>
    </row>
    <row r="4871" spans="1:15">
      <c r="A4871" t="str">
        <f>"688319"</f>
        <v>688319</v>
      </c>
      <c r="B4871" t="s">
        <v>4916</v>
      </c>
      <c r="C4871">
        <v>-2.86</v>
      </c>
      <c r="D4871">
        <v>35.7</v>
      </c>
      <c r="E4871" t="s">
        <v>16</v>
      </c>
      <c r="F4871" t="s">
        <v>16</v>
      </c>
      <c r="H4871">
        <v>0.08</v>
      </c>
      <c r="I4871">
        <v>15.91</v>
      </c>
      <c r="J4871">
        <v>-3.44</v>
      </c>
      <c r="L4871">
        <v>-0.6</v>
      </c>
      <c r="M4871">
        <v>104.71</v>
      </c>
      <c r="N4871">
        <v>0.01</v>
      </c>
      <c r="O4871">
        <v>0.76</v>
      </c>
    </row>
    <row r="4872" spans="1:15">
      <c r="A4872" t="str">
        <f>"688320"</f>
        <v>688320</v>
      </c>
      <c r="B4872" t="s">
        <v>4917</v>
      </c>
      <c r="C4872">
        <v>2.6</v>
      </c>
      <c r="D4872">
        <v>38.65</v>
      </c>
      <c r="E4872" t="s">
        <v>16</v>
      </c>
      <c r="F4872" t="s">
        <v>16</v>
      </c>
      <c r="H4872">
        <v>0.13</v>
      </c>
      <c r="I4872">
        <v>4.32</v>
      </c>
      <c r="J4872">
        <v>-0.9</v>
      </c>
      <c r="L4872">
        <v>0</v>
      </c>
      <c r="M4872">
        <v>17.05</v>
      </c>
      <c r="N4872">
        <v>0</v>
      </c>
      <c r="O4872">
        <v>0.87</v>
      </c>
    </row>
    <row r="4873" spans="1:15">
      <c r="A4873" t="str">
        <f>"688321"</f>
        <v>688321</v>
      </c>
      <c r="B4873" t="s">
        <v>4918</v>
      </c>
      <c r="C4873">
        <v>2.09</v>
      </c>
      <c r="D4873">
        <v>25.43</v>
      </c>
      <c r="E4873" t="s">
        <v>16</v>
      </c>
      <c r="F4873" t="s">
        <v>16</v>
      </c>
      <c r="H4873">
        <v>-0.15</v>
      </c>
      <c r="I4873">
        <v>-1.28</v>
      </c>
      <c r="J4873">
        <v>-1.36</v>
      </c>
      <c r="L4873">
        <v>-0.04</v>
      </c>
      <c r="M4873">
        <v>43.82</v>
      </c>
      <c r="N4873">
        <v>0.01</v>
      </c>
      <c r="O4873">
        <v>1.83</v>
      </c>
    </row>
    <row r="4874" spans="1:15">
      <c r="A4874" t="str">
        <f>"688322"</f>
        <v>688322</v>
      </c>
      <c r="B4874" t="s">
        <v>4919</v>
      </c>
      <c r="C4874">
        <v>2.33</v>
      </c>
      <c r="D4874">
        <v>133.73</v>
      </c>
      <c r="E4874" t="s">
        <v>16</v>
      </c>
      <c r="F4874" t="s">
        <v>16</v>
      </c>
      <c r="H4874">
        <v>0.25</v>
      </c>
      <c r="I4874">
        <v>16.74</v>
      </c>
      <c r="J4874">
        <v>-2.22</v>
      </c>
      <c r="L4874">
        <v>-0.14</v>
      </c>
      <c r="M4874">
        <v>1118.92</v>
      </c>
      <c r="N4874">
        <v>0.04</v>
      </c>
      <c r="O4874">
        <v>0.78</v>
      </c>
    </row>
    <row r="4875" spans="1:15">
      <c r="A4875" t="str">
        <f>"688323"</f>
        <v>688323</v>
      </c>
      <c r="B4875" t="s">
        <v>4920</v>
      </c>
      <c r="C4875">
        <v>1.99</v>
      </c>
      <c r="D4875">
        <v>61.5</v>
      </c>
      <c r="E4875" t="s">
        <v>16</v>
      </c>
      <c r="F4875" t="s">
        <v>16</v>
      </c>
      <c r="H4875">
        <v>-0.51</v>
      </c>
      <c r="I4875">
        <v>100.91</v>
      </c>
      <c r="J4875">
        <v>-2.38</v>
      </c>
      <c r="K4875" t="s">
        <v>54</v>
      </c>
      <c r="L4875">
        <v>-3.81</v>
      </c>
      <c r="M4875">
        <v>3055.31</v>
      </c>
      <c r="N4875">
        <v>0.51</v>
      </c>
      <c r="O4875">
        <v>1.63</v>
      </c>
    </row>
    <row r="4876" spans="1:15">
      <c r="A4876" t="str">
        <f>"688325"</f>
        <v>688325</v>
      </c>
      <c r="B4876" t="s">
        <v>4921</v>
      </c>
      <c r="C4876">
        <v>0.32</v>
      </c>
      <c r="D4876">
        <v>142.42</v>
      </c>
      <c r="E4876" t="s">
        <v>16</v>
      </c>
      <c r="F4876" t="s">
        <v>16</v>
      </c>
      <c r="H4876">
        <v>0.01</v>
      </c>
      <c r="I4876">
        <v>20.17</v>
      </c>
      <c r="J4876">
        <v>-1.31</v>
      </c>
      <c r="L4876">
        <v>-0.01</v>
      </c>
      <c r="M4876">
        <v>80.66</v>
      </c>
      <c r="N4876">
        <v>0.01</v>
      </c>
      <c r="O4876">
        <v>0.95</v>
      </c>
    </row>
    <row r="4877" spans="1:15">
      <c r="A4877" t="str">
        <f>"688326"</f>
        <v>688326</v>
      </c>
      <c r="B4877" t="s">
        <v>4922</v>
      </c>
      <c r="C4877">
        <v>-0.48</v>
      </c>
      <c r="D4877">
        <v>75.41</v>
      </c>
      <c r="E4877" t="s">
        <v>16</v>
      </c>
      <c r="F4877" t="s">
        <v>16</v>
      </c>
      <c r="H4877">
        <v>0.08</v>
      </c>
      <c r="I4877">
        <v>-4.69</v>
      </c>
      <c r="J4877">
        <v>-1.33</v>
      </c>
      <c r="L4877">
        <v>-0.81</v>
      </c>
      <c r="M4877">
        <v>3.01</v>
      </c>
      <c r="N4877">
        <v>0</v>
      </c>
      <c r="O4877">
        <v>0.13</v>
      </c>
    </row>
    <row r="4878" spans="1:15">
      <c r="A4878" t="str">
        <f>"688327"</f>
        <v>688327</v>
      </c>
      <c r="B4878" t="s">
        <v>4923</v>
      </c>
      <c r="C4878">
        <v>3.48</v>
      </c>
      <c r="D4878">
        <v>14.27</v>
      </c>
      <c r="E4878" t="s">
        <v>16</v>
      </c>
      <c r="F4878" t="s">
        <v>16</v>
      </c>
      <c r="H4878">
        <v>-0.06</v>
      </c>
      <c r="I4878">
        <v>14.16</v>
      </c>
      <c r="J4878">
        <v>-2.59</v>
      </c>
      <c r="L4878">
        <v>0</v>
      </c>
      <c r="M4878">
        <v>109.98</v>
      </c>
      <c r="N4878">
        <v>0.01</v>
      </c>
      <c r="O4878">
        <v>0.4</v>
      </c>
    </row>
    <row r="4879" spans="1:15">
      <c r="A4879" t="str">
        <f>"688328"</f>
        <v>688328</v>
      </c>
      <c r="B4879" t="s">
        <v>4924</v>
      </c>
      <c r="C4879">
        <v>3.48</v>
      </c>
      <c r="D4879">
        <v>78</v>
      </c>
      <c r="E4879" t="s">
        <v>16</v>
      </c>
      <c r="F4879" t="s">
        <v>16</v>
      </c>
      <c r="H4879">
        <v>0.19</v>
      </c>
      <c r="I4879">
        <v>7.36</v>
      </c>
      <c r="J4879">
        <v>-1.12</v>
      </c>
      <c r="L4879">
        <v>1.18</v>
      </c>
      <c r="M4879">
        <v>212.94</v>
      </c>
      <c r="N4879">
        <v>0.05</v>
      </c>
      <c r="O4879">
        <v>0.77</v>
      </c>
    </row>
    <row r="4880" spans="1:15">
      <c r="A4880" t="str">
        <f>"688329"</f>
        <v>688329</v>
      </c>
      <c r="B4880" t="s">
        <v>4925</v>
      </c>
      <c r="C4880">
        <v>-0.6</v>
      </c>
      <c r="D4880">
        <v>23.16</v>
      </c>
      <c r="E4880" t="s">
        <v>16</v>
      </c>
      <c r="F4880" t="s">
        <v>16</v>
      </c>
      <c r="H4880">
        <v>0.39</v>
      </c>
      <c r="I4880">
        <v>3.86</v>
      </c>
      <c r="J4880">
        <v>-1.57</v>
      </c>
      <c r="L4880">
        <v>-2.15</v>
      </c>
      <c r="M4880">
        <v>24.69</v>
      </c>
      <c r="N4880">
        <v>0.02</v>
      </c>
      <c r="O4880">
        <v>1.57</v>
      </c>
    </row>
    <row r="4881" spans="1:15">
      <c r="A4881" t="str">
        <f>"688330"</f>
        <v>688330</v>
      </c>
      <c r="B4881" t="s">
        <v>4926</v>
      </c>
      <c r="C4881">
        <v>-1.26</v>
      </c>
      <c r="D4881">
        <v>37.68</v>
      </c>
      <c r="E4881" t="s">
        <v>16</v>
      </c>
      <c r="F4881" t="s">
        <v>16</v>
      </c>
      <c r="H4881">
        <v>-0.18</v>
      </c>
      <c r="I4881">
        <v>4.06</v>
      </c>
      <c r="J4881">
        <v>-1.54</v>
      </c>
      <c r="L4881">
        <v>-0.84</v>
      </c>
      <c r="M4881">
        <v>11.06</v>
      </c>
      <c r="N4881">
        <v>0</v>
      </c>
      <c r="O4881">
        <v>0.65</v>
      </c>
    </row>
    <row r="4882" spans="1:15">
      <c r="A4882" t="str">
        <f>"688331"</f>
        <v>688331</v>
      </c>
      <c r="B4882" t="s">
        <v>4927</v>
      </c>
      <c r="C4882">
        <v>4.84</v>
      </c>
      <c r="D4882">
        <v>114.48</v>
      </c>
      <c r="E4882" t="s">
        <v>16</v>
      </c>
      <c r="F4882" t="s">
        <v>16</v>
      </c>
      <c r="H4882">
        <v>0.12</v>
      </c>
      <c r="I4882">
        <v>8.28</v>
      </c>
      <c r="J4882">
        <v>-4.25</v>
      </c>
      <c r="L4882">
        <v>-1.52</v>
      </c>
      <c r="M4882">
        <v>152.74</v>
      </c>
      <c r="N4882">
        <v>0.01</v>
      </c>
      <c r="O4882">
        <v>1.06</v>
      </c>
    </row>
    <row r="4883" spans="1:15">
      <c r="A4883" t="str">
        <f>"688332"</f>
        <v>688332</v>
      </c>
      <c r="B4883" t="s">
        <v>4928</v>
      </c>
      <c r="C4883">
        <v>0.36</v>
      </c>
      <c r="D4883">
        <v>128</v>
      </c>
      <c r="E4883" t="s">
        <v>16</v>
      </c>
      <c r="F4883" t="s">
        <v>16</v>
      </c>
      <c r="H4883">
        <v>0.05</v>
      </c>
      <c r="I4883">
        <v>43.34</v>
      </c>
      <c r="J4883">
        <v>-0.99</v>
      </c>
      <c r="L4883">
        <v>-0.32</v>
      </c>
      <c r="M4883">
        <v>193.77</v>
      </c>
      <c r="N4883">
        <v>0.02</v>
      </c>
      <c r="O4883">
        <v>0.17</v>
      </c>
    </row>
    <row r="4884" spans="1:15">
      <c r="A4884" t="str">
        <f>"688333"</f>
        <v>688333</v>
      </c>
      <c r="B4884" t="s">
        <v>4929</v>
      </c>
      <c r="C4884">
        <v>20</v>
      </c>
      <c r="D4884">
        <v>107.28</v>
      </c>
      <c r="E4884" t="s">
        <v>16</v>
      </c>
      <c r="F4884" t="s">
        <v>16</v>
      </c>
      <c r="H4884">
        <v>0</v>
      </c>
      <c r="I4884">
        <v>9.53</v>
      </c>
      <c r="J4884">
        <v>0</v>
      </c>
      <c r="K4884" t="s">
        <v>54</v>
      </c>
      <c r="L4884">
        <v>1.99</v>
      </c>
      <c r="M4884">
        <v>4592.11</v>
      </c>
      <c r="N4884">
        <v>0.26</v>
      </c>
      <c r="O4884">
        <v>14.35</v>
      </c>
    </row>
    <row r="4885" spans="1:15">
      <c r="A4885" t="str">
        <f>"688334"</f>
        <v>688334</v>
      </c>
      <c r="B4885" t="s">
        <v>4930</v>
      </c>
      <c r="C4885">
        <v>-2.76</v>
      </c>
      <c r="D4885">
        <v>18.67</v>
      </c>
      <c r="E4885" t="s">
        <v>16</v>
      </c>
      <c r="F4885" t="s">
        <v>16</v>
      </c>
      <c r="H4885">
        <v>0.32</v>
      </c>
      <c r="I4885">
        <v>0.76</v>
      </c>
      <c r="J4885">
        <v>-2.51</v>
      </c>
      <c r="L4885">
        <v>-0.26</v>
      </c>
      <c r="M4885">
        <v>51.22</v>
      </c>
      <c r="N4885">
        <v>0.03</v>
      </c>
      <c r="O4885">
        <v>0.3</v>
      </c>
    </row>
    <row r="4886" spans="1:15">
      <c r="A4886" t="str">
        <f>"688335"</f>
        <v>688335</v>
      </c>
      <c r="B4886" t="s">
        <v>4931</v>
      </c>
      <c r="C4886">
        <v>2.28</v>
      </c>
      <c r="D4886">
        <v>34.08</v>
      </c>
      <c r="E4886" t="s">
        <v>16</v>
      </c>
      <c r="F4886" t="s">
        <v>16</v>
      </c>
      <c r="H4886">
        <v>0.15</v>
      </c>
      <c r="I4886">
        <v>14.63</v>
      </c>
      <c r="J4886">
        <v>-0.23</v>
      </c>
      <c r="L4886">
        <v>-1.26</v>
      </c>
      <c r="M4886">
        <v>10.12</v>
      </c>
      <c r="N4886">
        <v>0</v>
      </c>
      <c r="O4886">
        <v>1.34</v>
      </c>
    </row>
    <row r="4887" spans="1:15">
      <c r="A4887" t="str">
        <f>"688336"</f>
        <v>688336</v>
      </c>
      <c r="B4887" t="s">
        <v>4932</v>
      </c>
      <c r="C4887">
        <v>4.37</v>
      </c>
      <c r="D4887">
        <v>40.15</v>
      </c>
      <c r="E4887" t="s">
        <v>16</v>
      </c>
      <c r="F4887" t="s">
        <v>16</v>
      </c>
      <c r="H4887">
        <v>0.38</v>
      </c>
      <c r="I4887">
        <v>3.11</v>
      </c>
      <c r="J4887">
        <v>-3.99</v>
      </c>
      <c r="L4887">
        <v>0.86</v>
      </c>
      <c r="M4887">
        <v>79.77</v>
      </c>
      <c r="N4887">
        <v>0.01</v>
      </c>
      <c r="O4887">
        <v>1.05</v>
      </c>
    </row>
    <row r="4888" spans="1:15">
      <c r="A4888" t="str">
        <f>"688337"</f>
        <v>688337</v>
      </c>
      <c r="B4888" t="s">
        <v>4933</v>
      </c>
      <c r="C4888">
        <v>0.68</v>
      </c>
      <c r="D4888">
        <v>78.7</v>
      </c>
      <c r="E4888" t="s">
        <v>16</v>
      </c>
      <c r="F4888" t="s">
        <v>16</v>
      </c>
      <c r="H4888">
        <v>0.37</v>
      </c>
      <c r="I4888">
        <v>19.28</v>
      </c>
      <c r="J4888">
        <v>-1.54</v>
      </c>
      <c r="L4888">
        <v>-0.22</v>
      </c>
      <c r="M4888">
        <v>390.94</v>
      </c>
      <c r="N4888">
        <v>0.07</v>
      </c>
      <c r="O4888">
        <v>0.35</v>
      </c>
    </row>
    <row r="4889" spans="1:15">
      <c r="A4889" t="str">
        <f>"688338"</f>
        <v>688338</v>
      </c>
      <c r="B4889" t="s">
        <v>4934</v>
      </c>
      <c r="C4889">
        <v>0.46</v>
      </c>
      <c r="D4889">
        <v>24.04</v>
      </c>
      <c r="E4889" t="s">
        <v>16</v>
      </c>
      <c r="F4889" t="s">
        <v>16</v>
      </c>
      <c r="H4889">
        <v>0.08</v>
      </c>
      <c r="I4889">
        <v>-2.2</v>
      </c>
      <c r="J4889">
        <v>-0.99</v>
      </c>
      <c r="L4889">
        <v>-0.25</v>
      </c>
      <c r="M4889">
        <v>0.92</v>
      </c>
      <c r="N4889">
        <v>0</v>
      </c>
      <c r="O4889">
        <v>0.09</v>
      </c>
    </row>
    <row r="4890" spans="1:15">
      <c r="A4890" t="str">
        <f>"688339"</f>
        <v>688339</v>
      </c>
      <c r="B4890" t="s">
        <v>4935</v>
      </c>
      <c r="C4890">
        <v>-0.75</v>
      </c>
      <c r="D4890">
        <v>19.91</v>
      </c>
      <c r="E4890" t="s">
        <v>16</v>
      </c>
      <c r="F4890" t="s">
        <v>16</v>
      </c>
      <c r="H4890">
        <v>-0.09</v>
      </c>
      <c r="I4890">
        <v>-6.04</v>
      </c>
      <c r="J4890">
        <v>-2.02</v>
      </c>
      <c r="L4890">
        <v>-0.5</v>
      </c>
      <c r="M4890">
        <v>23.14</v>
      </c>
      <c r="N4890">
        <v>0.01</v>
      </c>
      <c r="O4890">
        <v>0.35</v>
      </c>
    </row>
    <row r="4891" spans="1:15">
      <c r="A4891" t="str">
        <f>"688343"</f>
        <v>688343</v>
      </c>
      <c r="B4891" t="s">
        <v>4936</v>
      </c>
      <c r="C4891">
        <v>2.2</v>
      </c>
      <c r="D4891">
        <v>75.63</v>
      </c>
      <c r="E4891" t="s">
        <v>16</v>
      </c>
      <c r="F4891" t="s">
        <v>16</v>
      </c>
      <c r="H4891">
        <v>-0.29</v>
      </c>
      <c r="I4891">
        <v>17.46</v>
      </c>
      <c r="J4891">
        <v>-4</v>
      </c>
      <c r="L4891">
        <v>0.47</v>
      </c>
      <c r="M4891">
        <v>744.94</v>
      </c>
      <c r="N4891">
        <v>0.04</v>
      </c>
      <c r="O4891">
        <v>0.42</v>
      </c>
    </row>
    <row r="4892" spans="1:15">
      <c r="A4892" t="str">
        <f>"688345"</f>
        <v>688345</v>
      </c>
      <c r="B4892" t="s">
        <v>4937</v>
      </c>
      <c r="C4892">
        <v>0.15</v>
      </c>
      <c r="D4892">
        <v>52.67</v>
      </c>
      <c r="E4892" t="s">
        <v>16</v>
      </c>
      <c r="F4892" t="s">
        <v>16</v>
      </c>
      <c r="H4892">
        <v>0.02</v>
      </c>
      <c r="I4892">
        <v>4.09</v>
      </c>
      <c r="J4892">
        <v>-1.46</v>
      </c>
      <c r="L4892">
        <v>1.64</v>
      </c>
      <c r="M4892">
        <v>100.85</v>
      </c>
      <c r="N4892">
        <v>0.06</v>
      </c>
      <c r="O4892">
        <v>15.72</v>
      </c>
    </row>
    <row r="4893" spans="1:15">
      <c r="A4893" t="str">
        <f>"688347"</f>
        <v>688347</v>
      </c>
      <c r="B4893" t="s">
        <v>4938</v>
      </c>
      <c r="C4893">
        <v>6.56</v>
      </c>
      <c r="D4893">
        <v>277.81</v>
      </c>
      <c r="E4893" t="s">
        <v>16</v>
      </c>
      <c r="F4893" t="s">
        <v>16</v>
      </c>
      <c r="H4893">
        <v>-0.26</v>
      </c>
      <c r="I4893">
        <v>13.86</v>
      </c>
      <c r="J4893">
        <v>-5.22</v>
      </c>
      <c r="L4893">
        <v>-1.04</v>
      </c>
      <c r="M4893">
        <v>3563.83</v>
      </c>
      <c r="N4893">
        <v>0.04</v>
      </c>
      <c r="O4893">
        <v>1.13</v>
      </c>
    </row>
    <row r="4894" spans="1:15">
      <c r="A4894" t="str">
        <f>"688348"</f>
        <v>688348</v>
      </c>
      <c r="B4894" t="s">
        <v>4939</v>
      </c>
      <c r="C4894">
        <v>-0.41</v>
      </c>
      <c r="D4894">
        <v>36.45</v>
      </c>
      <c r="E4894" t="s">
        <v>16</v>
      </c>
      <c r="F4894" t="s">
        <v>16</v>
      </c>
      <c r="H4894">
        <v>0.05</v>
      </c>
      <c r="I4894">
        <v>-5.74</v>
      </c>
      <c r="J4894">
        <v>-1.38</v>
      </c>
      <c r="L4894">
        <v>-0.74</v>
      </c>
      <c r="M4894">
        <v>26.82</v>
      </c>
      <c r="N4894">
        <v>0.01</v>
      </c>
      <c r="O4894">
        <v>0.95</v>
      </c>
    </row>
    <row r="4895" spans="1:15">
      <c r="A4895" t="str">
        <f>"688349"</f>
        <v>688349</v>
      </c>
      <c r="B4895" t="s">
        <v>4940</v>
      </c>
      <c r="C4895">
        <v>1.29</v>
      </c>
      <c r="D4895">
        <v>14.12</v>
      </c>
      <c r="E4895" t="s">
        <v>16</v>
      </c>
      <c r="F4895" t="s">
        <v>16</v>
      </c>
      <c r="H4895">
        <v>0.36</v>
      </c>
      <c r="I4895">
        <v>0.28</v>
      </c>
      <c r="J4895">
        <v>-2.55</v>
      </c>
      <c r="L4895">
        <v>0.07</v>
      </c>
      <c r="M4895">
        <v>57.35</v>
      </c>
      <c r="N4895">
        <v>0.01</v>
      </c>
      <c r="O4895">
        <v>2.69</v>
      </c>
    </row>
    <row r="4896" spans="1:15">
      <c r="A4896" t="str">
        <f>"688350"</f>
        <v>688350</v>
      </c>
      <c r="B4896" t="s">
        <v>4941</v>
      </c>
      <c r="C4896">
        <v>0</v>
      </c>
      <c r="D4896">
        <v>34.59</v>
      </c>
      <c r="E4896" t="s">
        <v>16</v>
      </c>
      <c r="F4896" t="s">
        <v>16</v>
      </c>
      <c r="H4896">
        <v>0.32</v>
      </c>
      <c r="I4896">
        <v>2.73</v>
      </c>
      <c r="J4896">
        <v>-2.56</v>
      </c>
      <c r="L4896">
        <v>-1.73</v>
      </c>
      <c r="M4896">
        <v>26.66</v>
      </c>
      <c r="N4896">
        <v>0.01</v>
      </c>
      <c r="O4896">
        <v>0.68</v>
      </c>
    </row>
    <row r="4897" spans="1:15">
      <c r="A4897" t="str">
        <f>"688351"</f>
        <v>688351</v>
      </c>
      <c r="B4897" t="s">
        <v>4942</v>
      </c>
      <c r="C4897">
        <v>1.78</v>
      </c>
      <c r="D4897">
        <v>23.43</v>
      </c>
      <c r="E4897" t="s">
        <v>16</v>
      </c>
      <c r="F4897" t="s">
        <v>16</v>
      </c>
      <c r="H4897">
        <v>-0.03</v>
      </c>
      <c r="I4897">
        <v>0.39</v>
      </c>
      <c r="J4897">
        <v>-3.1</v>
      </c>
      <c r="L4897">
        <v>0.13</v>
      </c>
      <c r="M4897">
        <v>1.84</v>
      </c>
      <c r="N4897">
        <v>0</v>
      </c>
      <c r="O4897">
        <v>0.04</v>
      </c>
    </row>
    <row r="4898" spans="1:15">
      <c r="A4898" t="str">
        <f>"688352"</f>
        <v>688352</v>
      </c>
      <c r="B4898" t="s">
        <v>4943</v>
      </c>
      <c r="C4898">
        <v>1.54</v>
      </c>
      <c r="D4898">
        <v>19.1</v>
      </c>
      <c r="E4898" t="s">
        <v>16</v>
      </c>
      <c r="F4898" t="s">
        <v>16</v>
      </c>
      <c r="H4898">
        <v>-0.09</v>
      </c>
      <c r="I4898">
        <v>-11.2</v>
      </c>
      <c r="J4898">
        <v>-2.25</v>
      </c>
      <c r="L4898">
        <v>0.27</v>
      </c>
      <c r="M4898">
        <v>706.98</v>
      </c>
      <c r="N4898">
        <v>0.1</v>
      </c>
      <c r="O4898">
        <v>3.42</v>
      </c>
    </row>
    <row r="4899" spans="1:15">
      <c r="A4899" t="str">
        <f>"688353"</f>
        <v>688353</v>
      </c>
      <c r="B4899" t="s">
        <v>4944</v>
      </c>
      <c r="C4899">
        <v>2.11</v>
      </c>
      <c r="D4899">
        <v>119.27</v>
      </c>
      <c r="E4899" t="s">
        <v>16</v>
      </c>
      <c r="F4899" t="s">
        <v>16</v>
      </c>
      <c r="H4899">
        <v>-0.02</v>
      </c>
      <c r="I4899">
        <v>46.13</v>
      </c>
      <c r="J4899">
        <v>-2.24</v>
      </c>
      <c r="L4899">
        <v>-0.33</v>
      </c>
      <c r="M4899">
        <v>921.6</v>
      </c>
      <c r="N4899">
        <v>0.11</v>
      </c>
      <c r="O4899">
        <v>1.43</v>
      </c>
    </row>
    <row r="4900" spans="1:15">
      <c r="A4900" t="str">
        <f>"688355"</f>
        <v>688355</v>
      </c>
      <c r="B4900" t="s">
        <v>4945</v>
      </c>
      <c r="C4900">
        <v>-1.89</v>
      </c>
      <c r="D4900">
        <v>18.17</v>
      </c>
      <c r="E4900" t="s">
        <v>16</v>
      </c>
      <c r="F4900" t="s">
        <v>16</v>
      </c>
      <c r="H4900">
        <v>-0.1</v>
      </c>
      <c r="I4900">
        <v>-2.83</v>
      </c>
      <c r="J4900">
        <v>-2.57</v>
      </c>
      <c r="L4900">
        <v>0.16</v>
      </c>
      <c r="M4900">
        <v>18.71</v>
      </c>
      <c r="N4900">
        <v>0.03</v>
      </c>
      <c r="O4900">
        <v>1.46</v>
      </c>
    </row>
    <row r="4901" spans="1:15">
      <c r="A4901" t="str">
        <f>"688356"</f>
        <v>688356</v>
      </c>
      <c r="B4901" t="s">
        <v>4946</v>
      </c>
      <c r="C4901">
        <v>0.62</v>
      </c>
      <c r="D4901">
        <v>69.71</v>
      </c>
      <c r="E4901" t="s">
        <v>16</v>
      </c>
      <c r="F4901" t="s">
        <v>16</v>
      </c>
      <c r="H4901">
        <v>-0.19</v>
      </c>
      <c r="I4901">
        <v>-3.4</v>
      </c>
      <c r="J4901">
        <v>-2.04</v>
      </c>
      <c r="L4901">
        <v>0</v>
      </c>
      <c r="M4901">
        <v>24.94</v>
      </c>
      <c r="N4901">
        <v>0.01</v>
      </c>
      <c r="O4901">
        <v>1.06</v>
      </c>
    </row>
    <row r="4902" spans="1:15">
      <c r="A4902" t="str">
        <f>"688357"</f>
        <v>688357</v>
      </c>
      <c r="B4902" t="s">
        <v>4947</v>
      </c>
      <c r="C4902">
        <v>0.6</v>
      </c>
      <c r="D4902">
        <v>28.42</v>
      </c>
      <c r="E4902" t="s">
        <v>16</v>
      </c>
      <c r="F4902" t="s">
        <v>16</v>
      </c>
      <c r="H4902">
        <v>-0.03</v>
      </c>
      <c r="I4902">
        <v>-0.25</v>
      </c>
      <c r="J4902">
        <v>-2.57</v>
      </c>
      <c r="L4902">
        <v>-0.57</v>
      </c>
      <c r="M4902">
        <v>0</v>
      </c>
      <c r="N4902">
        <v>0</v>
      </c>
      <c r="O4902" t="s">
        <v>16</v>
      </c>
    </row>
    <row r="4903" spans="1:15">
      <c r="A4903" t="str">
        <f>"688358"</f>
        <v>688358</v>
      </c>
      <c r="B4903" t="s">
        <v>4948</v>
      </c>
      <c r="C4903">
        <v>-2.28</v>
      </c>
      <c r="D4903">
        <v>32.2</v>
      </c>
      <c r="E4903" t="s">
        <v>16</v>
      </c>
      <c r="F4903" t="s">
        <v>16</v>
      </c>
      <c r="H4903">
        <v>0</v>
      </c>
      <c r="I4903">
        <v>3.9</v>
      </c>
      <c r="J4903">
        <v>-3.42</v>
      </c>
      <c r="L4903">
        <v>1.18</v>
      </c>
      <c r="M4903">
        <v>22.9</v>
      </c>
      <c r="N4903">
        <v>0.02</v>
      </c>
      <c r="O4903">
        <v>11.45</v>
      </c>
    </row>
    <row r="4904" spans="1:15">
      <c r="A4904" t="str">
        <f>"688359"</f>
        <v>688359</v>
      </c>
      <c r="B4904" t="s">
        <v>4949</v>
      </c>
      <c r="C4904">
        <v>-0.32</v>
      </c>
      <c r="D4904">
        <v>175.44</v>
      </c>
      <c r="E4904" t="s">
        <v>16</v>
      </c>
      <c r="F4904" t="s">
        <v>16</v>
      </c>
      <c r="H4904">
        <v>-0.06</v>
      </c>
      <c r="I4904">
        <v>27.08</v>
      </c>
      <c r="J4904">
        <v>-1.33</v>
      </c>
      <c r="L4904">
        <v>-2.84</v>
      </c>
      <c r="M4904">
        <v>542.14</v>
      </c>
      <c r="N4904">
        <v>0.05</v>
      </c>
      <c r="O4904">
        <v>0.45</v>
      </c>
    </row>
    <row r="4905" spans="1:15">
      <c r="A4905" t="str">
        <f>"688360"</f>
        <v>688360</v>
      </c>
      <c r="B4905" t="s">
        <v>4950</v>
      </c>
      <c r="C4905">
        <v>1.59</v>
      </c>
      <c r="D4905">
        <v>21.1</v>
      </c>
      <c r="E4905" t="s">
        <v>16</v>
      </c>
      <c r="F4905" t="s">
        <v>16</v>
      </c>
      <c r="H4905">
        <v>0.09</v>
      </c>
      <c r="I4905">
        <v>-3.03</v>
      </c>
      <c r="J4905">
        <v>-1.17</v>
      </c>
      <c r="L4905">
        <v>-0.96</v>
      </c>
      <c r="M4905">
        <v>50.89</v>
      </c>
      <c r="N4905">
        <v>0.02</v>
      </c>
      <c r="O4905">
        <v>1.09</v>
      </c>
    </row>
    <row r="4906" spans="1:15">
      <c r="A4906" t="str">
        <f>"688361"</f>
        <v>688361</v>
      </c>
      <c r="B4906" t="s">
        <v>4951</v>
      </c>
      <c r="C4906">
        <v>0.2</v>
      </c>
      <c r="D4906">
        <v>252.21</v>
      </c>
      <c r="E4906" t="s">
        <v>16</v>
      </c>
      <c r="F4906" t="s">
        <v>16</v>
      </c>
      <c r="H4906">
        <v>0.47</v>
      </c>
      <c r="I4906">
        <v>19.49</v>
      </c>
      <c r="J4906">
        <v>-1.82</v>
      </c>
      <c r="L4906">
        <v>-1.01</v>
      </c>
      <c r="M4906">
        <v>1159.39</v>
      </c>
      <c r="N4906">
        <v>0.02</v>
      </c>
      <c r="O4906">
        <v>2.54</v>
      </c>
    </row>
    <row r="4907" spans="1:15">
      <c r="A4907" t="str">
        <f>"688362"</f>
        <v>688362</v>
      </c>
      <c r="B4907" t="s">
        <v>4952</v>
      </c>
      <c r="C4907">
        <v>4.47</v>
      </c>
      <c r="D4907">
        <v>72.5</v>
      </c>
      <c r="E4907" t="s">
        <v>16</v>
      </c>
      <c r="F4907" t="s">
        <v>16</v>
      </c>
      <c r="H4907">
        <v>0.14</v>
      </c>
      <c r="I4907">
        <v>14.73</v>
      </c>
      <c r="J4907">
        <v>-2.21</v>
      </c>
      <c r="L4907">
        <v>-1.44</v>
      </c>
      <c r="M4907">
        <v>1328.74</v>
      </c>
      <c r="N4907">
        <v>0.07</v>
      </c>
      <c r="O4907">
        <v>0.46</v>
      </c>
    </row>
    <row r="4908" spans="1:15">
      <c r="A4908" t="str">
        <f>"688363"</f>
        <v>688363</v>
      </c>
      <c r="B4908" t="s">
        <v>4953</v>
      </c>
      <c r="C4908">
        <v>-1.25</v>
      </c>
      <c r="D4908">
        <v>35.45</v>
      </c>
      <c r="E4908" t="s">
        <v>16</v>
      </c>
      <c r="F4908" t="s">
        <v>16</v>
      </c>
      <c r="H4908">
        <v>-0.16</v>
      </c>
      <c r="I4908">
        <v>2.46</v>
      </c>
      <c r="J4908">
        <v>-2.18</v>
      </c>
      <c r="L4908">
        <v>0.19</v>
      </c>
      <c r="M4908">
        <v>75.97</v>
      </c>
      <c r="N4908">
        <v>0.01</v>
      </c>
      <c r="O4908">
        <v>9.6</v>
      </c>
    </row>
    <row r="4909" spans="1:15">
      <c r="A4909" t="str">
        <f>"688365"</f>
        <v>688365</v>
      </c>
      <c r="B4909" t="s">
        <v>4954</v>
      </c>
      <c r="C4909">
        <v>1.84</v>
      </c>
      <c r="D4909">
        <v>18.22</v>
      </c>
      <c r="E4909" t="s">
        <v>16</v>
      </c>
      <c r="F4909" t="s">
        <v>16</v>
      </c>
      <c r="H4909">
        <v>-0.37</v>
      </c>
      <c r="I4909">
        <v>-6.71</v>
      </c>
      <c r="J4909">
        <v>-0.87</v>
      </c>
      <c r="L4909">
        <v>0</v>
      </c>
      <c r="M4909">
        <v>37.26</v>
      </c>
      <c r="N4909">
        <v>0.01</v>
      </c>
      <c r="O4909">
        <v>1.34</v>
      </c>
    </row>
    <row r="4910" spans="1:15">
      <c r="A4910" t="str">
        <f>"688366"</f>
        <v>688366</v>
      </c>
      <c r="B4910" t="s">
        <v>4955</v>
      </c>
      <c r="C4910">
        <v>-0.17</v>
      </c>
      <c r="D4910">
        <v>30.15</v>
      </c>
      <c r="E4910" t="s">
        <v>16</v>
      </c>
      <c r="F4910" t="s">
        <v>16</v>
      </c>
      <c r="H4910">
        <v>-0.06</v>
      </c>
      <c r="I4910">
        <v>-4.62</v>
      </c>
      <c r="J4910">
        <v>-1.73</v>
      </c>
      <c r="L4910">
        <v>0.6</v>
      </c>
      <c r="M4910">
        <v>0</v>
      </c>
      <c r="N4910">
        <v>0</v>
      </c>
      <c r="O4910">
        <v>0</v>
      </c>
    </row>
    <row r="4911" spans="1:15">
      <c r="A4911" t="str">
        <f>"688367"</f>
        <v>688367</v>
      </c>
      <c r="B4911" t="s">
        <v>4956</v>
      </c>
      <c r="C4911">
        <v>0.79</v>
      </c>
      <c r="D4911">
        <v>37.17</v>
      </c>
      <c r="E4911" t="s">
        <v>16</v>
      </c>
      <c r="F4911" t="s">
        <v>16</v>
      </c>
      <c r="H4911">
        <v>-0.1</v>
      </c>
      <c r="I4911">
        <v>11.86</v>
      </c>
      <c r="J4911">
        <v>-2.67</v>
      </c>
      <c r="L4911">
        <v>-3.44</v>
      </c>
      <c r="M4911">
        <v>1.78</v>
      </c>
      <c r="N4911">
        <v>0</v>
      </c>
      <c r="O4911">
        <v>0.18</v>
      </c>
    </row>
    <row r="4912" spans="1:15">
      <c r="A4912" t="str">
        <f>"688368"</f>
        <v>688368</v>
      </c>
      <c r="B4912" t="s">
        <v>4957</v>
      </c>
      <c r="C4912">
        <v>6.87</v>
      </c>
      <c r="D4912">
        <v>219.2</v>
      </c>
      <c r="E4912" t="s">
        <v>16</v>
      </c>
      <c r="F4912" t="s">
        <v>16</v>
      </c>
      <c r="H4912">
        <v>0</v>
      </c>
      <c r="I4912">
        <v>43.76</v>
      </c>
      <c r="J4912">
        <v>-0.36</v>
      </c>
      <c r="L4912">
        <v>2.34</v>
      </c>
      <c r="M4912">
        <v>486.49</v>
      </c>
      <c r="N4912">
        <v>0.05</v>
      </c>
      <c r="O4912">
        <v>1.87</v>
      </c>
    </row>
    <row r="4913" spans="1:15">
      <c r="A4913" t="str">
        <f>"688369"</f>
        <v>688369</v>
      </c>
      <c r="B4913" t="s">
        <v>4958</v>
      </c>
      <c r="C4913">
        <v>0.28</v>
      </c>
      <c r="D4913">
        <v>21.86</v>
      </c>
      <c r="E4913" t="s">
        <v>16</v>
      </c>
      <c r="F4913" t="s">
        <v>16</v>
      </c>
      <c r="H4913">
        <v>-0.35</v>
      </c>
      <c r="I4913">
        <v>6.58</v>
      </c>
      <c r="J4913">
        <v>-2.76</v>
      </c>
      <c r="L4913">
        <v>0</v>
      </c>
      <c r="M4913">
        <v>13.79</v>
      </c>
      <c r="N4913">
        <v>0.01</v>
      </c>
      <c r="O4913">
        <v>1.62</v>
      </c>
    </row>
    <row r="4914" spans="1:15">
      <c r="A4914" t="str">
        <f>"688370"</f>
        <v>688370</v>
      </c>
      <c r="B4914" t="s">
        <v>4959</v>
      </c>
      <c r="C4914">
        <v>0.53</v>
      </c>
      <c r="D4914">
        <v>22.87</v>
      </c>
      <c r="E4914" t="s">
        <v>16</v>
      </c>
      <c r="F4914" t="s">
        <v>16</v>
      </c>
      <c r="H4914">
        <v>0.18</v>
      </c>
      <c r="I4914">
        <v>4.38</v>
      </c>
      <c r="J4914">
        <v>-2.14</v>
      </c>
      <c r="L4914">
        <v>0.57</v>
      </c>
      <c r="M4914">
        <v>9.51</v>
      </c>
      <c r="N4914">
        <v>0.01</v>
      </c>
      <c r="O4914">
        <v>0.47</v>
      </c>
    </row>
    <row r="4915" spans="1:15">
      <c r="A4915" t="str">
        <f>"688371"</f>
        <v>688371</v>
      </c>
      <c r="B4915" t="s">
        <v>4960</v>
      </c>
      <c r="C4915">
        <v>-11.38</v>
      </c>
      <c r="D4915">
        <v>38</v>
      </c>
      <c r="E4915" t="s">
        <v>16</v>
      </c>
      <c r="F4915" t="s">
        <v>16</v>
      </c>
      <c r="H4915">
        <v>0.34</v>
      </c>
      <c r="I4915">
        <v>-3.89</v>
      </c>
      <c r="J4915">
        <v>-12.44</v>
      </c>
      <c r="L4915">
        <v>-2.71</v>
      </c>
      <c r="M4915">
        <v>622.01</v>
      </c>
      <c r="N4915">
        <v>0.11</v>
      </c>
      <c r="O4915">
        <v>2.43</v>
      </c>
    </row>
    <row r="4916" spans="1:15">
      <c r="A4916" t="str">
        <f>"688372"</f>
        <v>688372</v>
      </c>
      <c r="B4916" t="s">
        <v>4961</v>
      </c>
      <c r="C4916">
        <v>0.52</v>
      </c>
      <c r="D4916">
        <v>165.2</v>
      </c>
      <c r="E4916" t="s">
        <v>16</v>
      </c>
      <c r="F4916" t="s">
        <v>16</v>
      </c>
      <c r="H4916">
        <v>0</v>
      </c>
      <c r="I4916">
        <v>8.12</v>
      </c>
      <c r="J4916">
        <v>-1.94</v>
      </c>
      <c r="L4916">
        <v>0.4</v>
      </c>
      <c r="M4916">
        <v>366.14</v>
      </c>
      <c r="N4916">
        <v>0.02</v>
      </c>
      <c r="O4916">
        <v>1.04</v>
      </c>
    </row>
    <row r="4917" spans="1:15">
      <c r="A4917" t="str">
        <f>"688373"</f>
        <v>688373</v>
      </c>
      <c r="B4917" t="s">
        <v>4962</v>
      </c>
      <c r="C4917">
        <v>5.47</v>
      </c>
      <c r="D4917">
        <v>4.63</v>
      </c>
      <c r="E4917" t="s">
        <v>16</v>
      </c>
      <c r="F4917" t="s">
        <v>16</v>
      </c>
      <c r="H4917">
        <v>0</v>
      </c>
      <c r="I4917">
        <v>1.76</v>
      </c>
      <c r="J4917">
        <v>-3.54</v>
      </c>
      <c r="L4917">
        <v>0.23</v>
      </c>
      <c r="M4917">
        <v>4.43</v>
      </c>
      <c r="N4917">
        <v>0</v>
      </c>
      <c r="O4917">
        <v>0.96</v>
      </c>
    </row>
    <row r="4918" spans="1:15">
      <c r="A4918" t="str">
        <f>"688375"</f>
        <v>688375</v>
      </c>
      <c r="B4918" t="s">
        <v>4963</v>
      </c>
      <c r="C4918">
        <v>3.77</v>
      </c>
      <c r="D4918">
        <v>101.93</v>
      </c>
      <c r="E4918" t="s">
        <v>16</v>
      </c>
      <c r="F4918" t="s">
        <v>16</v>
      </c>
      <c r="H4918">
        <v>-0.34</v>
      </c>
      <c r="I4918">
        <v>12.97</v>
      </c>
      <c r="J4918">
        <v>-0.5</v>
      </c>
      <c r="L4918">
        <v>-1.25</v>
      </c>
      <c r="M4918">
        <v>394</v>
      </c>
      <c r="N4918">
        <v>0.02</v>
      </c>
      <c r="O4918">
        <v>1.49</v>
      </c>
    </row>
    <row r="4919" spans="1:15">
      <c r="A4919" t="str">
        <f>"688376"</f>
        <v>688376</v>
      </c>
      <c r="B4919" t="s">
        <v>4964</v>
      </c>
      <c r="C4919">
        <v>-5.98</v>
      </c>
      <c r="D4919">
        <v>78.73</v>
      </c>
      <c r="E4919" t="s">
        <v>16</v>
      </c>
      <c r="F4919" t="s">
        <v>16</v>
      </c>
      <c r="H4919">
        <v>-0.03</v>
      </c>
      <c r="I4919">
        <v>11.99</v>
      </c>
      <c r="J4919">
        <v>-5.33</v>
      </c>
      <c r="L4919">
        <v>-0.99</v>
      </c>
      <c r="M4919">
        <v>187.38</v>
      </c>
      <c r="N4919">
        <v>0.04</v>
      </c>
      <c r="O4919">
        <v>0.97</v>
      </c>
    </row>
    <row r="4920" spans="1:15">
      <c r="A4920" t="str">
        <f>"688377"</f>
        <v>688377</v>
      </c>
      <c r="B4920" t="s">
        <v>4965</v>
      </c>
      <c r="C4920">
        <v>3.45</v>
      </c>
      <c r="D4920">
        <v>26.1</v>
      </c>
      <c r="E4920" t="s">
        <v>16</v>
      </c>
      <c r="F4920" t="s">
        <v>16</v>
      </c>
      <c r="H4920">
        <v>0.19</v>
      </c>
      <c r="I4920">
        <v>-9.38</v>
      </c>
      <c r="J4920">
        <v>-3.55</v>
      </c>
      <c r="L4920">
        <v>-0.12</v>
      </c>
      <c r="M4920">
        <v>16.78</v>
      </c>
      <c r="N4920">
        <v>0</v>
      </c>
      <c r="O4920">
        <v>1.96</v>
      </c>
    </row>
    <row r="4921" spans="1:15">
      <c r="A4921" t="str">
        <f>"688378"</f>
        <v>688378</v>
      </c>
      <c r="B4921" t="s">
        <v>4966</v>
      </c>
      <c r="C4921">
        <v>2.98</v>
      </c>
      <c r="D4921">
        <v>56.98</v>
      </c>
      <c r="E4921" t="s">
        <v>16</v>
      </c>
      <c r="F4921" t="s">
        <v>16</v>
      </c>
      <c r="H4921">
        <v>0.16</v>
      </c>
      <c r="I4921">
        <v>10.68</v>
      </c>
      <c r="J4921">
        <v>-2.6</v>
      </c>
      <c r="L4921">
        <v>-0.96</v>
      </c>
      <c r="M4921">
        <v>517.17</v>
      </c>
      <c r="N4921">
        <v>0.06</v>
      </c>
      <c r="O4921">
        <v>1.13</v>
      </c>
    </row>
    <row r="4922" spans="1:15">
      <c r="A4922" t="str">
        <f>"688379"</f>
        <v>688379</v>
      </c>
      <c r="B4922" t="s">
        <v>4967</v>
      </c>
      <c r="C4922">
        <v>7.41</v>
      </c>
      <c r="D4922">
        <v>96.13</v>
      </c>
      <c r="E4922" t="s">
        <v>16</v>
      </c>
      <c r="F4922" t="s">
        <v>16</v>
      </c>
      <c r="H4922">
        <v>-0.25</v>
      </c>
      <c r="I4922">
        <v>25.5</v>
      </c>
      <c r="J4922">
        <v>-1.6</v>
      </c>
      <c r="L4922">
        <v>-1.69</v>
      </c>
      <c r="M4922">
        <v>376.19</v>
      </c>
      <c r="N4922">
        <v>0.09</v>
      </c>
      <c r="O4922">
        <v>2.2</v>
      </c>
    </row>
    <row r="4923" spans="1:15">
      <c r="A4923" t="str">
        <f>"688380"</f>
        <v>688380</v>
      </c>
      <c r="B4923" t="s">
        <v>4968</v>
      </c>
      <c r="C4923">
        <v>1.78</v>
      </c>
      <c r="D4923">
        <v>49.68</v>
      </c>
      <c r="E4923" t="s">
        <v>16</v>
      </c>
      <c r="F4923" t="s">
        <v>16</v>
      </c>
      <c r="H4923">
        <v>-0.05</v>
      </c>
      <c r="I4923">
        <v>9.43</v>
      </c>
      <c r="J4923">
        <v>-0.64</v>
      </c>
      <c r="L4923">
        <v>-0.18</v>
      </c>
      <c r="M4923">
        <v>345.68</v>
      </c>
      <c r="N4923">
        <v>0.04</v>
      </c>
      <c r="O4923">
        <v>1.39</v>
      </c>
    </row>
    <row r="4924" spans="1:15">
      <c r="A4924" t="str">
        <f>"688381"</f>
        <v>688381</v>
      </c>
      <c r="B4924" t="s">
        <v>4969</v>
      </c>
      <c r="C4924">
        <v>-4.72</v>
      </c>
      <c r="D4924">
        <v>48</v>
      </c>
      <c r="E4924" t="s">
        <v>16</v>
      </c>
      <c r="F4924" t="s">
        <v>16</v>
      </c>
      <c r="H4924">
        <v>-0.2</v>
      </c>
      <c r="I4924">
        <v>17.73</v>
      </c>
      <c r="J4924">
        <v>-6.52</v>
      </c>
      <c r="L4924">
        <v>1.73</v>
      </c>
      <c r="M4924">
        <v>527.99</v>
      </c>
      <c r="N4924">
        <v>0.05</v>
      </c>
      <c r="O4924">
        <v>1.1</v>
      </c>
    </row>
    <row r="4925" spans="1:15">
      <c r="A4925" t="str">
        <f>"688382"</f>
        <v>688382</v>
      </c>
      <c r="B4925" t="s">
        <v>4970</v>
      </c>
      <c r="C4925">
        <v>2.81</v>
      </c>
      <c r="D4925">
        <v>17.19</v>
      </c>
      <c r="E4925" t="s">
        <v>16</v>
      </c>
      <c r="F4925" t="s">
        <v>16</v>
      </c>
      <c r="H4925">
        <v>0</v>
      </c>
      <c r="I4925">
        <v>-2.88</v>
      </c>
      <c r="J4925">
        <v>-2.44</v>
      </c>
      <c r="L4925">
        <v>-0.72</v>
      </c>
      <c r="M4925">
        <v>15.2</v>
      </c>
      <c r="N4925">
        <v>0</v>
      </c>
      <c r="O4925">
        <v>0.19</v>
      </c>
    </row>
    <row r="4926" spans="1:15">
      <c r="A4926" t="str">
        <f>"688383"</f>
        <v>688383</v>
      </c>
      <c r="B4926" t="s">
        <v>4971</v>
      </c>
      <c r="C4926">
        <v>4.01</v>
      </c>
      <c r="D4926">
        <v>191.37</v>
      </c>
      <c r="E4926" t="s">
        <v>16</v>
      </c>
      <c r="F4926" t="s">
        <v>16</v>
      </c>
      <c r="H4926">
        <v>0.09</v>
      </c>
      <c r="I4926">
        <v>35.42</v>
      </c>
      <c r="J4926">
        <v>-3.48</v>
      </c>
      <c r="L4926">
        <v>1</v>
      </c>
      <c r="M4926">
        <v>503.16</v>
      </c>
      <c r="N4926">
        <v>0.09</v>
      </c>
      <c r="O4926">
        <v>2.82</v>
      </c>
    </row>
    <row r="4927" spans="1:15">
      <c r="A4927" t="str">
        <f>"688385"</f>
        <v>688385</v>
      </c>
      <c r="B4927" t="s">
        <v>4972</v>
      </c>
      <c r="C4927">
        <v>1.68</v>
      </c>
      <c r="D4927">
        <v>60</v>
      </c>
      <c r="E4927" t="s">
        <v>16</v>
      </c>
      <c r="F4927" t="s">
        <v>16</v>
      </c>
      <c r="H4927">
        <v>-0.22</v>
      </c>
      <c r="I4927">
        <v>4.69</v>
      </c>
      <c r="J4927">
        <v>-4.28</v>
      </c>
      <c r="L4927">
        <v>0.59</v>
      </c>
      <c r="M4927">
        <v>534.34</v>
      </c>
      <c r="N4927">
        <v>0.03</v>
      </c>
      <c r="O4927">
        <v>3.11</v>
      </c>
    </row>
    <row r="4928" spans="1:15">
      <c r="A4928" t="str">
        <f>"688386"</f>
        <v>688386</v>
      </c>
      <c r="B4928" t="s">
        <v>4973</v>
      </c>
      <c r="C4928">
        <v>-0.94</v>
      </c>
      <c r="D4928">
        <v>94.5</v>
      </c>
      <c r="E4928" t="s">
        <v>16</v>
      </c>
      <c r="F4928" t="s">
        <v>16</v>
      </c>
      <c r="H4928">
        <v>-0.29</v>
      </c>
      <c r="I4928">
        <v>22.73</v>
      </c>
      <c r="J4928">
        <v>-3.58</v>
      </c>
      <c r="L4928">
        <v>2.73</v>
      </c>
      <c r="M4928">
        <v>326.56</v>
      </c>
      <c r="N4928">
        <v>0.05</v>
      </c>
      <c r="O4928">
        <v>25.63</v>
      </c>
    </row>
    <row r="4929" spans="1:15">
      <c r="A4929" t="str">
        <f>"688387"</f>
        <v>688387</v>
      </c>
      <c r="B4929" t="s">
        <v>4974</v>
      </c>
      <c r="C4929">
        <v>2.01</v>
      </c>
      <c r="D4929">
        <v>17.72</v>
      </c>
      <c r="E4929" t="s">
        <v>16</v>
      </c>
      <c r="F4929" t="s">
        <v>16</v>
      </c>
      <c r="H4929">
        <v>-0.1</v>
      </c>
      <c r="I4929">
        <v>11.24</v>
      </c>
      <c r="J4929">
        <v>-4.88</v>
      </c>
      <c r="L4929">
        <v>-0.12</v>
      </c>
      <c r="M4929">
        <v>1457.64</v>
      </c>
      <c r="N4929">
        <v>0.07</v>
      </c>
      <c r="O4929">
        <v>6.39</v>
      </c>
    </row>
    <row r="4930" spans="1:15">
      <c r="A4930" t="str">
        <f>"688388"</f>
        <v>688388</v>
      </c>
      <c r="B4930" t="s">
        <v>4975</v>
      </c>
      <c r="C4930">
        <v>-0.57</v>
      </c>
      <c r="D4930">
        <v>47.18</v>
      </c>
      <c r="E4930" t="s">
        <v>16</v>
      </c>
      <c r="F4930" t="s">
        <v>16</v>
      </c>
      <c r="H4930">
        <v>-0.16</v>
      </c>
      <c r="I4930">
        <v>47.02</v>
      </c>
      <c r="J4930">
        <v>-3.64</v>
      </c>
      <c r="L4930">
        <v>-2</v>
      </c>
      <c r="M4930">
        <v>3876.23</v>
      </c>
      <c r="N4930">
        <v>0.16</v>
      </c>
      <c r="O4930">
        <v>0.63</v>
      </c>
    </row>
    <row r="4931" spans="1:15">
      <c r="A4931" t="str">
        <f>"688389"</f>
        <v>688389</v>
      </c>
      <c r="B4931" t="s">
        <v>4976</v>
      </c>
      <c r="C4931">
        <v>-0.47</v>
      </c>
      <c r="D4931">
        <v>10.49</v>
      </c>
      <c r="E4931" t="s">
        <v>16</v>
      </c>
      <c r="F4931" t="s">
        <v>16</v>
      </c>
      <c r="H4931">
        <v>-0.18</v>
      </c>
      <c r="I4931">
        <v>-5.75</v>
      </c>
      <c r="J4931">
        <v>-1.78</v>
      </c>
      <c r="L4931">
        <v>-0.09</v>
      </c>
      <c r="M4931">
        <v>0.75</v>
      </c>
      <c r="N4931">
        <v>0</v>
      </c>
      <c r="O4931">
        <v>0.15</v>
      </c>
    </row>
    <row r="4932" spans="1:15">
      <c r="A4932" t="str">
        <f>"688390"</f>
        <v>688390</v>
      </c>
      <c r="B4932" t="s">
        <v>4977</v>
      </c>
      <c r="C4932">
        <v>-0.9</v>
      </c>
      <c r="D4932">
        <v>114.51</v>
      </c>
      <c r="E4932" t="s">
        <v>16</v>
      </c>
      <c r="F4932" t="s">
        <v>16</v>
      </c>
      <c r="H4932">
        <v>-0.09</v>
      </c>
      <c r="I4932">
        <v>-14.75</v>
      </c>
      <c r="J4932">
        <v>-2.68</v>
      </c>
      <c r="L4932">
        <v>-0.65</v>
      </c>
      <c r="M4932">
        <v>134.45</v>
      </c>
      <c r="N4932">
        <v>0.01</v>
      </c>
      <c r="O4932">
        <v>0.55</v>
      </c>
    </row>
    <row r="4933" spans="1:15">
      <c r="A4933" t="str">
        <f>"688391"</f>
        <v>688391</v>
      </c>
      <c r="B4933" t="s">
        <v>4978</v>
      </c>
      <c r="C4933">
        <v>-0.33</v>
      </c>
      <c r="D4933">
        <v>33.08</v>
      </c>
      <c r="E4933" t="s">
        <v>16</v>
      </c>
      <c r="F4933" t="s">
        <v>16</v>
      </c>
      <c r="H4933">
        <v>0</v>
      </c>
      <c r="I4933">
        <v>10.45</v>
      </c>
      <c r="J4933">
        <v>-0.54</v>
      </c>
      <c r="L4933">
        <v>-0.54</v>
      </c>
      <c r="M4933">
        <v>20.13</v>
      </c>
      <c r="N4933">
        <v>0.01</v>
      </c>
      <c r="O4933">
        <v>0.61</v>
      </c>
    </row>
    <row r="4934" spans="1:15">
      <c r="A4934" t="str">
        <f>"688392"</f>
        <v>688392</v>
      </c>
      <c r="B4934" t="s">
        <v>4979</v>
      </c>
      <c r="C4934">
        <v>-2.78</v>
      </c>
      <c r="D4934">
        <v>169.31</v>
      </c>
      <c r="E4934" t="s">
        <v>16</v>
      </c>
      <c r="F4934" t="s">
        <v>16</v>
      </c>
      <c r="H4934">
        <v>0</v>
      </c>
      <c r="I4934">
        <v>1.99</v>
      </c>
      <c r="J4934">
        <v>-1.82</v>
      </c>
      <c r="L4934">
        <v>-1.8</v>
      </c>
      <c r="M4934">
        <v>361.43</v>
      </c>
      <c r="N4934">
        <v>0.03</v>
      </c>
      <c r="O4934">
        <v>2.4</v>
      </c>
    </row>
    <row r="4935" spans="1:15">
      <c r="A4935" t="str">
        <f>"688393"</f>
        <v>688393</v>
      </c>
      <c r="B4935" t="s">
        <v>4980</v>
      </c>
      <c r="C4935">
        <v>0.89</v>
      </c>
      <c r="D4935">
        <v>19.3</v>
      </c>
      <c r="E4935" t="s">
        <v>16</v>
      </c>
      <c r="F4935" t="s">
        <v>16</v>
      </c>
      <c r="H4935">
        <v>0.1</v>
      </c>
      <c r="I4935">
        <v>-3.93</v>
      </c>
      <c r="J4935">
        <v>-1.73</v>
      </c>
      <c r="L4935">
        <v>0.63</v>
      </c>
      <c r="M4935">
        <v>3.47</v>
      </c>
      <c r="N4935">
        <v>0</v>
      </c>
      <c r="O4935">
        <v>0.15</v>
      </c>
    </row>
    <row r="4936" spans="1:15">
      <c r="A4936" t="str">
        <f>"688395"</f>
        <v>688395</v>
      </c>
      <c r="B4936" t="s">
        <v>4981</v>
      </c>
      <c r="C4936">
        <v>-0.53</v>
      </c>
      <c r="D4936">
        <v>24.19</v>
      </c>
      <c r="E4936" t="s">
        <v>16</v>
      </c>
      <c r="F4936" t="s">
        <v>16</v>
      </c>
      <c r="H4936">
        <v>-0.11</v>
      </c>
      <c r="I4936">
        <v>-5.03</v>
      </c>
      <c r="J4936">
        <v>-0.9</v>
      </c>
      <c r="L4936">
        <v>-0.49</v>
      </c>
      <c r="M4936">
        <v>13.02</v>
      </c>
      <c r="N4936">
        <v>0.02</v>
      </c>
      <c r="O4936">
        <v>0.88</v>
      </c>
    </row>
    <row r="4937" spans="1:15">
      <c r="A4937" t="str">
        <f>"688396"</f>
        <v>688396</v>
      </c>
      <c r="B4937" t="s">
        <v>4982</v>
      </c>
      <c r="C4937">
        <v>-0.26</v>
      </c>
      <c r="D4937">
        <v>73.59</v>
      </c>
      <c r="E4937" t="s">
        <v>16</v>
      </c>
      <c r="F4937" t="s">
        <v>16</v>
      </c>
      <c r="H4937">
        <v>-0.04</v>
      </c>
      <c r="I4937">
        <v>1.38</v>
      </c>
      <c r="J4937">
        <v>-2.14</v>
      </c>
      <c r="L4937">
        <v>-1.06</v>
      </c>
      <c r="M4937">
        <v>974.5</v>
      </c>
      <c r="N4937">
        <v>0.03</v>
      </c>
      <c r="O4937">
        <v>0.56</v>
      </c>
    </row>
    <row r="4938" spans="1:15">
      <c r="A4938" t="str">
        <f>"688398"</f>
        <v>688398</v>
      </c>
      <c r="B4938" t="s">
        <v>4983</v>
      </c>
      <c r="C4938">
        <v>6.49</v>
      </c>
      <c r="D4938">
        <v>27.08</v>
      </c>
      <c r="E4938" t="s">
        <v>16</v>
      </c>
      <c r="F4938" t="s">
        <v>16</v>
      </c>
      <c r="H4938">
        <v>-0.17</v>
      </c>
      <c r="I4938">
        <v>-4.95</v>
      </c>
      <c r="J4938">
        <v>-2.2</v>
      </c>
      <c r="L4938">
        <v>-0.28</v>
      </c>
      <c r="M4938">
        <v>42.94</v>
      </c>
      <c r="N4938">
        <v>0.02</v>
      </c>
      <c r="O4938">
        <v>0.54</v>
      </c>
    </row>
    <row r="4939" spans="1:15">
      <c r="A4939" t="str">
        <f>"688399"</f>
        <v>688399</v>
      </c>
      <c r="B4939" t="s">
        <v>4984</v>
      </c>
      <c r="C4939">
        <v>-2.2</v>
      </c>
      <c r="D4939">
        <v>49.35</v>
      </c>
      <c r="E4939" t="s">
        <v>16</v>
      </c>
      <c r="F4939" t="s">
        <v>16</v>
      </c>
      <c r="H4939">
        <v>0.2</v>
      </c>
      <c r="I4939">
        <v>-0.06</v>
      </c>
      <c r="J4939">
        <v>-3.12</v>
      </c>
      <c r="L4939">
        <v>-1.64</v>
      </c>
      <c r="M4939">
        <v>0</v>
      </c>
      <c r="N4939">
        <v>0</v>
      </c>
      <c r="O4939" t="s">
        <v>16</v>
      </c>
    </row>
    <row r="4940" spans="1:15">
      <c r="A4940" t="str">
        <f>"688400"</f>
        <v>688400</v>
      </c>
      <c r="B4940" t="s">
        <v>4985</v>
      </c>
      <c r="C4940">
        <v>14.1</v>
      </c>
      <c r="D4940">
        <v>69.09</v>
      </c>
      <c r="E4940" t="s">
        <v>16</v>
      </c>
      <c r="F4940" t="s">
        <v>16</v>
      </c>
      <c r="H4940">
        <v>0.13</v>
      </c>
      <c r="I4940">
        <v>25.57</v>
      </c>
      <c r="J4940">
        <v>-0.7</v>
      </c>
      <c r="L4940">
        <v>1.59</v>
      </c>
      <c r="M4940">
        <v>866.53</v>
      </c>
      <c r="N4940">
        <v>0.06</v>
      </c>
      <c r="O4940">
        <v>2.25</v>
      </c>
    </row>
    <row r="4941" spans="1:15">
      <c r="A4941" t="str">
        <f>"688401"</f>
        <v>688401</v>
      </c>
      <c r="B4941" t="s">
        <v>4986</v>
      </c>
      <c r="C4941">
        <v>-2.32</v>
      </c>
      <c r="D4941">
        <v>81.12</v>
      </c>
      <c r="E4941" t="s">
        <v>16</v>
      </c>
      <c r="F4941" t="s">
        <v>16</v>
      </c>
      <c r="H4941">
        <v>0.22</v>
      </c>
      <c r="I4941">
        <v>12.2</v>
      </c>
      <c r="J4941">
        <v>-1.86</v>
      </c>
      <c r="L4941">
        <v>-1.3</v>
      </c>
      <c r="M4941">
        <v>327.53</v>
      </c>
      <c r="N4941">
        <v>0.03</v>
      </c>
      <c r="O4941">
        <v>0.72</v>
      </c>
    </row>
    <row r="4942" spans="1:15">
      <c r="A4942" t="str">
        <f>"688403"</f>
        <v>688403</v>
      </c>
      <c r="B4942" t="s">
        <v>4987</v>
      </c>
      <c r="C4942">
        <v>4.27</v>
      </c>
      <c r="D4942">
        <v>30.05</v>
      </c>
      <c r="E4942" t="s">
        <v>16</v>
      </c>
      <c r="F4942" t="s">
        <v>16</v>
      </c>
      <c r="H4942">
        <v>-0.09</v>
      </c>
      <c r="I4942">
        <v>48.91</v>
      </c>
      <c r="J4942">
        <v>-6.39</v>
      </c>
      <c r="L4942">
        <v>3.68</v>
      </c>
      <c r="M4942">
        <v>10706.12</v>
      </c>
      <c r="N4942">
        <v>0.48</v>
      </c>
      <c r="O4942">
        <v>9.86</v>
      </c>
    </row>
    <row r="4943" spans="1:15">
      <c r="A4943" t="str">
        <f>"688408"</f>
        <v>688408</v>
      </c>
      <c r="B4943" t="s">
        <v>4988</v>
      </c>
      <c r="C4943">
        <v>-1.05</v>
      </c>
      <c r="D4943">
        <v>30.18</v>
      </c>
      <c r="E4943" t="s">
        <v>16</v>
      </c>
      <c r="F4943" t="s">
        <v>16</v>
      </c>
      <c r="H4943">
        <v>-0.22</v>
      </c>
      <c r="I4943">
        <v>-5.63</v>
      </c>
      <c r="J4943">
        <v>-2.14</v>
      </c>
      <c r="L4943">
        <v>0.46</v>
      </c>
      <c r="M4943">
        <v>22.36</v>
      </c>
      <c r="N4943">
        <v>0.01</v>
      </c>
      <c r="O4943">
        <v>1.18</v>
      </c>
    </row>
    <row r="4944" spans="1:15">
      <c r="A4944" t="str">
        <f>"688409"</f>
        <v>688409</v>
      </c>
      <c r="B4944" t="s">
        <v>4989</v>
      </c>
      <c r="C4944">
        <v>1.25</v>
      </c>
      <c r="D4944">
        <v>203.3</v>
      </c>
      <c r="E4944" t="s">
        <v>16</v>
      </c>
      <c r="F4944" t="s">
        <v>16</v>
      </c>
      <c r="H4944">
        <v>0.38</v>
      </c>
      <c r="I4944">
        <v>38.31</v>
      </c>
      <c r="J4944">
        <v>-2.17</v>
      </c>
      <c r="L4944">
        <v>0.1</v>
      </c>
      <c r="M4944">
        <v>1546.86</v>
      </c>
      <c r="N4944">
        <v>0.05</v>
      </c>
      <c r="O4944">
        <v>1.77</v>
      </c>
    </row>
    <row r="4945" spans="1:15">
      <c r="A4945" t="str">
        <f>"688410"</f>
        <v>688410</v>
      </c>
      <c r="B4945" t="s">
        <v>4990</v>
      </c>
      <c r="C4945">
        <v>-1.56</v>
      </c>
      <c r="D4945">
        <v>14.51</v>
      </c>
      <c r="E4945" t="s">
        <v>16</v>
      </c>
      <c r="F4945" t="s">
        <v>16</v>
      </c>
      <c r="H4945">
        <v>0</v>
      </c>
      <c r="I4945">
        <v>-1.29</v>
      </c>
      <c r="J4945">
        <v>-2.36</v>
      </c>
      <c r="L4945">
        <v>-0.68</v>
      </c>
      <c r="M4945">
        <v>3.22</v>
      </c>
      <c r="N4945">
        <v>0</v>
      </c>
      <c r="O4945" t="s">
        <v>16</v>
      </c>
    </row>
    <row r="4946" spans="1:15">
      <c r="A4946" t="str">
        <f>"688411"</f>
        <v>688411</v>
      </c>
      <c r="B4946" t="s">
        <v>4991</v>
      </c>
      <c r="C4946">
        <v>1.53</v>
      </c>
      <c r="D4946">
        <v>281</v>
      </c>
      <c r="E4946" t="s">
        <v>16</v>
      </c>
      <c r="F4946" t="s">
        <v>16</v>
      </c>
      <c r="H4946">
        <v>-0.08</v>
      </c>
      <c r="I4946">
        <v>2.22</v>
      </c>
      <c r="J4946">
        <v>-2.2</v>
      </c>
      <c r="L4946">
        <v>0</v>
      </c>
      <c r="M4946">
        <v>435.64</v>
      </c>
      <c r="N4946">
        <v>0.02</v>
      </c>
      <c r="O4946">
        <v>1.16</v>
      </c>
    </row>
    <row r="4947" spans="1:15">
      <c r="A4947" t="str">
        <f>"688416"</f>
        <v>688416</v>
      </c>
      <c r="B4947" t="s">
        <v>4992</v>
      </c>
      <c r="C4947">
        <v>4.46</v>
      </c>
      <c r="D4947">
        <v>144.9</v>
      </c>
      <c r="E4947" t="s">
        <v>16</v>
      </c>
      <c r="F4947" t="s">
        <v>16</v>
      </c>
      <c r="H4947">
        <v>-0.47</v>
      </c>
      <c r="I4947">
        <v>21.76</v>
      </c>
      <c r="J4947">
        <v>-3.33</v>
      </c>
      <c r="L4947">
        <v>0.19</v>
      </c>
      <c r="M4947">
        <v>1950.72</v>
      </c>
      <c r="N4947">
        <v>0.26</v>
      </c>
      <c r="O4947">
        <v>8.07</v>
      </c>
    </row>
    <row r="4948" spans="1:15">
      <c r="A4948" t="str">
        <f>"688418"</f>
        <v>688418</v>
      </c>
      <c r="B4948" t="s">
        <v>4993</v>
      </c>
      <c r="C4948">
        <v>0.92</v>
      </c>
      <c r="D4948">
        <v>46.14</v>
      </c>
      <c r="E4948" t="s">
        <v>16</v>
      </c>
      <c r="F4948" t="s">
        <v>16</v>
      </c>
      <c r="H4948">
        <v>0</v>
      </c>
      <c r="I4948">
        <v>2.22</v>
      </c>
      <c r="J4948">
        <v>-3.07</v>
      </c>
      <c r="L4948">
        <v>-0.98</v>
      </c>
      <c r="M4948">
        <v>51.79</v>
      </c>
      <c r="N4948">
        <v>0.01</v>
      </c>
      <c r="O4948">
        <v>1.29</v>
      </c>
    </row>
    <row r="4949" spans="1:15">
      <c r="A4949" t="str">
        <f>"688419"</f>
        <v>688419</v>
      </c>
      <c r="B4949" t="s">
        <v>4994</v>
      </c>
      <c r="C4949">
        <v>2.44</v>
      </c>
      <c r="D4949">
        <v>69.25</v>
      </c>
      <c r="E4949" t="s">
        <v>16</v>
      </c>
      <c r="F4949" t="s">
        <v>16</v>
      </c>
      <c r="H4949">
        <v>-0.18</v>
      </c>
      <c r="I4949">
        <v>44.21</v>
      </c>
      <c r="J4949">
        <v>-2.04</v>
      </c>
      <c r="L4949">
        <v>0.75</v>
      </c>
      <c r="M4949">
        <v>293.4</v>
      </c>
      <c r="N4949">
        <v>0.09</v>
      </c>
      <c r="O4949">
        <v>0.76</v>
      </c>
    </row>
    <row r="4950" spans="1:15">
      <c r="A4950" t="str">
        <f>"688420"</f>
        <v>688420</v>
      </c>
      <c r="B4950" t="s">
        <v>4995</v>
      </c>
      <c r="C4950">
        <v>1.67</v>
      </c>
      <c r="D4950">
        <v>22.57</v>
      </c>
      <c r="E4950" t="s">
        <v>16</v>
      </c>
      <c r="F4950" t="s">
        <v>16</v>
      </c>
      <c r="H4950">
        <v>-0.03</v>
      </c>
      <c r="I4950">
        <v>-4.61</v>
      </c>
      <c r="J4950">
        <v>-1.23</v>
      </c>
      <c r="L4950">
        <v>-0.81</v>
      </c>
      <c r="M4950">
        <v>12.41</v>
      </c>
      <c r="N4950">
        <v>0.01</v>
      </c>
      <c r="O4950">
        <v>0.61</v>
      </c>
    </row>
    <row r="4951" spans="1:15">
      <c r="A4951" t="str">
        <f>"688425"</f>
        <v>688425</v>
      </c>
      <c r="B4951" t="s">
        <v>4996</v>
      </c>
      <c r="C4951">
        <v>-2.07</v>
      </c>
      <c r="D4951">
        <v>4.26</v>
      </c>
      <c r="E4951" t="s">
        <v>16</v>
      </c>
      <c r="F4951" t="s">
        <v>16</v>
      </c>
      <c r="H4951">
        <v>-0.22</v>
      </c>
      <c r="I4951">
        <v>-0.7</v>
      </c>
      <c r="J4951">
        <v>-1.84</v>
      </c>
      <c r="L4951">
        <v>-0.46</v>
      </c>
      <c r="M4951">
        <v>16.51</v>
      </c>
      <c r="N4951">
        <v>0</v>
      </c>
      <c r="O4951">
        <v>0.59</v>
      </c>
    </row>
    <row r="4952" spans="1:15">
      <c r="A4952" t="str">
        <f>"688426"</f>
        <v>688426</v>
      </c>
      <c r="B4952" t="s">
        <v>4997</v>
      </c>
      <c r="C4952">
        <v>0.8</v>
      </c>
      <c r="D4952">
        <v>16.32</v>
      </c>
      <c r="E4952" t="s">
        <v>16</v>
      </c>
      <c r="F4952" t="s">
        <v>16</v>
      </c>
      <c r="H4952">
        <v>-0.6</v>
      </c>
      <c r="I4952">
        <v>-5.06</v>
      </c>
      <c r="J4952">
        <v>-1.39</v>
      </c>
      <c r="L4952">
        <v>-0.43</v>
      </c>
      <c r="M4952">
        <v>11.99</v>
      </c>
      <c r="N4952">
        <v>0.02</v>
      </c>
      <c r="O4952">
        <v>0.3</v>
      </c>
    </row>
    <row r="4953" spans="1:15">
      <c r="A4953" t="str">
        <f>"688428"</f>
        <v>688428</v>
      </c>
      <c r="B4953" t="s">
        <v>4998</v>
      </c>
      <c r="C4953">
        <v>6.9</v>
      </c>
      <c r="D4953">
        <v>23.86</v>
      </c>
      <c r="E4953" t="s">
        <v>16</v>
      </c>
      <c r="F4953" t="s">
        <v>16</v>
      </c>
      <c r="H4953">
        <v>0.25</v>
      </c>
      <c r="I4953">
        <v>9.45</v>
      </c>
      <c r="J4953">
        <v>-2.61</v>
      </c>
      <c r="L4953">
        <v>-0.09</v>
      </c>
      <c r="M4953">
        <v>0.89</v>
      </c>
      <c r="N4953">
        <v>0</v>
      </c>
      <c r="O4953">
        <v>0.07</v>
      </c>
    </row>
    <row r="4954" spans="1:15">
      <c r="A4954" t="str">
        <f>"688429"</f>
        <v>688429</v>
      </c>
      <c r="B4954" t="s">
        <v>4999</v>
      </c>
      <c r="C4954">
        <v>-0.38</v>
      </c>
      <c r="D4954">
        <v>10.58</v>
      </c>
      <c r="E4954" t="s">
        <v>16</v>
      </c>
      <c r="F4954" t="s">
        <v>16</v>
      </c>
      <c r="H4954">
        <v>0</v>
      </c>
      <c r="I4954">
        <v>-8.87</v>
      </c>
      <c r="J4954">
        <v>-1.58</v>
      </c>
      <c r="L4954">
        <v>1.22</v>
      </c>
      <c r="M4954">
        <v>13.7</v>
      </c>
      <c r="N4954">
        <v>0.01</v>
      </c>
      <c r="O4954">
        <v>1.77</v>
      </c>
    </row>
    <row r="4955" spans="1:15">
      <c r="A4955" t="str">
        <f>"688432"</f>
        <v>688432</v>
      </c>
      <c r="B4955" t="s">
        <v>5000</v>
      </c>
      <c r="C4955">
        <v>-3.12</v>
      </c>
      <c r="D4955">
        <v>25.44</v>
      </c>
      <c r="E4955" t="s">
        <v>16</v>
      </c>
      <c r="F4955" t="s">
        <v>16</v>
      </c>
      <c r="H4955">
        <v>0.08</v>
      </c>
      <c r="I4955">
        <v>23.98</v>
      </c>
      <c r="J4955">
        <v>-5.74</v>
      </c>
      <c r="L4955">
        <v>-1.37</v>
      </c>
      <c r="M4955">
        <v>806.43</v>
      </c>
      <c r="N4955">
        <v>0.1</v>
      </c>
      <c r="O4955">
        <v>0.8</v>
      </c>
    </row>
    <row r="4956" spans="1:15">
      <c r="A4956" t="str">
        <f>"688433"</f>
        <v>688433</v>
      </c>
      <c r="B4956" t="s">
        <v>5001</v>
      </c>
      <c r="C4956">
        <v>9.3</v>
      </c>
      <c r="D4956">
        <v>125.02</v>
      </c>
      <c r="E4956" t="s">
        <v>16</v>
      </c>
      <c r="F4956" t="s">
        <v>16</v>
      </c>
      <c r="H4956">
        <v>0.6</v>
      </c>
      <c r="I4956">
        <v>28.12</v>
      </c>
      <c r="J4956">
        <v>-3.82</v>
      </c>
      <c r="L4956">
        <v>4.9</v>
      </c>
      <c r="M4956">
        <v>3673.42</v>
      </c>
      <c r="N4956">
        <v>0.24</v>
      </c>
      <c r="O4956">
        <v>6.46</v>
      </c>
    </row>
    <row r="4957" spans="1:15">
      <c r="A4957" t="str">
        <f>"688435"</f>
        <v>688435</v>
      </c>
      <c r="B4957" t="s">
        <v>5002</v>
      </c>
      <c r="C4957">
        <v>-1.82</v>
      </c>
      <c r="D4957">
        <v>35.1</v>
      </c>
      <c r="E4957" t="s">
        <v>16</v>
      </c>
      <c r="F4957" t="s">
        <v>16</v>
      </c>
      <c r="H4957">
        <v>-0.36</v>
      </c>
      <c r="I4957">
        <v>-11.41</v>
      </c>
      <c r="J4957">
        <v>-3.84</v>
      </c>
      <c r="L4957">
        <v>-0.2</v>
      </c>
      <c r="M4957">
        <v>1.78</v>
      </c>
      <c r="N4957">
        <v>0</v>
      </c>
      <c r="O4957">
        <v>0.12</v>
      </c>
    </row>
    <row r="4958" spans="1:15">
      <c r="A4958" t="str">
        <f>"688439"</f>
        <v>688439</v>
      </c>
      <c r="B4958" t="s">
        <v>5003</v>
      </c>
      <c r="C4958">
        <v>0.31</v>
      </c>
      <c r="D4958">
        <v>45.5</v>
      </c>
      <c r="E4958" t="s">
        <v>16</v>
      </c>
      <c r="F4958" t="s">
        <v>16</v>
      </c>
      <c r="H4958">
        <v>-0.3</v>
      </c>
      <c r="I4958">
        <v>-7.5</v>
      </c>
      <c r="J4958">
        <v>-0.66</v>
      </c>
      <c r="L4958">
        <v>-0.22</v>
      </c>
      <c r="M4958">
        <v>47.91</v>
      </c>
      <c r="N4958">
        <v>0.01</v>
      </c>
      <c r="O4958">
        <v>1.58</v>
      </c>
    </row>
    <row r="4959" spans="1:15">
      <c r="A4959" t="str">
        <f>"688443"</f>
        <v>688443</v>
      </c>
      <c r="B4959" t="s">
        <v>5004</v>
      </c>
      <c r="C4959">
        <v>5</v>
      </c>
      <c r="D4959">
        <v>21.85</v>
      </c>
      <c r="E4959" t="s">
        <v>16</v>
      </c>
      <c r="F4959" t="s">
        <v>16</v>
      </c>
      <c r="H4959">
        <v>0</v>
      </c>
      <c r="I4959">
        <v>-4.96</v>
      </c>
      <c r="J4959">
        <v>-3.79</v>
      </c>
      <c r="L4959">
        <v>-0.53</v>
      </c>
      <c r="M4959">
        <v>15.04</v>
      </c>
      <c r="N4959">
        <v>0.01</v>
      </c>
      <c r="O4959">
        <v>1.42</v>
      </c>
    </row>
    <row r="4960" spans="1:15">
      <c r="A4960" t="str">
        <f>"688448"</f>
        <v>688448</v>
      </c>
      <c r="B4960" t="s">
        <v>5005</v>
      </c>
      <c r="C4960">
        <v>9.67</v>
      </c>
      <c r="D4960">
        <v>59.77</v>
      </c>
      <c r="E4960" t="s">
        <v>16</v>
      </c>
      <c r="F4960" t="s">
        <v>16</v>
      </c>
      <c r="H4960">
        <v>-0.11</v>
      </c>
      <c r="I4960">
        <v>5.32</v>
      </c>
      <c r="J4960">
        <v>-2.84</v>
      </c>
      <c r="L4960">
        <v>-0.09</v>
      </c>
      <c r="M4960">
        <v>53.84</v>
      </c>
      <c r="N4960">
        <v>0.02</v>
      </c>
      <c r="O4960">
        <v>9.89</v>
      </c>
    </row>
    <row r="4961" spans="1:15">
      <c r="A4961" t="str">
        <f>"688449"</f>
        <v>688449</v>
      </c>
      <c r="B4961" t="s">
        <v>5006</v>
      </c>
      <c r="C4961">
        <v>0.97</v>
      </c>
      <c r="D4961">
        <v>75.83</v>
      </c>
      <c r="E4961" t="s">
        <v>16</v>
      </c>
      <c r="F4961" t="s">
        <v>16</v>
      </c>
      <c r="H4961">
        <v>0.36</v>
      </c>
      <c r="I4961">
        <v>4.23</v>
      </c>
      <c r="J4961">
        <v>-1.66</v>
      </c>
      <c r="L4961">
        <v>-0.13</v>
      </c>
      <c r="M4961">
        <v>455.66</v>
      </c>
      <c r="N4961">
        <v>0.04</v>
      </c>
      <c r="O4961">
        <v>0.6</v>
      </c>
    </row>
    <row r="4962" spans="1:15">
      <c r="A4962" t="str">
        <f>"688450"</f>
        <v>688450</v>
      </c>
      <c r="B4962" t="s">
        <v>5007</v>
      </c>
      <c r="C4962">
        <v>9.07</v>
      </c>
      <c r="D4962">
        <v>51.81</v>
      </c>
      <c r="E4962" t="s">
        <v>16</v>
      </c>
      <c r="F4962" t="s">
        <v>16</v>
      </c>
      <c r="H4962">
        <v>0.41</v>
      </c>
      <c r="I4962">
        <v>17.48</v>
      </c>
      <c r="J4962">
        <v>-0.63</v>
      </c>
      <c r="L4962">
        <v>-2.13</v>
      </c>
      <c r="M4962">
        <v>48.94</v>
      </c>
      <c r="N4962">
        <v>0.03</v>
      </c>
      <c r="O4962">
        <v>1.07</v>
      </c>
    </row>
    <row r="4963" spans="1:15">
      <c r="A4963" t="str">
        <f>"688455"</f>
        <v>688455</v>
      </c>
      <c r="B4963" t="s">
        <v>5008</v>
      </c>
      <c r="C4963">
        <v>3.77</v>
      </c>
      <c r="D4963">
        <v>19.84</v>
      </c>
      <c r="E4963" t="s">
        <v>16</v>
      </c>
      <c r="F4963" t="s">
        <v>16</v>
      </c>
      <c r="H4963">
        <v>0</v>
      </c>
      <c r="I4963">
        <v>3.93</v>
      </c>
      <c r="J4963">
        <v>-0.8</v>
      </c>
      <c r="L4963">
        <v>0.52</v>
      </c>
      <c r="M4963">
        <v>16.4</v>
      </c>
      <c r="N4963">
        <v>0.01</v>
      </c>
      <c r="O4963">
        <v>2.13</v>
      </c>
    </row>
    <row r="4964" spans="1:15">
      <c r="A4964" t="str">
        <f>"688456"</f>
        <v>688456</v>
      </c>
      <c r="B4964" t="s">
        <v>5009</v>
      </c>
      <c r="C4964">
        <v>-1.7</v>
      </c>
      <c r="D4964">
        <v>156.91</v>
      </c>
      <c r="E4964" t="s">
        <v>16</v>
      </c>
      <c r="F4964" t="s">
        <v>16</v>
      </c>
      <c r="H4964">
        <v>0.39</v>
      </c>
      <c r="I4964">
        <v>67.93</v>
      </c>
      <c r="J4964">
        <v>-2.47</v>
      </c>
      <c r="L4964">
        <v>-1.64</v>
      </c>
      <c r="M4964">
        <v>1846.37</v>
      </c>
      <c r="N4964">
        <v>0.18</v>
      </c>
      <c r="O4964">
        <v>0.51</v>
      </c>
    </row>
    <row r="4965" spans="1:15">
      <c r="A4965" t="str">
        <f>"688458"</f>
        <v>688458</v>
      </c>
      <c r="B4965" t="s">
        <v>5010</v>
      </c>
      <c r="C4965">
        <v>1.51</v>
      </c>
      <c r="D4965">
        <v>41.58</v>
      </c>
      <c r="E4965" t="s">
        <v>16</v>
      </c>
      <c r="F4965" t="s">
        <v>16</v>
      </c>
      <c r="H4965">
        <v>-0.16</v>
      </c>
      <c r="I4965">
        <v>12.44</v>
      </c>
      <c r="J4965">
        <v>-1.68</v>
      </c>
      <c r="L4965">
        <v>0.05</v>
      </c>
      <c r="M4965">
        <v>53.11</v>
      </c>
      <c r="N4965">
        <v>0.02</v>
      </c>
      <c r="O4965">
        <v>0.67</v>
      </c>
    </row>
    <row r="4966" spans="1:15">
      <c r="A4966" t="str">
        <f>"688459"</f>
        <v>688459</v>
      </c>
      <c r="B4966" t="s">
        <v>5011</v>
      </c>
      <c r="C4966">
        <v>-0.74</v>
      </c>
      <c r="D4966">
        <v>8.09</v>
      </c>
      <c r="E4966" t="s">
        <v>16</v>
      </c>
      <c r="F4966" t="s">
        <v>16</v>
      </c>
      <c r="H4966">
        <v>0.37</v>
      </c>
      <c r="I4966">
        <v>-2.76</v>
      </c>
      <c r="J4966">
        <v>-0.61</v>
      </c>
      <c r="L4966">
        <v>-1.23</v>
      </c>
      <c r="M4966">
        <v>0</v>
      </c>
      <c r="N4966">
        <v>0</v>
      </c>
      <c r="O4966">
        <v>0</v>
      </c>
    </row>
    <row r="4967" spans="1:15">
      <c r="A4967" t="str">
        <f>"688466"</f>
        <v>688466</v>
      </c>
      <c r="B4967" t="s">
        <v>5012</v>
      </c>
      <c r="C4967">
        <v>0.28</v>
      </c>
      <c r="D4967">
        <v>14.25</v>
      </c>
      <c r="E4967" t="s">
        <v>16</v>
      </c>
      <c r="F4967" t="s">
        <v>16</v>
      </c>
      <c r="H4967">
        <v>0</v>
      </c>
      <c r="I4967">
        <v>-7.41</v>
      </c>
      <c r="J4967">
        <v>-0.49</v>
      </c>
      <c r="L4967">
        <v>0.77</v>
      </c>
      <c r="M4967">
        <v>17.28</v>
      </c>
      <c r="N4967">
        <v>0.02</v>
      </c>
      <c r="O4967">
        <v>1.39</v>
      </c>
    </row>
    <row r="4968" spans="1:15">
      <c r="A4968" t="str">
        <f>"688468"</f>
        <v>688468</v>
      </c>
      <c r="B4968" t="s">
        <v>5013</v>
      </c>
      <c r="C4968">
        <v>-0.67</v>
      </c>
      <c r="D4968">
        <v>5.9</v>
      </c>
      <c r="E4968" t="s">
        <v>16</v>
      </c>
      <c r="F4968" t="s">
        <v>16</v>
      </c>
      <c r="H4968">
        <v>-0.33</v>
      </c>
      <c r="I4968">
        <v>-4.68</v>
      </c>
      <c r="J4968">
        <v>-1.34</v>
      </c>
      <c r="L4968">
        <v>-1.52</v>
      </c>
      <c r="M4968">
        <v>6.12</v>
      </c>
      <c r="N4968">
        <v>0</v>
      </c>
      <c r="O4968">
        <v>0.91</v>
      </c>
    </row>
    <row r="4969" spans="1:15">
      <c r="A4969" t="str">
        <f>"688469"</f>
        <v>688469</v>
      </c>
      <c r="B4969" t="s">
        <v>5014</v>
      </c>
      <c r="C4969">
        <v>1.28</v>
      </c>
      <c r="D4969">
        <v>8.71</v>
      </c>
      <c r="E4969" t="s">
        <v>16</v>
      </c>
      <c r="F4969" t="s">
        <v>16</v>
      </c>
      <c r="H4969">
        <v>-0.45</v>
      </c>
      <c r="I4969">
        <v>11.52</v>
      </c>
      <c r="J4969">
        <v>-2.13</v>
      </c>
      <c r="L4969">
        <v>-0.12</v>
      </c>
      <c r="M4969">
        <v>1027.92</v>
      </c>
      <c r="N4969">
        <v>0.03</v>
      </c>
      <c r="O4969">
        <v>0.98</v>
      </c>
    </row>
    <row r="4970" spans="1:15">
      <c r="A4970" t="str">
        <f>"688472"</f>
        <v>688472</v>
      </c>
      <c r="B4970" t="s">
        <v>5015</v>
      </c>
      <c r="C4970">
        <v>-1.58</v>
      </c>
      <c r="D4970">
        <v>11.2</v>
      </c>
      <c r="E4970" t="s">
        <v>16</v>
      </c>
      <c r="F4970" t="s">
        <v>16</v>
      </c>
      <c r="H4970">
        <v>0</v>
      </c>
      <c r="I4970">
        <v>-6.04</v>
      </c>
      <c r="J4970">
        <v>-2.27</v>
      </c>
      <c r="L4970">
        <v>-0.7</v>
      </c>
      <c r="M4970">
        <v>187.47</v>
      </c>
      <c r="N4970">
        <v>0.01</v>
      </c>
      <c r="O4970">
        <v>1.01</v>
      </c>
    </row>
    <row r="4971" spans="1:15">
      <c r="A4971" t="str">
        <f>"688475"</f>
        <v>688475</v>
      </c>
      <c r="B4971" t="s">
        <v>5016</v>
      </c>
      <c r="C4971">
        <v>0.11</v>
      </c>
      <c r="D4971">
        <v>27.3</v>
      </c>
      <c r="E4971" t="s">
        <v>16</v>
      </c>
      <c r="F4971" t="s">
        <v>16</v>
      </c>
      <c r="H4971">
        <v>-0.21</v>
      </c>
      <c r="I4971">
        <v>0.07</v>
      </c>
      <c r="J4971">
        <v>-1.09</v>
      </c>
      <c r="L4971">
        <v>-0.04</v>
      </c>
      <c r="M4971">
        <v>14.99</v>
      </c>
      <c r="N4971">
        <v>0</v>
      </c>
      <c r="O4971">
        <v>0.7</v>
      </c>
    </row>
    <row r="4972" spans="1:15">
      <c r="A4972" t="str">
        <f>"688478"</f>
        <v>688478</v>
      </c>
      <c r="B4972" t="s">
        <v>5017</v>
      </c>
      <c r="C4972">
        <v>20.01</v>
      </c>
      <c r="D4972">
        <v>80.44</v>
      </c>
      <c r="E4972">
        <v>18865.59</v>
      </c>
      <c r="F4972">
        <v>1</v>
      </c>
      <c r="H4972">
        <v>0</v>
      </c>
      <c r="I4972">
        <v>35.03</v>
      </c>
      <c r="J4972">
        <v>0</v>
      </c>
      <c r="K4972" t="s">
        <v>140</v>
      </c>
      <c r="L4972">
        <v>7.41</v>
      </c>
      <c r="M4972">
        <v>2786.96</v>
      </c>
      <c r="N4972">
        <v>0.52</v>
      </c>
      <c r="O4972">
        <v>3.6</v>
      </c>
    </row>
    <row r="4973" spans="1:15">
      <c r="A4973" t="str">
        <f>"688479"</f>
        <v>688479</v>
      </c>
      <c r="B4973" t="s">
        <v>5018</v>
      </c>
      <c r="C4973">
        <v>-2.06</v>
      </c>
      <c r="D4973">
        <v>37.51</v>
      </c>
      <c r="E4973" t="s">
        <v>16</v>
      </c>
      <c r="F4973" t="s">
        <v>16</v>
      </c>
      <c r="H4973">
        <v>-0.89</v>
      </c>
      <c r="I4973">
        <v>15.1</v>
      </c>
      <c r="J4973">
        <v>-3.22</v>
      </c>
      <c r="L4973">
        <v>0.37</v>
      </c>
      <c r="M4973">
        <v>117.43</v>
      </c>
      <c r="N4973">
        <v>0.04</v>
      </c>
      <c r="O4973">
        <v>13.28</v>
      </c>
    </row>
    <row r="4974" spans="1:15">
      <c r="A4974" t="str">
        <f>"688480"</f>
        <v>688480</v>
      </c>
      <c r="B4974" t="s">
        <v>5019</v>
      </c>
      <c r="C4974">
        <v>0.94</v>
      </c>
      <c r="D4974">
        <v>99.53</v>
      </c>
      <c r="E4974" t="s">
        <v>16</v>
      </c>
      <c r="F4974" t="s">
        <v>16</v>
      </c>
      <c r="H4974">
        <v>0</v>
      </c>
      <c r="I4974">
        <v>8.66</v>
      </c>
      <c r="J4974">
        <v>-1.82</v>
      </c>
      <c r="L4974">
        <v>-0.35</v>
      </c>
      <c r="M4974">
        <v>6.88</v>
      </c>
      <c r="N4974">
        <v>0</v>
      </c>
      <c r="O4974">
        <v>1.17</v>
      </c>
    </row>
    <row r="4975" spans="1:15">
      <c r="A4975" t="str">
        <f>"688484"</f>
        <v>688484</v>
      </c>
      <c r="B4975" t="s">
        <v>5020</v>
      </c>
      <c r="C4975">
        <v>-0.41</v>
      </c>
      <c r="D4975">
        <v>53.68</v>
      </c>
      <c r="E4975" t="s">
        <v>16</v>
      </c>
      <c r="F4975" t="s">
        <v>16</v>
      </c>
      <c r="H4975">
        <v>-0.19</v>
      </c>
      <c r="I4975">
        <v>24.81</v>
      </c>
      <c r="J4975">
        <v>-4.16</v>
      </c>
      <c r="K4975" t="s">
        <v>26</v>
      </c>
      <c r="L4975">
        <v>-2.26</v>
      </c>
      <c r="M4975">
        <v>857.92</v>
      </c>
      <c r="N4975">
        <v>0.05</v>
      </c>
      <c r="O4975">
        <v>0.52</v>
      </c>
    </row>
    <row r="4976" spans="1:15">
      <c r="A4976" t="str">
        <f>"688485"</f>
        <v>688485</v>
      </c>
      <c r="B4976" t="s">
        <v>5021</v>
      </c>
      <c r="C4976">
        <v>20.01</v>
      </c>
      <c r="D4976">
        <v>67.9</v>
      </c>
      <c r="E4976">
        <v>1177.39</v>
      </c>
      <c r="F4976">
        <v>1</v>
      </c>
      <c r="H4976">
        <v>0</v>
      </c>
      <c r="I4976">
        <v>29.09</v>
      </c>
      <c r="J4976">
        <v>0</v>
      </c>
      <c r="K4976" t="s">
        <v>140</v>
      </c>
      <c r="L4976">
        <v>2.3</v>
      </c>
      <c r="M4976">
        <v>321.22</v>
      </c>
      <c r="N4976">
        <v>0.06</v>
      </c>
      <c r="O4976">
        <v>5.24</v>
      </c>
    </row>
    <row r="4977" spans="1:15">
      <c r="A4977" t="str">
        <f>"688486"</f>
        <v>688486</v>
      </c>
      <c r="B4977" t="s">
        <v>5022</v>
      </c>
      <c r="C4977">
        <v>5.85</v>
      </c>
      <c r="D4977">
        <v>56.79</v>
      </c>
      <c r="E4977" t="s">
        <v>16</v>
      </c>
      <c r="F4977" t="s">
        <v>16</v>
      </c>
      <c r="H4977">
        <v>-0.18</v>
      </c>
      <c r="I4977">
        <v>9.19</v>
      </c>
      <c r="J4977">
        <v>-1.71</v>
      </c>
      <c r="L4977">
        <v>2.29</v>
      </c>
      <c r="M4977">
        <v>65.35</v>
      </c>
      <c r="N4977">
        <v>0.01</v>
      </c>
      <c r="O4977">
        <v>0.87</v>
      </c>
    </row>
    <row r="4978" spans="1:15">
      <c r="A4978" t="str">
        <f>"688488"</f>
        <v>688488</v>
      </c>
      <c r="B4978" t="s">
        <v>5023</v>
      </c>
      <c r="C4978">
        <v>-0.32</v>
      </c>
      <c r="D4978">
        <v>12.57</v>
      </c>
      <c r="E4978" t="s">
        <v>16</v>
      </c>
      <c r="F4978" t="s">
        <v>16</v>
      </c>
      <c r="H4978">
        <v>-0.23</v>
      </c>
      <c r="I4978">
        <v>-10.34</v>
      </c>
      <c r="J4978">
        <v>-3.53</v>
      </c>
      <c r="L4978">
        <v>0.24</v>
      </c>
      <c r="M4978">
        <v>31.1</v>
      </c>
      <c r="N4978">
        <v>0.01</v>
      </c>
      <c r="O4978">
        <v>3.42</v>
      </c>
    </row>
    <row r="4979" spans="1:15">
      <c r="A4979" t="str">
        <f>"688489"</f>
        <v>688489</v>
      </c>
      <c r="B4979" t="s">
        <v>5024</v>
      </c>
      <c r="C4979">
        <v>4.21</v>
      </c>
      <c r="D4979">
        <v>24.49</v>
      </c>
      <c r="E4979" t="s">
        <v>16</v>
      </c>
      <c r="F4979" t="s">
        <v>16</v>
      </c>
      <c r="H4979">
        <v>0</v>
      </c>
      <c r="I4979">
        <v>1.07</v>
      </c>
      <c r="J4979">
        <v>-2.66</v>
      </c>
      <c r="L4979">
        <v>-1.28</v>
      </c>
      <c r="M4979">
        <v>27.08</v>
      </c>
      <c r="N4979">
        <v>0.02</v>
      </c>
      <c r="O4979">
        <v>11.67</v>
      </c>
    </row>
    <row r="4980" spans="1:15">
      <c r="A4980" t="str">
        <f>"688496"</f>
        <v>688496</v>
      </c>
      <c r="B4980" t="s">
        <v>5025</v>
      </c>
      <c r="C4980">
        <v>-8.33</v>
      </c>
      <c r="D4980">
        <v>0.88</v>
      </c>
      <c r="E4980" t="s">
        <v>16</v>
      </c>
      <c r="F4980" t="s">
        <v>16</v>
      </c>
      <c r="H4980">
        <v>1.15</v>
      </c>
      <c r="I4980">
        <v>-33.33</v>
      </c>
      <c r="J4980">
        <v>-10.2</v>
      </c>
      <c r="L4980">
        <v>0</v>
      </c>
      <c r="M4980">
        <v>8.83</v>
      </c>
      <c r="N4980">
        <v>0.08</v>
      </c>
      <c r="O4980">
        <v>2.95</v>
      </c>
    </row>
    <row r="4981" spans="1:15">
      <c r="A4981" t="str">
        <f>"688498"</f>
        <v>688498</v>
      </c>
      <c r="B4981" t="s">
        <v>5026</v>
      </c>
      <c r="C4981">
        <v>3.81</v>
      </c>
      <c r="D4981">
        <v>1673.36</v>
      </c>
      <c r="E4981" t="s">
        <v>16</v>
      </c>
      <c r="F4981" t="s">
        <v>16</v>
      </c>
      <c r="H4981">
        <v>-1.09</v>
      </c>
      <c r="I4981">
        <v>21.8</v>
      </c>
      <c r="J4981">
        <v>-2.26</v>
      </c>
      <c r="L4981">
        <v>-0.74</v>
      </c>
      <c r="M4981">
        <v>3493.12</v>
      </c>
      <c r="N4981">
        <v>0.02</v>
      </c>
      <c r="O4981">
        <v>0.38</v>
      </c>
    </row>
    <row r="4982" spans="1:15">
      <c r="A4982" t="str">
        <f>"688499"</f>
        <v>688499</v>
      </c>
      <c r="B4982" t="s">
        <v>5027</v>
      </c>
      <c r="C4982">
        <v>-3.53</v>
      </c>
      <c r="D4982">
        <v>46.99</v>
      </c>
      <c r="E4982" t="s">
        <v>16</v>
      </c>
      <c r="F4982" t="s">
        <v>16</v>
      </c>
      <c r="H4982">
        <v>-0.01</v>
      </c>
      <c r="I4982">
        <v>-6.75</v>
      </c>
      <c r="J4982">
        <v>-5.07</v>
      </c>
      <c r="L4982">
        <v>0.64</v>
      </c>
      <c r="M4982">
        <v>229.46</v>
      </c>
      <c r="N4982">
        <v>0.04</v>
      </c>
      <c r="O4982">
        <v>2.15</v>
      </c>
    </row>
    <row r="4983" spans="1:15">
      <c r="A4983" t="str">
        <f>"688500"</f>
        <v>688500</v>
      </c>
      <c r="B4983" t="s">
        <v>5028</v>
      </c>
      <c r="C4983">
        <v>4.18</v>
      </c>
      <c r="D4983">
        <v>52.06</v>
      </c>
      <c r="E4983" t="s">
        <v>16</v>
      </c>
      <c r="F4983" t="s">
        <v>16</v>
      </c>
      <c r="H4983">
        <v>-0.12</v>
      </c>
      <c r="I4983">
        <v>4.52</v>
      </c>
      <c r="J4983">
        <v>-2.64</v>
      </c>
      <c r="L4983">
        <v>-0.34</v>
      </c>
      <c r="M4983">
        <v>30.88</v>
      </c>
      <c r="N4983">
        <v>0.01</v>
      </c>
      <c r="O4983">
        <v>3.65</v>
      </c>
    </row>
    <row r="4984" spans="1:15">
      <c r="A4984" t="str">
        <f>"688501"</f>
        <v>688501</v>
      </c>
      <c r="B4984" t="s">
        <v>5029</v>
      </c>
      <c r="C4984">
        <v>-1.18</v>
      </c>
      <c r="D4984">
        <v>21.69</v>
      </c>
      <c r="E4984" t="s">
        <v>16</v>
      </c>
      <c r="F4984" t="s">
        <v>16</v>
      </c>
      <c r="H4984">
        <v>-0.36</v>
      </c>
      <c r="I4984">
        <v>1.12</v>
      </c>
      <c r="J4984">
        <v>-2.25</v>
      </c>
      <c r="L4984">
        <v>-0.32</v>
      </c>
      <c r="M4984">
        <v>2.65</v>
      </c>
      <c r="N4984">
        <v>0</v>
      </c>
      <c r="O4984">
        <v>3.03</v>
      </c>
    </row>
    <row r="4985" spans="1:15">
      <c r="A4985" t="str">
        <f>"688502"</f>
        <v>688502</v>
      </c>
      <c r="B4985" t="s">
        <v>5030</v>
      </c>
      <c r="C4985">
        <v>0.22</v>
      </c>
      <c r="D4985">
        <v>520.1</v>
      </c>
      <c r="E4985" t="s">
        <v>16</v>
      </c>
      <c r="F4985" t="s">
        <v>16</v>
      </c>
      <c r="H4985">
        <v>0.02</v>
      </c>
      <c r="I4985">
        <v>12.53</v>
      </c>
      <c r="J4985">
        <v>-1.87</v>
      </c>
      <c r="L4985">
        <v>-1.8</v>
      </c>
      <c r="M4985">
        <v>555.36</v>
      </c>
      <c r="N4985">
        <v>0.06</v>
      </c>
      <c r="O4985">
        <v>0.86</v>
      </c>
    </row>
    <row r="4986" spans="1:15">
      <c r="A4986" t="str">
        <f>"688503"</f>
        <v>688503</v>
      </c>
      <c r="B4986" t="s">
        <v>5031</v>
      </c>
      <c r="C4986">
        <v>3.13</v>
      </c>
      <c r="D4986">
        <v>98.58</v>
      </c>
      <c r="E4986" t="s">
        <v>16</v>
      </c>
      <c r="F4986" t="s">
        <v>16</v>
      </c>
      <c r="H4986">
        <v>-0.04</v>
      </c>
      <c r="I4986">
        <v>9.59</v>
      </c>
      <c r="J4986">
        <v>-1.94</v>
      </c>
      <c r="L4986">
        <v>-0.41</v>
      </c>
      <c r="M4986">
        <v>672.58</v>
      </c>
      <c r="N4986">
        <v>0.04</v>
      </c>
      <c r="O4986">
        <v>0.97</v>
      </c>
    </row>
    <row r="4987" spans="1:15">
      <c r="A4987" t="str">
        <f>"688505"</f>
        <v>688505</v>
      </c>
      <c r="B4987" t="s">
        <v>5032</v>
      </c>
      <c r="C4987">
        <v>5.62</v>
      </c>
      <c r="D4987">
        <v>7.14</v>
      </c>
      <c r="E4987" t="s">
        <v>16</v>
      </c>
      <c r="F4987" t="s">
        <v>16</v>
      </c>
      <c r="H4987">
        <v>-0.13</v>
      </c>
      <c r="I4987">
        <v>4.39</v>
      </c>
      <c r="J4987">
        <v>-5.18</v>
      </c>
      <c r="L4987">
        <v>0.3</v>
      </c>
      <c r="M4987">
        <v>0</v>
      </c>
      <c r="N4987">
        <v>0</v>
      </c>
      <c r="O4987">
        <v>0</v>
      </c>
    </row>
    <row r="4988" spans="1:15">
      <c r="A4988" t="str">
        <f>"688506"</f>
        <v>688506</v>
      </c>
      <c r="B4988" t="s">
        <v>5033</v>
      </c>
      <c r="C4988">
        <v>-0.25</v>
      </c>
      <c r="D4988">
        <v>229.43</v>
      </c>
      <c r="E4988" t="s">
        <v>16</v>
      </c>
      <c r="F4988" t="s">
        <v>16</v>
      </c>
      <c r="H4988">
        <v>-0.48</v>
      </c>
      <c r="I4988">
        <v>7.76</v>
      </c>
      <c r="J4988">
        <v>-5.69</v>
      </c>
      <c r="L4988">
        <v>-1.01</v>
      </c>
      <c r="M4988">
        <v>9.11</v>
      </c>
      <c r="N4988">
        <v>0</v>
      </c>
      <c r="O4988">
        <v>0.11</v>
      </c>
    </row>
    <row r="4989" spans="1:15">
      <c r="A4989" t="str">
        <f>"688507"</f>
        <v>688507</v>
      </c>
      <c r="B4989" t="s">
        <v>5034</v>
      </c>
      <c r="C4989">
        <v>4.31</v>
      </c>
      <c r="D4989">
        <v>254.5</v>
      </c>
      <c r="E4989" t="s">
        <v>16</v>
      </c>
      <c r="F4989" t="s">
        <v>16</v>
      </c>
      <c r="H4989">
        <v>1.23</v>
      </c>
      <c r="I4989">
        <v>50.66</v>
      </c>
      <c r="J4989">
        <v>-1.51</v>
      </c>
      <c r="L4989">
        <v>2.05</v>
      </c>
      <c r="M4989">
        <v>2281.91</v>
      </c>
      <c r="N4989">
        <v>0.19</v>
      </c>
      <c r="O4989">
        <v>0.92</v>
      </c>
    </row>
    <row r="4990" spans="1:15">
      <c r="A4990" t="str">
        <f>"688508"</f>
        <v>688508</v>
      </c>
      <c r="B4990" t="s">
        <v>5035</v>
      </c>
      <c r="C4990">
        <v>-2.3</v>
      </c>
      <c r="D4990">
        <v>90.1</v>
      </c>
      <c r="E4990" t="s">
        <v>16</v>
      </c>
      <c r="F4990" t="s">
        <v>16</v>
      </c>
      <c r="H4990">
        <v>0</v>
      </c>
      <c r="I4990">
        <v>3.98</v>
      </c>
      <c r="J4990">
        <v>-4.25</v>
      </c>
      <c r="L4990">
        <v>1.13</v>
      </c>
      <c r="M4990">
        <v>240.25</v>
      </c>
      <c r="N4990">
        <v>0.03</v>
      </c>
      <c r="O4990">
        <v>1.1</v>
      </c>
    </row>
    <row r="4991" spans="1:15">
      <c r="A4991" t="str">
        <f>"688509"</f>
        <v>688509</v>
      </c>
      <c r="B4991" t="s">
        <v>5036</v>
      </c>
      <c r="C4991">
        <v>-0.83</v>
      </c>
      <c r="D4991">
        <v>4.76</v>
      </c>
      <c r="E4991" t="s">
        <v>16</v>
      </c>
      <c r="F4991" t="s">
        <v>16</v>
      </c>
      <c r="H4991">
        <v>0.42</v>
      </c>
      <c r="I4991">
        <v>-4.61</v>
      </c>
      <c r="J4991">
        <v>-1.45</v>
      </c>
      <c r="L4991">
        <v>-0.83</v>
      </c>
      <c r="M4991">
        <v>2.37</v>
      </c>
      <c r="N4991">
        <v>0</v>
      </c>
      <c r="O4991">
        <v>0.21</v>
      </c>
    </row>
    <row r="4992" spans="1:15">
      <c r="A4992" t="str">
        <f>"688510"</f>
        <v>688510</v>
      </c>
      <c r="B4992" t="s">
        <v>5037</v>
      </c>
      <c r="C4992">
        <v>3.1</v>
      </c>
      <c r="D4992">
        <v>26.29</v>
      </c>
      <c r="E4992" t="s">
        <v>16</v>
      </c>
      <c r="F4992" t="s">
        <v>16</v>
      </c>
      <c r="H4992">
        <v>-0.52</v>
      </c>
      <c r="I4992">
        <v>1.04</v>
      </c>
      <c r="J4992">
        <v>-1.76</v>
      </c>
      <c r="L4992">
        <v>-1.02</v>
      </c>
      <c r="M4992">
        <v>33.56</v>
      </c>
      <c r="N4992">
        <v>0.01</v>
      </c>
      <c r="O4992">
        <v>1.85</v>
      </c>
    </row>
    <row r="4993" spans="1:15">
      <c r="A4993" t="str">
        <f>"688511"</f>
        <v>688511</v>
      </c>
      <c r="B4993" t="s">
        <v>5038</v>
      </c>
      <c r="C4993">
        <v>5.39</v>
      </c>
      <c r="D4993">
        <v>30.88</v>
      </c>
      <c r="E4993" t="s">
        <v>16</v>
      </c>
      <c r="F4993" t="s">
        <v>16</v>
      </c>
      <c r="H4993">
        <v>-0.15</v>
      </c>
      <c r="I4993">
        <v>24.27</v>
      </c>
      <c r="J4993">
        <v>-4.1</v>
      </c>
      <c r="L4993">
        <v>0.75</v>
      </c>
      <c r="M4993">
        <v>172.73</v>
      </c>
      <c r="N4993">
        <v>0.1</v>
      </c>
      <c r="O4993">
        <v>1.54</v>
      </c>
    </row>
    <row r="4994" spans="1:15">
      <c r="A4994" t="str">
        <f>"688512"</f>
        <v>688512</v>
      </c>
      <c r="B4994" t="s">
        <v>5039</v>
      </c>
      <c r="C4994">
        <v>5.33</v>
      </c>
      <c r="D4994">
        <v>15.23</v>
      </c>
      <c r="E4994" t="s">
        <v>16</v>
      </c>
      <c r="F4994" t="s">
        <v>16</v>
      </c>
      <c r="H4994">
        <v>0.26</v>
      </c>
      <c r="I4994">
        <v>13.74</v>
      </c>
      <c r="J4994">
        <v>-1.49</v>
      </c>
      <c r="L4994">
        <v>-0.14</v>
      </c>
      <c r="M4994">
        <v>115.81</v>
      </c>
      <c r="N4994">
        <v>0.03</v>
      </c>
      <c r="O4994">
        <v>0.49</v>
      </c>
    </row>
    <row r="4995" spans="1:15">
      <c r="A4995" t="str">
        <f>"688513"</f>
        <v>688513</v>
      </c>
      <c r="B4995" t="s">
        <v>5040</v>
      </c>
      <c r="C4995">
        <v>2.76</v>
      </c>
      <c r="D4995">
        <v>45.01</v>
      </c>
      <c r="E4995" t="s">
        <v>16</v>
      </c>
      <c r="F4995" t="s">
        <v>16</v>
      </c>
      <c r="H4995">
        <v>-0.19</v>
      </c>
      <c r="I4995">
        <v>-3.95</v>
      </c>
      <c r="J4995">
        <v>-2.53</v>
      </c>
      <c r="L4995">
        <v>-1.53</v>
      </c>
      <c r="M4995">
        <v>2.37</v>
      </c>
      <c r="N4995">
        <v>0</v>
      </c>
      <c r="O4995">
        <v>0.32</v>
      </c>
    </row>
    <row r="4996" spans="1:15">
      <c r="A4996" t="str">
        <f>"688515"</f>
        <v>688515</v>
      </c>
      <c r="B4996" t="s">
        <v>5041</v>
      </c>
      <c r="C4996">
        <v>20</v>
      </c>
      <c r="D4996">
        <v>238.8</v>
      </c>
      <c r="E4996">
        <v>9642.74</v>
      </c>
      <c r="F4996">
        <v>1</v>
      </c>
      <c r="H4996">
        <v>0</v>
      </c>
      <c r="I4996">
        <v>5.21</v>
      </c>
      <c r="J4996">
        <v>0</v>
      </c>
      <c r="K4996" t="s">
        <v>140</v>
      </c>
      <c r="L4996">
        <v>0.5</v>
      </c>
      <c r="M4996">
        <v>696.06</v>
      </c>
      <c r="N4996">
        <v>0.08</v>
      </c>
      <c r="O4996">
        <v>1.02</v>
      </c>
    </row>
    <row r="4997" spans="1:15">
      <c r="A4997" t="str">
        <f>"688516"</f>
        <v>688516</v>
      </c>
      <c r="B4997" t="s">
        <v>5042</v>
      </c>
      <c r="C4997">
        <v>2.19</v>
      </c>
      <c r="D4997">
        <v>61.72</v>
      </c>
      <c r="E4997" t="s">
        <v>16</v>
      </c>
      <c r="F4997" t="s">
        <v>16</v>
      </c>
      <c r="H4997">
        <v>0.19</v>
      </c>
      <c r="I4997">
        <v>6.82</v>
      </c>
      <c r="J4997">
        <v>-5.48</v>
      </c>
      <c r="L4997">
        <v>1.16</v>
      </c>
      <c r="M4997">
        <v>329.69</v>
      </c>
      <c r="N4997">
        <v>0.03</v>
      </c>
      <c r="O4997">
        <v>0.93</v>
      </c>
    </row>
    <row r="4998" spans="1:15">
      <c r="A4998" t="str">
        <f>"688517"</f>
        <v>688517</v>
      </c>
      <c r="B4998" t="s">
        <v>5043</v>
      </c>
      <c r="C4998">
        <v>-1.61</v>
      </c>
      <c r="D4998">
        <v>18.9</v>
      </c>
      <c r="E4998" t="s">
        <v>16</v>
      </c>
      <c r="F4998" t="s">
        <v>16</v>
      </c>
      <c r="H4998">
        <v>0.21</v>
      </c>
      <c r="I4998">
        <v>-4.93</v>
      </c>
      <c r="J4998">
        <v>-3.72</v>
      </c>
      <c r="L4998">
        <v>-1.67</v>
      </c>
      <c r="M4998">
        <v>74.16</v>
      </c>
      <c r="N4998">
        <v>0.05</v>
      </c>
      <c r="O4998">
        <v>1.35</v>
      </c>
    </row>
    <row r="4999" spans="1:15">
      <c r="A4999" t="str">
        <f>"688518"</f>
        <v>688518</v>
      </c>
      <c r="B4999" t="s">
        <v>5044</v>
      </c>
      <c r="C4999">
        <v>0.79</v>
      </c>
      <c r="D4999">
        <v>29.45</v>
      </c>
      <c r="E4999" t="s">
        <v>16</v>
      </c>
      <c r="F4999" t="s">
        <v>16</v>
      </c>
      <c r="H4999">
        <v>-0.33</v>
      </c>
      <c r="I4999">
        <v>12.84</v>
      </c>
      <c r="J4999">
        <v>-1.24</v>
      </c>
      <c r="L4999">
        <v>-0.31</v>
      </c>
      <c r="M4999">
        <v>496.53</v>
      </c>
      <c r="N4999">
        <v>0.06</v>
      </c>
      <c r="O4999">
        <v>1.31</v>
      </c>
    </row>
    <row r="5000" spans="1:15">
      <c r="A5000" t="str">
        <f>"688519"</f>
        <v>688519</v>
      </c>
      <c r="B5000" t="s">
        <v>5045</v>
      </c>
      <c r="C5000">
        <v>0.5</v>
      </c>
      <c r="D5000">
        <v>397</v>
      </c>
      <c r="E5000" t="s">
        <v>16</v>
      </c>
      <c r="F5000" t="s">
        <v>16</v>
      </c>
      <c r="H5000">
        <v>-0.24</v>
      </c>
      <c r="I5000">
        <v>60.73</v>
      </c>
      <c r="J5000">
        <v>-0.5</v>
      </c>
      <c r="L5000">
        <v>-1.3</v>
      </c>
      <c r="M5000">
        <v>1128.71</v>
      </c>
      <c r="N5000">
        <v>0.03</v>
      </c>
      <c r="O5000">
        <v>0.59</v>
      </c>
    </row>
    <row r="5001" spans="1:15">
      <c r="A5001" t="str">
        <f>"688520"</f>
        <v>688520</v>
      </c>
      <c r="B5001" t="s">
        <v>5046</v>
      </c>
      <c r="C5001">
        <v>2.95</v>
      </c>
      <c r="D5001">
        <v>34.16</v>
      </c>
      <c r="E5001" t="s">
        <v>16</v>
      </c>
      <c r="F5001" t="s">
        <v>16</v>
      </c>
      <c r="H5001">
        <v>-0.31</v>
      </c>
      <c r="I5001">
        <v>-3.23</v>
      </c>
      <c r="J5001">
        <v>-2.06</v>
      </c>
      <c r="L5001">
        <v>-0.75</v>
      </c>
      <c r="M5001">
        <v>37.58</v>
      </c>
      <c r="N5001">
        <v>0.01</v>
      </c>
      <c r="O5001">
        <v>11.41</v>
      </c>
    </row>
    <row r="5002" spans="1:15">
      <c r="A5002" t="str">
        <f>"688521"</f>
        <v>688521</v>
      </c>
      <c r="B5002" t="s">
        <v>5047</v>
      </c>
      <c r="C5002">
        <v>6.42</v>
      </c>
      <c r="D5002">
        <v>274</v>
      </c>
      <c r="E5002" t="s">
        <v>16</v>
      </c>
      <c r="F5002" t="s">
        <v>16</v>
      </c>
      <c r="H5002">
        <v>-0.49</v>
      </c>
      <c r="I5002">
        <v>12.71</v>
      </c>
      <c r="J5002">
        <v>-2.25</v>
      </c>
      <c r="L5002">
        <v>1.37</v>
      </c>
      <c r="M5002">
        <v>3432.44</v>
      </c>
      <c r="N5002">
        <v>0.03</v>
      </c>
      <c r="O5002">
        <v>1.19</v>
      </c>
    </row>
    <row r="5003" spans="1:15">
      <c r="A5003" t="str">
        <f>"688522"</f>
        <v>688522</v>
      </c>
      <c r="B5003" t="s">
        <v>5048</v>
      </c>
      <c r="C5003">
        <v>-0.39</v>
      </c>
      <c r="D5003">
        <v>20.41</v>
      </c>
      <c r="E5003" t="s">
        <v>16</v>
      </c>
      <c r="F5003" t="s">
        <v>16</v>
      </c>
      <c r="H5003">
        <v>-0.04</v>
      </c>
      <c r="I5003">
        <v>0.84</v>
      </c>
      <c r="J5003">
        <v>-2.02</v>
      </c>
      <c r="L5003">
        <v>0</v>
      </c>
      <c r="M5003">
        <v>10.61</v>
      </c>
      <c r="N5003">
        <v>0</v>
      </c>
      <c r="O5003">
        <v>0.39</v>
      </c>
    </row>
    <row r="5004" spans="1:15">
      <c r="A5004" t="str">
        <f>"688523"</f>
        <v>688523</v>
      </c>
      <c r="B5004" t="s">
        <v>5049</v>
      </c>
      <c r="C5004">
        <v>1.84</v>
      </c>
      <c r="D5004">
        <v>54.18</v>
      </c>
      <c r="E5004" t="s">
        <v>16</v>
      </c>
      <c r="F5004" t="s">
        <v>16</v>
      </c>
      <c r="H5004">
        <v>0.11</v>
      </c>
      <c r="I5004">
        <v>-5.94</v>
      </c>
      <c r="J5004">
        <v>-1.87</v>
      </c>
      <c r="L5004">
        <v>-1.3</v>
      </c>
      <c r="M5004">
        <v>74.21</v>
      </c>
      <c r="N5004">
        <v>0.01</v>
      </c>
      <c r="O5004">
        <v>0.65</v>
      </c>
    </row>
    <row r="5005" spans="1:15">
      <c r="A5005" t="str">
        <f>"688525"</f>
        <v>688525</v>
      </c>
      <c r="B5005" t="s">
        <v>5050</v>
      </c>
      <c r="C5005">
        <v>4.38</v>
      </c>
      <c r="D5005">
        <v>386.2</v>
      </c>
      <c r="E5005" t="s">
        <v>16</v>
      </c>
      <c r="F5005" t="s">
        <v>16</v>
      </c>
      <c r="H5005">
        <v>0.01</v>
      </c>
      <c r="I5005">
        <v>13.22</v>
      </c>
      <c r="J5005">
        <v>-1.53</v>
      </c>
      <c r="L5005">
        <v>-1.89</v>
      </c>
      <c r="M5005">
        <v>18875.75</v>
      </c>
      <c r="N5005">
        <v>0.14</v>
      </c>
      <c r="O5005">
        <v>1.85</v>
      </c>
    </row>
    <row r="5006" spans="1:15">
      <c r="A5006" t="str">
        <f>"688526"</f>
        <v>688526</v>
      </c>
      <c r="B5006" t="s">
        <v>5051</v>
      </c>
      <c r="C5006">
        <v>0.08</v>
      </c>
      <c r="D5006">
        <v>12.29</v>
      </c>
      <c r="E5006" t="s">
        <v>16</v>
      </c>
      <c r="F5006" t="s">
        <v>16</v>
      </c>
      <c r="H5006">
        <v>-0.31</v>
      </c>
      <c r="I5006">
        <v>-1.76</v>
      </c>
      <c r="J5006">
        <v>-1.36</v>
      </c>
      <c r="L5006">
        <v>0.33</v>
      </c>
      <c r="M5006">
        <v>0.49</v>
      </c>
      <c r="N5006">
        <v>0</v>
      </c>
      <c r="O5006">
        <v>0.04</v>
      </c>
    </row>
    <row r="5007" spans="1:15">
      <c r="A5007" t="str">
        <f>"688528"</f>
        <v>688528</v>
      </c>
      <c r="B5007" t="s">
        <v>5052</v>
      </c>
      <c r="C5007">
        <v>0.79</v>
      </c>
      <c r="D5007">
        <v>10.21</v>
      </c>
      <c r="E5007" t="s">
        <v>16</v>
      </c>
      <c r="F5007" t="s">
        <v>16</v>
      </c>
      <c r="H5007">
        <v>0.39</v>
      </c>
      <c r="I5007">
        <v>-4.31</v>
      </c>
      <c r="J5007">
        <v>-1.64</v>
      </c>
      <c r="L5007">
        <v>0</v>
      </c>
      <c r="M5007">
        <v>5.07</v>
      </c>
      <c r="N5007">
        <v>0.01</v>
      </c>
      <c r="O5007">
        <v>0.21</v>
      </c>
    </row>
    <row r="5008" spans="1:15">
      <c r="A5008" t="str">
        <f>"688529"</f>
        <v>688529</v>
      </c>
      <c r="B5008" t="s">
        <v>5053</v>
      </c>
      <c r="C5008">
        <v>0.75</v>
      </c>
      <c r="D5008">
        <v>17.35</v>
      </c>
      <c r="E5008" t="s">
        <v>16</v>
      </c>
      <c r="F5008" t="s">
        <v>16</v>
      </c>
      <c r="H5008">
        <v>-0.11</v>
      </c>
      <c r="I5008">
        <v>0.17</v>
      </c>
      <c r="J5008">
        <v>-3.5</v>
      </c>
      <c r="L5008">
        <v>0</v>
      </c>
      <c r="M5008">
        <v>6.97</v>
      </c>
      <c r="N5008">
        <v>0</v>
      </c>
      <c r="O5008">
        <v>0.34</v>
      </c>
    </row>
    <row r="5009" spans="1:15">
      <c r="A5009" t="str">
        <f>"688530"</f>
        <v>688530</v>
      </c>
      <c r="B5009" t="s">
        <v>5054</v>
      </c>
      <c r="C5009">
        <v>2.46</v>
      </c>
      <c r="D5009">
        <v>65.91</v>
      </c>
      <c r="E5009" t="s">
        <v>16</v>
      </c>
      <c r="F5009" t="s">
        <v>16</v>
      </c>
      <c r="H5009">
        <v>-0.4</v>
      </c>
      <c r="I5009">
        <v>35.53</v>
      </c>
      <c r="J5009">
        <v>-4.35</v>
      </c>
      <c r="L5009">
        <v>-2.84</v>
      </c>
      <c r="M5009">
        <v>864</v>
      </c>
      <c r="N5009">
        <v>0.2</v>
      </c>
      <c r="O5009">
        <v>1.12</v>
      </c>
    </row>
    <row r="5010" spans="1:15">
      <c r="A5010" t="str">
        <f>"688531"</f>
        <v>688531</v>
      </c>
      <c r="B5010" t="s">
        <v>5055</v>
      </c>
      <c r="C5010">
        <v>0.32</v>
      </c>
      <c r="D5010">
        <v>181.88</v>
      </c>
      <c r="E5010" t="s">
        <v>16</v>
      </c>
      <c r="F5010" t="s">
        <v>16</v>
      </c>
      <c r="H5010">
        <v>0.29</v>
      </c>
      <c r="I5010">
        <v>-8.32</v>
      </c>
      <c r="J5010">
        <v>-3.33</v>
      </c>
      <c r="L5010">
        <v>1.48</v>
      </c>
      <c r="M5010">
        <v>546.19</v>
      </c>
      <c r="N5010">
        <v>0.03</v>
      </c>
      <c r="O5010">
        <v>0.76</v>
      </c>
    </row>
    <row r="5011" spans="1:15">
      <c r="A5011" t="str">
        <f>"688533"</f>
        <v>688533</v>
      </c>
      <c r="B5011" t="s">
        <v>5056</v>
      </c>
      <c r="C5011">
        <v>-1.08</v>
      </c>
      <c r="D5011">
        <v>22.9</v>
      </c>
      <c r="E5011" t="s">
        <v>16</v>
      </c>
      <c r="F5011" t="s">
        <v>16</v>
      </c>
      <c r="H5011">
        <v>-0.12</v>
      </c>
      <c r="I5011">
        <v>-5.99</v>
      </c>
      <c r="J5011">
        <v>-1.17</v>
      </c>
      <c r="L5011">
        <v>-0.6</v>
      </c>
      <c r="M5011">
        <v>1.31</v>
      </c>
      <c r="N5011">
        <v>0</v>
      </c>
      <c r="O5011">
        <v>0.09</v>
      </c>
    </row>
    <row r="5012" spans="1:15">
      <c r="A5012" t="str">
        <f>"688535"</f>
        <v>688535</v>
      </c>
      <c r="B5012" t="s">
        <v>5057</v>
      </c>
      <c r="C5012">
        <v>14.13</v>
      </c>
      <c r="D5012">
        <v>152.9</v>
      </c>
      <c r="E5012" t="s">
        <v>16</v>
      </c>
      <c r="F5012" t="s">
        <v>16</v>
      </c>
      <c r="H5012">
        <v>0.56</v>
      </c>
      <c r="I5012">
        <v>28.77</v>
      </c>
      <c r="J5012">
        <v>-1.35</v>
      </c>
      <c r="L5012">
        <v>-2.99</v>
      </c>
      <c r="M5012">
        <v>1104.34</v>
      </c>
      <c r="N5012">
        <v>0.11</v>
      </c>
      <c r="O5012">
        <v>1.32</v>
      </c>
    </row>
    <row r="5013" spans="1:15">
      <c r="A5013" t="str">
        <f>"688536"</f>
        <v>688536</v>
      </c>
      <c r="B5013" t="s">
        <v>5058</v>
      </c>
      <c r="C5013">
        <v>0.12</v>
      </c>
      <c r="D5013">
        <v>341</v>
      </c>
      <c r="E5013" t="s">
        <v>16</v>
      </c>
      <c r="F5013" t="s">
        <v>16</v>
      </c>
      <c r="H5013">
        <v>-0.28</v>
      </c>
      <c r="I5013">
        <v>11.5</v>
      </c>
      <c r="J5013">
        <v>-2.11</v>
      </c>
      <c r="L5013">
        <v>-0.41</v>
      </c>
      <c r="M5013">
        <v>672.4</v>
      </c>
      <c r="N5013">
        <v>0.02</v>
      </c>
      <c r="O5013">
        <v>0.58</v>
      </c>
    </row>
    <row r="5014" spans="1:15">
      <c r="A5014" t="str">
        <f>"688538"</f>
        <v>688538</v>
      </c>
      <c r="B5014" t="s">
        <v>5059</v>
      </c>
      <c r="C5014">
        <v>-3.69</v>
      </c>
      <c r="D5014">
        <v>2.35</v>
      </c>
      <c r="E5014" t="s">
        <v>16</v>
      </c>
      <c r="F5014" t="s">
        <v>16</v>
      </c>
      <c r="H5014">
        <v>-0.41</v>
      </c>
      <c r="I5014">
        <v>-2.49</v>
      </c>
      <c r="J5014">
        <v>-3.69</v>
      </c>
      <c r="L5014">
        <v>0</v>
      </c>
      <c r="M5014">
        <v>89.77</v>
      </c>
      <c r="N5014">
        <v>0.01</v>
      </c>
      <c r="O5014">
        <v>1.18</v>
      </c>
    </row>
    <row r="5015" spans="1:15">
      <c r="A5015" t="str">
        <f>"688539"</f>
        <v>688539</v>
      </c>
      <c r="B5015" t="s">
        <v>5060</v>
      </c>
      <c r="C5015">
        <v>1.34</v>
      </c>
      <c r="D5015">
        <v>33.33</v>
      </c>
      <c r="E5015" t="s">
        <v>16</v>
      </c>
      <c r="F5015" t="s">
        <v>16</v>
      </c>
      <c r="H5015">
        <v>0.18</v>
      </c>
      <c r="I5015">
        <v>7.1</v>
      </c>
      <c r="J5015">
        <v>-1.77</v>
      </c>
      <c r="L5015">
        <v>-0.85</v>
      </c>
      <c r="M5015">
        <v>46.23</v>
      </c>
      <c r="N5015">
        <v>0.02</v>
      </c>
      <c r="O5015">
        <v>0.4</v>
      </c>
    </row>
    <row r="5016" spans="1:15">
      <c r="A5016" t="str">
        <f>"688543"</f>
        <v>688543</v>
      </c>
      <c r="B5016" t="s">
        <v>5061</v>
      </c>
      <c r="C5016">
        <v>1.29</v>
      </c>
      <c r="D5016">
        <v>40.71</v>
      </c>
      <c r="E5016" t="s">
        <v>16</v>
      </c>
      <c r="F5016" t="s">
        <v>16</v>
      </c>
      <c r="H5016">
        <v>-0.14</v>
      </c>
      <c r="I5016">
        <v>-0.2</v>
      </c>
      <c r="J5016">
        <v>-1.62</v>
      </c>
      <c r="L5016">
        <v>-0.45</v>
      </c>
      <c r="M5016">
        <v>51.44</v>
      </c>
      <c r="N5016">
        <v>0.01</v>
      </c>
      <c r="O5016">
        <v>0.56</v>
      </c>
    </row>
    <row r="5017" spans="1:15">
      <c r="A5017" t="str">
        <f>"688545"</f>
        <v>688545</v>
      </c>
      <c r="B5017" t="s">
        <v>5062</v>
      </c>
      <c r="C5017">
        <v>-3.72</v>
      </c>
      <c r="D5017">
        <v>109.76</v>
      </c>
      <c r="E5017" t="s">
        <v>16</v>
      </c>
      <c r="F5017" t="s">
        <v>16</v>
      </c>
      <c r="H5017">
        <v>-0.08</v>
      </c>
      <c r="I5017">
        <v>22.55</v>
      </c>
      <c r="J5017">
        <v>-2.17</v>
      </c>
      <c r="L5017">
        <v>-3.51</v>
      </c>
      <c r="M5017">
        <v>1733.23</v>
      </c>
      <c r="N5017">
        <v>0.1</v>
      </c>
      <c r="O5017">
        <v>0.54</v>
      </c>
    </row>
    <row r="5018" spans="1:15">
      <c r="A5018" t="str">
        <f>"688548"</f>
        <v>688548</v>
      </c>
      <c r="B5018" t="s">
        <v>5063</v>
      </c>
      <c r="C5018">
        <v>-0.27</v>
      </c>
      <c r="D5018">
        <v>33.41</v>
      </c>
      <c r="E5018" t="s">
        <v>16</v>
      </c>
      <c r="F5018" t="s">
        <v>16</v>
      </c>
      <c r="H5018">
        <v>-0.05</v>
      </c>
      <c r="I5018">
        <v>10.92</v>
      </c>
      <c r="J5018">
        <v>-1.33</v>
      </c>
      <c r="L5018">
        <v>-2.63</v>
      </c>
      <c r="M5018">
        <v>605.99</v>
      </c>
      <c r="N5018">
        <v>0.03</v>
      </c>
      <c r="O5018">
        <v>1.04</v>
      </c>
    </row>
    <row r="5019" spans="1:15">
      <c r="A5019" t="str">
        <f>"688549"</f>
        <v>688549</v>
      </c>
      <c r="B5019" t="s">
        <v>5064</v>
      </c>
      <c r="C5019">
        <v>2.39</v>
      </c>
      <c r="D5019">
        <v>34.77</v>
      </c>
      <c r="E5019" t="s">
        <v>16</v>
      </c>
      <c r="F5019" t="s">
        <v>16</v>
      </c>
      <c r="H5019">
        <v>-0.13</v>
      </c>
      <c r="I5019">
        <v>116.91</v>
      </c>
      <c r="J5019">
        <v>-2.06</v>
      </c>
      <c r="L5019">
        <v>-1.65</v>
      </c>
      <c r="M5019">
        <v>4402.39</v>
      </c>
      <c r="N5019">
        <v>0.26</v>
      </c>
      <c r="O5019">
        <v>0.58</v>
      </c>
    </row>
    <row r="5020" spans="1:15">
      <c r="A5020" t="str">
        <f>"688550"</f>
        <v>688550</v>
      </c>
      <c r="B5020" t="s">
        <v>5065</v>
      </c>
      <c r="C5020">
        <v>-2.08</v>
      </c>
      <c r="D5020">
        <v>47.52</v>
      </c>
      <c r="E5020" t="s">
        <v>16</v>
      </c>
      <c r="F5020" t="s">
        <v>16</v>
      </c>
      <c r="H5020">
        <v>-0.05</v>
      </c>
      <c r="I5020">
        <v>14.64</v>
      </c>
      <c r="J5020">
        <v>-2.92</v>
      </c>
      <c r="L5020">
        <v>0.27</v>
      </c>
      <c r="M5020">
        <v>292.24</v>
      </c>
      <c r="N5020">
        <v>0.06</v>
      </c>
      <c r="O5020">
        <v>2.02</v>
      </c>
    </row>
    <row r="5021" spans="1:15">
      <c r="A5021" t="str">
        <f>"688551"</f>
        <v>688551</v>
      </c>
      <c r="B5021" t="s">
        <v>5066</v>
      </c>
      <c r="C5021">
        <v>-9.33</v>
      </c>
      <c r="D5021">
        <v>70</v>
      </c>
      <c r="E5021" t="s">
        <v>16</v>
      </c>
      <c r="F5021" t="s">
        <v>16</v>
      </c>
      <c r="H5021">
        <v>-0.12</v>
      </c>
      <c r="I5021">
        <v>24.82</v>
      </c>
      <c r="J5021">
        <v>-8.03</v>
      </c>
      <c r="L5021">
        <v>-2.54</v>
      </c>
      <c r="M5021">
        <v>405.68</v>
      </c>
      <c r="N5021">
        <v>0.1</v>
      </c>
      <c r="O5021">
        <v>1.58</v>
      </c>
    </row>
    <row r="5022" spans="1:15">
      <c r="A5022" t="str">
        <f>"688552"</f>
        <v>688552</v>
      </c>
      <c r="B5022" t="s">
        <v>5067</v>
      </c>
      <c r="C5022">
        <v>-0.24</v>
      </c>
      <c r="D5022">
        <v>28.74</v>
      </c>
      <c r="E5022" t="s">
        <v>16</v>
      </c>
      <c r="F5022" t="s">
        <v>16</v>
      </c>
      <c r="H5022">
        <v>0.03</v>
      </c>
      <c r="I5022">
        <v>-2.58</v>
      </c>
      <c r="J5022">
        <v>-1.84</v>
      </c>
      <c r="L5022">
        <v>-0.17</v>
      </c>
      <c r="M5022">
        <v>3.45</v>
      </c>
      <c r="N5022">
        <v>0</v>
      </c>
      <c r="O5022">
        <v>0.19</v>
      </c>
    </row>
    <row r="5023" spans="1:15">
      <c r="A5023" t="str">
        <f>"688553"</f>
        <v>688553</v>
      </c>
      <c r="B5023" t="s">
        <v>5068</v>
      </c>
      <c r="C5023">
        <v>-0.27</v>
      </c>
      <c r="D5023">
        <v>10.88</v>
      </c>
      <c r="E5023" t="s">
        <v>16</v>
      </c>
      <c r="F5023" t="s">
        <v>16</v>
      </c>
      <c r="H5023">
        <v>-0.08</v>
      </c>
      <c r="I5023">
        <v>0.37</v>
      </c>
      <c r="J5023">
        <v>-3.37</v>
      </c>
      <c r="L5023">
        <v>0</v>
      </c>
      <c r="M5023">
        <v>35.09</v>
      </c>
      <c r="N5023">
        <v>0.01</v>
      </c>
      <c r="O5023">
        <v>0.72</v>
      </c>
    </row>
    <row r="5024" spans="1:15">
      <c r="A5024" t="str">
        <f>"688556"</f>
        <v>688556</v>
      </c>
      <c r="B5024" t="s">
        <v>5069</v>
      </c>
      <c r="C5024">
        <v>5.81</v>
      </c>
      <c r="D5024">
        <v>12.2</v>
      </c>
      <c r="E5024" t="s">
        <v>16</v>
      </c>
      <c r="F5024" t="s">
        <v>16</v>
      </c>
      <c r="H5024">
        <v>-0.07</v>
      </c>
      <c r="I5024">
        <v>11.93</v>
      </c>
      <c r="J5024">
        <v>-3.1</v>
      </c>
      <c r="L5024">
        <v>2.34</v>
      </c>
      <c r="M5024">
        <v>320.26</v>
      </c>
      <c r="N5024">
        <v>0.04</v>
      </c>
      <c r="O5024">
        <v>1</v>
      </c>
    </row>
    <row r="5025" spans="1:15">
      <c r="A5025" t="str">
        <f>"688557"</f>
        <v>688557</v>
      </c>
      <c r="B5025" t="s">
        <v>5070</v>
      </c>
      <c r="C5025">
        <v>6.65</v>
      </c>
      <c r="D5025">
        <v>31.93</v>
      </c>
      <c r="E5025" t="s">
        <v>16</v>
      </c>
      <c r="F5025" t="s">
        <v>16</v>
      </c>
      <c r="H5025">
        <v>0</v>
      </c>
      <c r="I5025">
        <v>4.76</v>
      </c>
      <c r="J5025">
        <v>-0.99</v>
      </c>
      <c r="L5025">
        <v>0</v>
      </c>
      <c r="M5025">
        <v>2.3</v>
      </c>
      <c r="N5025">
        <v>0</v>
      </c>
      <c r="O5025">
        <v>0.51</v>
      </c>
    </row>
    <row r="5026" spans="1:15">
      <c r="A5026" t="str">
        <f>"688558"</f>
        <v>688558</v>
      </c>
      <c r="B5026" t="s">
        <v>5071</v>
      </c>
      <c r="C5026">
        <v>1.6</v>
      </c>
      <c r="D5026">
        <v>34.28</v>
      </c>
      <c r="E5026" t="s">
        <v>16</v>
      </c>
      <c r="F5026" t="s">
        <v>16</v>
      </c>
      <c r="H5026">
        <v>0.09</v>
      </c>
      <c r="I5026">
        <v>6.16</v>
      </c>
      <c r="J5026">
        <v>-1.35</v>
      </c>
      <c r="L5026">
        <v>-0.21</v>
      </c>
      <c r="M5026">
        <v>6.68</v>
      </c>
      <c r="N5026">
        <v>0</v>
      </c>
      <c r="O5026">
        <v>0.4</v>
      </c>
    </row>
    <row r="5027" spans="1:15">
      <c r="A5027" t="str">
        <f>"688559"</f>
        <v>688559</v>
      </c>
      <c r="B5027" t="s">
        <v>5072</v>
      </c>
      <c r="C5027">
        <v>6.71</v>
      </c>
      <c r="D5027">
        <v>77.9</v>
      </c>
      <c r="E5027" t="s">
        <v>16</v>
      </c>
      <c r="F5027" t="s">
        <v>16</v>
      </c>
      <c r="H5027">
        <v>0.17</v>
      </c>
      <c r="I5027">
        <v>26.71</v>
      </c>
      <c r="J5027">
        <v>-2.48</v>
      </c>
      <c r="L5027">
        <v>2.33</v>
      </c>
      <c r="M5027">
        <v>979.6</v>
      </c>
      <c r="N5027">
        <v>0.07</v>
      </c>
      <c r="O5027">
        <v>2.75</v>
      </c>
    </row>
    <row r="5028" spans="1:15">
      <c r="A5028" t="str">
        <f>"688560"</f>
        <v>688560</v>
      </c>
      <c r="B5028" t="s">
        <v>5073</v>
      </c>
      <c r="C5028">
        <v>0.37</v>
      </c>
      <c r="D5028">
        <v>13.68</v>
      </c>
      <c r="E5028" t="s">
        <v>16</v>
      </c>
      <c r="F5028" t="s">
        <v>16</v>
      </c>
      <c r="H5028">
        <v>0.15</v>
      </c>
      <c r="I5028">
        <v>-2.98</v>
      </c>
      <c r="J5028">
        <v>-2.43</v>
      </c>
      <c r="L5028">
        <v>-0.44</v>
      </c>
      <c r="M5028">
        <v>0.27</v>
      </c>
      <c r="N5028">
        <v>0</v>
      </c>
      <c r="O5028">
        <v>0.01</v>
      </c>
    </row>
    <row r="5029" spans="1:15">
      <c r="A5029" t="str">
        <f>"688561"</f>
        <v>688561</v>
      </c>
      <c r="B5029" t="s">
        <v>5074</v>
      </c>
      <c r="C5029">
        <v>1.41</v>
      </c>
      <c r="D5029">
        <v>24.46</v>
      </c>
      <c r="E5029" t="s">
        <v>16</v>
      </c>
      <c r="F5029" t="s">
        <v>16</v>
      </c>
      <c r="H5029">
        <v>-0.28</v>
      </c>
      <c r="I5029">
        <v>-5.08</v>
      </c>
      <c r="J5029">
        <v>-2.63</v>
      </c>
      <c r="L5029">
        <v>0.75</v>
      </c>
      <c r="M5029">
        <v>115.36</v>
      </c>
      <c r="N5029">
        <v>0.02</v>
      </c>
      <c r="O5029">
        <v>1.77</v>
      </c>
    </row>
    <row r="5030" spans="1:15">
      <c r="A5030" t="str">
        <f>"688562"</f>
        <v>688562</v>
      </c>
      <c r="B5030" t="s">
        <v>5075</v>
      </c>
      <c r="C5030">
        <v>-0.31</v>
      </c>
      <c r="D5030">
        <v>16.33</v>
      </c>
      <c r="E5030" t="s">
        <v>16</v>
      </c>
      <c r="F5030" t="s">
        <v>16</v>
      </c>
      <c r="H5030">
        <v>-0.05</v>
      </c>
      <c r="I5030">
        <v>-0.55</v>
      </c>
      <c r="J5030">
        <v>-1.63</v>
      </c>
      <c r="L5030">
        <v>0.06</v>
      </c>
      <c r="M5030">
        <v>7.38</v>
      </c>
      <c r="N5030">
        <v>0</v>
      </c>
      <c r="O5030">
        <v>0.74</v>
      </c>
    </row>
    <row r="5031" spans="1:15">
      <c r="A5031" t="str">
        <f>"688563"</f>
        <v>688563</v>
      </c>
      <c r="B5031" t="s">
        <v>5076</v>
      </c>
      <c r="C5031">
        <v>-0.29</v>
      </c>
      <c r="D5031">
        <v>51.28</v>
      </c>
      <c r="E5031" t="s">
        <v>16</v>
      </c>
      <c r="F5031" t="s">
        <v>16</v>
      </c>
      <c r="H5031">
        <v>-0.11</v>
      </c>
      <c r="I5031">
        <v>1.75</v>
      </c>
      <c r="J5031">
        <v>-1.69</v>
      </c>
      <c r="L5031">
        <v>-0.49</v>
      </c>
      <c r="M5031">
        <v>5.65</v>
      </c>
      <c r="N5031">
        <v>0</v>
      </c>
      <c r="O5031">
        <v>0.53</v>
      </c>
    </row>
    <row r="5032" spans="1:15">
      <c r="A5032" t="str">
        <f>"688565"</f>
        <v>688565</v>
      </c>
      <c r="B5032" t="s">
        <v>5077</v>
      </c>
      <c r="C5032">
        <v>-0.7</v>
      </c>
      <c r="D5032">
        <v>9.87</v>
      </c>
      <c r="E5032" t="s">
        <v>16</v>
      </c>
      <c r="F5032" t="s">
        <v>16</v>
      </c>
      <c r="H5032">
        <v>-0.29</v>
      </c>
      <c r="I5032">
        <v>-6.53</v>
      </c>
      <c r="J5032">
        <v>-1.99</v>
      </c>
      <c r="L5032">
        <v>-0.91</v>
      </c>
      <c r="M5032">
        <v>16.94</v>
      </c>
      <c r="N5032">
        <v>0.02</v>
      </c>
      <c r="O5032">
        <v>0.16</v>
      </c>
    </row>
    <row r="5033" spans="1:15">
      <c r="A5033" t="str">
        <f>"688566"</f>
        <v>688566</v>
      </c>
      <c r="B5033" t="s">
        <v>5078</v>
      </c>
      <c r="C5033">
        <v>3.34</v>
      </c>
      <c r="D5033">
        <v>25.04</v>
      </c>
      <c r="E5033" t="s">
        <v>16</v>
      </c>
      <c r="F5033" t="s">
        <v>16</v>
      </c>
      <c r="H5033">
        <v>0.12</v>
      </c>
      <c r="I5033">
        <v>4.68</v>
      </c>
      <c r="J5033">
        <v>-0.16</v>
      </c>
      <c r="L5033">
        <v>0.33</v>
      </c>
      <c r="M5033">
        <v>19.45</v>
      </c>
      <c r="N5033">
        <v>0.01</v>
      </c>
      <c r="O5033" t="s">
        <v>16</v>
      </c>
    </row>
    <row r="5034" spans="1:15">
      <c r="A5034" t="str">
        <f>"688567"</f>
        <v>688567</v>
      </c>
      <c r="B5034" t="s">
        <v>5079</v>
      </c>
      <c r="C5034">
        <v>-2.19</v>
      </c>
      <c r="D5034">
        <v>11.16</v>
      </c>
      <c r="E5034" t="s">
        <v>16</v>
      </c>
      <c r="F5034" t="s">
        <v>16</v>
      </c>
      <c r="H5034">
        <v>0.09</v>
      </c>
      <c r="I5034">
        <v>-7.54</v>
      </c>
      <c r="J5034">
        <v>-2.79</v>
      </c>
      <c r="L5034">
        <v>-0.09</v>
      </c>
      <c r="M5034">
        <v>40.87</v>
      </c>
      <c r="N5034">
        <v>0.01</v>
      </c>
      <c r="O5034">
        <v>0.75</v>
      </c>
    </row>
    <row r="5035" spans="1:15">
      <c r="A5035" t="str">
        <f>"688568"</f>
        <v>688568</v>
      </c>
      <c r="B5035" t="s">
        <v>5080</v>
      </c>
      <c r="C5035">
        <v>1.48</v>
      </c>
      <c r="D5035">
        <v>45.25</v>
      </c>
      <c r="E5035" t="s">
        <v>16</v>
      </c>
      <c r="F5035" t="s">
        <v>16</v>
      </c>
      <c r="H5035">
        <v>-0.56</v>
      </c>
      <c r="I5035">
        <v>0.89</v>
      </c>
      <c r="J5035">
        <v>-1.46</v>
      </c>
      <c r="L5035">
        <v>-0.87</v>
      </c>
      <c r="M5035">
        <v>190.46</v>
      </c>
      <c r="N5035">
        <v>0.01</v>
      </c>
      <c r="O5035">
        <v>0.65</v>
      </c>
    </row>
    <row r="5036" spans="1:15">
      <c r="A5036" t="str">
        <f>"688569"</f>
        <v>688569</v>
      </c>
      <c r="B5036" t="s">
        <v>5081</v>
      </c>
      <c r="C5036">
        <v>-0.51</v>
      </c>
      <c r="D5036">
        <v>17.71</v>
      </c>
      <c r="E5036" t="s">
        <v>16</v>
      </c>
      <c r="F5036" t="s">
        <v>16</v>
      </c>
      <c r="H5036">
        <v>-0.66</v>
      </c>
      <c r="I5036">
        <v>-2.37</v>
      </c>
      <c r="J5036">
        <v>-0.67</v>
      </c>
      <c r="L5036">
        <v>-1.07</v>
      </c>
      <c r="M5036">
        <v>0</v>
      </c>
      <c r="N5036">
        <v>0</v>
      </c>
      <c r="O5036">
        <v>0</v>
      </c>
    </row>
    <row r="5037" spans="1:15">
      <c r="A5037" t="str">
        <f>"688570"</f>
        <v>688570</v>
      </c>
      <c r="B5037" t="s">
        <v>5082</v>
      </c>
      <c r="C5037">
        <v>-0.73</v>
      </c>
      <c r="D5037">
        <v>14.99</v>
      </c>
      <c r="E5037" t="s">
        <v>16</v>
      </c>
      <c r="F5037" t="s">
        <v>16</v>
      </c>
      <c r="H5037">
        <v>-0.06</v>
      </c>
      <c r="I5037">
        <v>-4.52</v>
      </c>
      <c r="J5037">
        <v>-1.32</v>
      </c>
      <c r="L5037">
        <v>-0.86</v>
      </c>
      <c r="M5037">
        <v>31.18</v>
      </c>
      <c r="N5037">
        <v>0.02</v>
      </c>
      <c r="O5037" t="s">
        <v>16</v>
      </c>
    </row>
    <row r="5038" spans="1:15">
      <c r="A5038" t="str">
        <f>"688571"</f>
        <v>688571</v>
      </c>
      <c r="B5038" t="s">
        <v>5083</v>
      </c>
      <c r="C5038">
        <v>1.2</v>
      </c>
      <c r="D5038">
        <v>9.3</v>
      </c>
      <c r="E5038" t="s">
        <v>16</v>
      </c>
      <c r="F5038" t="s">
        <v>16</v>
      </c>
      <c r="H5038">
        <v>0</v>
      </c>
      <c r="I5038">
        <v>6.9</v>
      </c>
      <c r="J5038">
        <v>-0.85</v>
      </c>
      <c r="L5038">
        <v>-1.85</v>
      </c>
      <c r="M5038">
        <v>48.65</v>
      </c>
      <c r="N5038">
        <v>0.04</v>
      </c>
      <c r="O5038">
        <v>0.25</v>
      </c>
    </row>
    <row r="5039" spans="1:15">
      <c r="A5039" t="str">
        <f>"688573"</f>
        <v>688573</v>
      </c>
      <c r="B5039" t="s">
        <v>5084</v>
      </c>
      <c r="C5039">
        <v>-2.33</v>
      </c>
      <c r="D5039">
        <v>19.3</v>
      </c>
      <c r="E5039" t="s">
        <v>16</v>
      </c>
      <c r="F5039" t="s">
        <v>16</v>
      </c>
      <c r="H5039">
        <v>-0.35</v>
      </c>
      <c r="I5039">
        <v>-2.18</v>
      </c>
      <c r="J5039">
        <v>-4.12</v>
      </c>
      <c r="L5039">
        <v>0.1</v>
      </c>
      <c r="M5039">
        <v>26.25</v>
      </c>
      <c r="N5039">
        <v>0.02</v>
      </c>
      <c r="O5039">
        <v>0.68</v>
      </c>
    </row>
    <row r="5040" spans="1:15">
      <c r="A5040" t="str">
        <f>"688575"</f>
        <v>688575</v>
      </c>
      <c r="B5040" t="s">
        <v>5085</v>
      </c>
      <c r="C5040">
        <v>1.21</v>
      </c>
      <c r="D5040">
        <v>9.21</v>
      </c>
      <c r="E5040" t="s">
        <v>16</v>
      </c>
      <c r="F5040" t="s">
        <v>16</v>
      </c>
      <c r="H5040">
        <v>-0.31</v>
      </c>
      <c r="I5040">
        <v>-5.34</v>
      </c>
      <c r="J5040">
        <v>-1.6</v>
      </c>
      <c r="L5040">
        <v>-0.66</v>
      </c>
      <c r="M5040">
        <v>8.85</v>
      </c>
      <c r="N5040">
        <v>0</v>
      </c>
      <c r="O5040">
        <v>0.64</v>
      </c>
    </row>
    <row r="5041" spans="1:15">
      <c r="A5041" t="str">
        <f>"688576"</f>
        <v>688576</v>
      </c>
      <c r="B5041" t="s">
        <v>5086</v>
      </c>
      <c r="C5041">
        <v>2.05</v>
      </c>
      <c r="D5041">
        <v>71.08</v>
      </c>
      <c r="E5041" t="s">
        <v>16</v>
      </c>
      <c r="F5041" t="s">
        <v>16</v>
      </c>
      <c r="H5041">
        <v>-0.05</v>
      </c>
      <c r="I5041">
        <v>3.4</v>
      </c>
      <c r="J5041">
        <v>-0.29</v>
      </c>
      <c r="L5041">
        <v>2.25</v>
      </c>
      <c r="M5041">
        <v>7.12</v>
      </c>
      <c r="N5041">
        <v>0</v>
      </c>
      <c r="O5041" t="s">
        <v>16</v>
      </c>
    </row>
    <row r="5042" spans="1:15">
      <c r="A5042" t="str">
        <f>"688577"</f>
        <v>688577</v>
      </c>
      <c r="B5042" t="s">
        <v>5087</v>
      </c>
      <c r="C5042">
        <v>2.73</v>
      </c>
      <c r="D5042">
        <v>50.37</v>
      </c>
      <c r="E5042" t="s">
        <v>16</v>
      </c>
      <c r="F5042" t="s">
        <v>16</v>
      </c>
      <c r="H5042">
        <v>0.44</v>
      </c>
      <c r="I5042">
        <v>6.74</v>
      </c>
      <c r="J5042">
        <v>-0.22</v>
      </c>
      <c r="L5042">
        <v>0</v>
      </c>
      <c r="M5042">
        <v>13.73</v>
      </c>
      <c r="N5042">
        <v>0.01</v>
      </c>
      <c r="O5042">
        <v>0.48</v>
      </c>
    </row>
    <row r="5043" spans="1:15">
      <c r="A5043" t="str">
        <f>"688578"</f>
        <v>688578</v>
      </c>
      <c r="B5043" t="s">
        <v>5088</v>
      </c>
      <c r="C5043">
        <v>2.34</v>
      </c>
      <c r="D5043">
        <v>85</v>
      </c>
      <c r="E5043" t="s">
        <v>16</v>
      </c>
      <c r="F5043" t="s">
        <v>16</v>
      </c>
      <c r="H5043">
        <v>-0.45</v>
      </c>
      <c r="I5043">
        <v>2.09</v>
      </c>
      <c r="J5043">
        <v>-2.41</v>
      </c>
      <c r="L5043">
        <v>0.65</v>
      </c>
      <c r="M5043">
        <v>67.2</v>
      </c>
      <c r="N5043">
        <v>0</v>
      </c>
      <c r="O5043">
        <v>1.46</v>
      </c>
    </row>
    <row r="5044" spans="1:15">
      <c r="A5044" t="str">
        <f>"688579"</f>
        <v>688579</v>
      </c>
      <c r="B5044" t="s">
        <v>5089</v>
      </c>
      <c r="C5044">
        <v>0.6</v>
      </c>
      <c r="D5044">
        <v>8.43</v>
      </c>
      <c r="E5044" t="s">
        <v>16</v>
      </c>
      <c r="F5044" t="s">
        <v>16</v>
      </c>
      <c r="H5044">
        <v>-0.23</v>
      </c>
      <c r="I5044">
        <v>-2.66</v>
      </c>
      <c r="J5044">
        <v>-0.59</v>
      </c>
      <c r="L5044">
        <v>0</v>
      </c>
      <c r="M5044">
        <v>0.17</v>
      </c>
      <c r="N5044">
        <v>0</v>
      </c>
      <c r="O5044">
        <v>0.02</v>
      </c>
    </row>
    <row r="5045" spans="1:15">
      <c r="A5045" t="str">
        <f>"688580"</f>
        <v>688580</v>
      </c>
      <c r="B5045" t="s">
        <v>5090</v>
      </c>
      <c r="C5045">
        <v>1.85</v>
      </c>
      <c r="D5045">
        <v>53.45</v>
      </c>
      <c r="E5045" t="s">
        <v>16</v>
      </c>
      <c r="F5045" t="s">
        <v>16</v>
      </c>
      <c r="H5045">
        <v>-0.21</v>
      </c>
      <c r="I5045">
        <v>8.22</v>
      </c>
      <c r="J5045">
        <v>-0.65</v>
      </c>
      <c r="L5045">
        <v>0.99</v>
      </c>
      <c r="M5045">
        <v>169.01</v>
      </c>
      <c r="N5045">
        <v>0.09</v>
      </c>
      <c r="O5045">
        <v>5.91</v>
      </c>
    </row>
    <row r="5046" spans="1:15">
      <c r="A5046" t="str">
        <f>"688581"</f>
        <v>688581</v>
      </c>
      <c r="B5046" t="s">
        <v>5091</v>
      </c>
      <c r="C5046">
        <v>-1.22</v>
      </c>
      <c r="D5046">
        <v>52.82</v>
      </c>
      <c r="E5046" t="s">
        <v>16</v>
      </c>
      <c r="F5046" t="s">
        <v>16</v>
      </c>
      <c r="H5046">
        <v>-0.08</v>
      </c>
      <c r="I5046">
        <v>0.51</v>
      </c>
      <c r="J5046">
        <v>-1.95</v>
      </c>
      <c r="L5046">
        <v>0.36</v>
      </c>
      <c r="M5046">
        <v>4.47</v>
      </c>
      <c r="N5046">
        <v>0</v>
      </c>
      <c r="O5046">
        <v>0.44</v>
      </c>
    </row>
    <row r="5047" spans="1:15">
      <c r="A5047" t="str">
        <f>"688582"</f>
        <v>688582</v>
      </c>
      <c r="B5047" t="s">
        <v>5092</v>
      </c>
      <c r="C5047">
        <v>-0.43</v>
      </c>
      <c r="D5047">
        <v>60.5</v>
      </c>
      <c r="E5047" t="s">
        <v>16</v>
      </c>
      <c r="F5047" t="s">
        <v>16</v>
      </c>
      <c r="H5047">
        <v>0.05</v>
      </c>
      <c r="I5047">
        <v>31.69</v>
      </c>
      <c r="J5047">
        <v>-2.42</v>
      </c>
      <c r="L5047">
        <v>-0.26</v>
      </c>
      <c r="M5047">
        <v>123.01</v>
      </c>
      <c r="N5047">
        <v>0.01</v>
      </c>
      <c r="O5047">
        <v>0.72</v>
      </c>
    </row>
    <row r="5048" spans="1:15">
      <c r="A5048" t="str">
        <f>"688583"</f>
        <v>688583</v>
      </c>
      <c r="B5048" t="s">
        <v>5093</v>
      </c>
      <c r="C5048">
        <v>9.45</v>
      </c>
      <c r="D5048">
        <v>143.46</v>
      </c>
      <c r="E5048" t="s">
        <v>16</v>
      </c>
      <c r="F5048" t="s">
        <v>16</v>
      </c>
      <c r="H5048">
        <v>-0.01</v>
      </c>
      <c r="I5048">
        <v>25.65</v>
      </c>
      <c r="J5048">
        <v>-0.31</v>
      </c>
      <c r="L5048">
        <v>0.1</v>
      </c>
      <c r="M5048">
        <v>62.88</v>
      </c>
      <c r="N5048">
        <v>0.02</v>
      </c>
      <c r="O5048">
        <v>0.15</v>
      </c>
    </row>
    <row r="5049" spans="1:15">
      <c r="A5049" t="str">
        <f>"688584"</f>
        <v>688584</v>
      </c>
      <c r="B5049" t="s">
        <v>5094</v>
      </c>
      <c r="C5049">
        <v>-1.81</v>
      </c>
      <c r="D5049">
        <v>29.87</v>
      </c>
      <c r="E5049" t="s">
        <v>16</v>
      </c>
      <c r="F5049" t="s">
        <v>16</v>
      </c>
      <c r="H5049">
        <v>-0.06</v>
      </c>
      <c r="I5049">
        <v>12.5</v>
      </c>
      <c r="J5049">
        <v>-3.43</v>
      </c>
      <c r="L5049">
        <v>-1.38</v>
      </c>
      <c r="M5049">
        <v>444.58</v>
      </c>
      <c r="N5049">
        <v>0.1</v>
      </c>
      <c r="O5049">
        <v>1.01</v>
      </c>
    </row>
    <row r="5050" spans="1:15">
      <c r="A5050" t="str">
        <f>"688585"</f>
        <v>688585</v>
      </c>
      <c r="B5050" t="s">
        <v>5095</v>
      </c>
      <c r="C5050">
        <v>-7.56</v>
      </c>
      <c r="D5050">
        <v>161.35</v>
      </c>
      <c r="E5050" t="s">
        <v>16</v>
      </c>
      <c r="F5050" t="s">
        <v>16</v>
      </c>
      <c r="H5050">
        <v>-0.49</v>
      </c>
      <c r="I5050">
        <v>-9.37</v>
      </c>
      <c r="J5050">
        <v>-7.8</v>
      </c>
      <c r="L5050">
        <v>-0.57</v>
      </c>
      <c r="M5050">
        <v>1389.22</v>
      </c>
      <c r="N5050">
        <v>0.12</v>
      </c>
      <c r="O5050">
        <v>3.96</v>
      </c>
    </row>
    <row r="5051" spans="1:15">
      <c r="A5051" t="str">
        <f>"688586"</f>
        <v>688586</v>
      </c>
      <c r="B5051" t="s">
        <v>5096</v>
      </c>
      <c r="C5051">
        <v>-0.4</v>
      </c>
      <c r="D5051">
        <v>12.55</v>
      </c>
      <c r="E5051" t="s">
        <v>16</v>
      </c>
      <c r="F5051" t="s">
        <v>16</v>
      </c>
      <c r="H5051">
        <v>0.24</v>
      </c>
      <c r="I5051">
        <v>-3.83</v>
      </c>
      <c r="J5051">
        <v>-4.2</v>
      </c>
      <c r="L5051">
        <v>0.16</v>
      </c>
      <c r="M5051">
        <v>3.61</v>
      </c>
      <c r="N5051">
        <v>0</v>
      </c>
      <c r="O5051">
        <v>0.09</v>
      </c>
    </row>
    <row r="5052" spans="1:15">
      <c r="A5052" t="str">
        <f>"688588"</f>
        <v>688588</v>
      </c>
      <c r="B5052" t="s">
        <v>5097</v>
      </c>
      <c r="C5052">
        <v>-1.31</v>
      </c>
      <c r="D5052">
        <v>9.82</v>
      </c>
      <c r="E5052" t="s">
        <v>16</v>
      </c>
      <c r="F5052" t="s">
        <v>16</v>
      </c>
      <c r="H5052">
        <v>-0.19</v>
      </c>
      <c r="I5052">
        <v>0.41</v>
      </c>
      <c r="J5052">
        <v>-1.8</v>
      </c>
      <c r="L5052">
        <v>0.4</v>
      </c>
      <c r="M5052">
        <v>8.59</v>
      </c>
      <c r="N5052">
        <v>0</v>
      </c>
      <c r="O5052">
        <v>0.53</v>
      </c>
    </row>
    <row r="5053" spans="1:15">
      <c r="A5053" t="str">
        <f>"688589"</f>
        <v>688589</v>
      </c>
      <c r="B5053" t="s">
        <v>5098</v>
      </c>
      <c r="C5053">
        <v>0.34</v>
      </c>
      <c r="D5053">
        <v>20.75</v>
      </c>
      <c r="E5053" t="s">
        <v>16</v>
      </c>
      <c r="F5053" t="s">
        <v>16</v>
      </c>
      <c r="H5053">
        <v>0.1</v>
      </c>
      <c r="I5053">
        <v>3.75</v>
      </c>
      <c r="J5053">
        <v>-0.95</v>
      </c>
      <c r="L5053">
        <v>-0.24</v>
      </c>
      <c r="M5053">
        <v>6.81</v>
      </c>
      <c r="N5053">
        <v>0</v>
      </c>
      <c r="O5053">
        <v>0.27</v>
      </c>
    </row>
    <row r="5054" spans="1:15">
      <c r="A5054" t="str">
        <f>"688590"</f>
        <v>688590</v>
      </c>
      <c r="B5054" t="s">
        <v>5099</v>
      </c>
      <c r="C5054">
        <v>-3.02</v>
      </c>
      <c r="D5054">
        <v>14.45</v>
      </c>
      <c r="E5054" t="s">
        <v>16</v>
      </c>
      <c r="F5054" t="s">
        <v>16</v>
      </c>
      <c r="H5054">
        <v>-0.06</v>
      </c>
      <c r="I5054">
        <v>1.69</v>
      </c>
      <c r="J5054">
        <v>-3.15</v>
      </c>
      <c r="L5054">
        <v>-2.01</v>
      </c>
      <c r="M5054">
        <v>73.33</v>
      </c>
      <c r="N5054">
        <v>0.02</v>
      </c>
      <c r="O5054">
        <v>0.11</v>
      </c>
    </row>
    <row r="5055" spans="1:15">
      <c r="A5055" t="str">
        <f>"688591"</f>
        <v>688591</v>
      </c>
      <c r="B5055" t="s">
        <v>5100</v>
      </c>
      <c r="C5055">
        <v>5.04</v>
      </c>
      <c r="D5055">
        <v>35.21</v>
      </c>
      <c r="E5055" t="s">
        <v>16</v>
      </c>
      <c r="F5055" t="s">
        <v>16</v>
      </c>
      <c r="H5055">
        <v>-0.05</v>
      </c>
      <c r="I5055">
        <v>14.06</v>
      </c>
      <c r="J5055">
        <v>-1.57</v>
      </c>
      <c r="L5055">
        <v>-1.52</v>
      </c>
      <c r="M5055">
        <v>41.32</v>
      </c>
      <c r="N5055">
        <v>0.01</v>
      </c>
      <c r="O5055">
        <v>0.24</v>
      </c>
    </row>
    <row r="5056" spans="1:15">
      <c r="A5056" t="str">
        <f>"688592"</f>
        <v>688592</v>
      </c>
      <c r="B5056" t="s">
        <v>5101</v>
      </c>
      <c r="C5056">
        <v>4.19</v>
      </c>
      <c r="D5056">
        <v>40.75</v>
      </c>
      <c r="E5056" t="s">
        <v>16</v>
      </c>
      <c r="F5056" t="s">
        <v>16</v>
      </c>
      <c r="H5056">
        <v>0.1</v>
      </c>
      <c r="I5056">
        <v>7.07</v>
      </c>
      <c r="J5056">
        <v>-2.35</v>
      </c>
      <c r="L5056">
        <v>-0.13</v>
      </c>
      <c r="M5056">
        <v>7.84</v>
      </c>
      <c r="N5056">
        <v>0.01</v>
      </c>
      <c r="O5056">
        <v>0.53</v>
      </c>
    </row>
    <row r="5057" spans="1:15">
      <c r="A5057" t="str">
        <f>"688593"</f>
        <v>688593</v>
      </c>
      <c r="B5057" t="s">
        <v>5102</v>
      </c>
      <c r="C5057">
        <v>1.75</v>
      </c>
      <c r="D5057">
        <v>33.16</v>
      </c>
      <c r="E5057" t="s">
        <v>16</v>
      </c>
      <c r="F5057" t="s">
        <v>16</v>
      </c>
      <c r="H5057">
        <v>-0.08</v>
      </c>
      <c r="I5057">
        <v>-8.8</v>
      </c>
      <c r="J5057">
        <v>-4.66</v>
      </c>
      <c r="L5057">
        <v>0</v>
      </c>
      <c r="M5057">
        <v>180.64</v>
      </c>
      <c r="N5057">
        <v>0.02</v>
      </c>
      <c r="O5057">
        <v>0.58</v>
      </c>
    </row>
    <row r="5058" spans="1:15">
      <c r="A5058" t="str">
        <f>"688595"</f>
        <v>688595</v>
      </c>
      <c r="B5058" t="s">
        <v>5103</v>
      </c>
      <c r="C5058">
        <v>1.42</v>
      </c>
      <c r="D5058">
        <v>40</v>
      </c>
      <c r="E5058" t="s">
        <v>16</v>
      </c>
      <c r="F5058" t="s">
        <v>16</v>
      </c>
      <c r="H5058">
        <v>0.38</v>
      </c>
      <c r="I5058">
        <v>4.79</v>
      </c>
      <c r="J5058">
        <v>-0.87</v>
      </c>
      <c r="L5058">
        <v>-0.15</v>
      </c>
      <c r="M5058">
        <v>43</v>
      </c>
      <c r="N5058">
        <v>0.01</v>
      </c>
      <c r="O5058">
        <v>0.57</v>
      </c>
    </row>
    <row r="5059" spans="1:15">
      <c r="A5059" t="str">
        <f>"688596"</f>
        <v>688596</v>
      </c>
      <c r="B5059" t="s">
        <v>5104</v>
      </c>
      <c r="C5059">
        <v>-1.5</v>
      </c>
      <c r="D5059">
        <v>46.1</v>
      </c>
      <c r="E5059" t="s">
        <v>16</v>
      </c>
      <c r="F5059" t="s">
        <v>16</v>
      </c>
      <c r="H5059">
        <v>-0.06</v>
      </c>
      <c r="I5059">
        <v>15.71</v>
      </c>
      <c r="J5059">
        <v>-3.15</v>
      </c>
      <c r="L5059">
        <v>-1.69</v>
      </c>
      <c r="M5059">
        <v>209.07</v>
      </c>
      <c r="N5059">
        <v>0.02</v>
      </c>
      <c r="O5059">
        <v>0.29</v>
      </c>
    </row>
    <row r="5060" spans="1:15">
      <c r="A5060" t="str">
        <f>"688597"</f>
        <v>688597</v>
      </c>
      <c r="B5060" t="s">
        <v>5105</v>
      </c>
      <c r="C5060">
        <v>-5.15</v>
      </c>
      <c r="D5060">
        <v>7.55</v>
      </c>
      <c r="E5060" t="s">
        <v>16</v>
      </c>
      <c r="F5060" t="s">
        <v>16</v>
      </c>
      <c r="H5060">
        <v>0.13</v>
      </c>
      <c r="I5060">
        <v>-19.25</v>
      </c>
      <c r="J5060">
        <v>-5.15</v>
      </c>
      <c r="L5060">
        <v>-0.25</v>
      </c>
      <c r="M5060">
        <v>2.31</v>
      </c>
      <c r="N5060">
        <v>0</v>
      </c>
      <c r="O5060">
        <v>1</v>
      </c>
    </row>
    <row r="5061" spans="1:15">
      <c r="A5061" t="str">
        <f>"688598"</f>
        <v>688598</v>
      </c>
      <c r="B5061" t="s">
        <v>5106</v>
      </c>
      <c r="C5061">
        <v>20</v>
      </c>
      <c r="D5061">
        <v>59.75</v>
      </c>
      <c r="E5061">
        <v>5030.35</v>
      </c>
      <c r="F5061">
        <v>2</v>
      </c>
      <c r="H5061">
        <v>0</v>
      </c>
      <c r="I5061">
        <v>75.74</v>
      </c>
      <c r="J5061">
        <v>0</v>
      </c>
      <c r="K5061" t="s">
        <v>530</v>
      </c>
      <c r="L5061">
        <v>4.98</v>
      </c>
      <c r="M5061">
        <v>3822.75</v>
      </c>
      <c r="N5061">
        <v>0.41</v>
      </c>
      <c r="O5061">
        <v>3.4</v>
      </c>
    </row>
    <row r="5062" spans="1:15">
      <c r="A5062" t="str">
        <f>"688599"</f>
        <v>688599</v>
      </c>
      <c r="B5062" t="s">
        <v>5107</v>
      </c>
      <c r="C5062">
        <v>-0.89</v>
      </c>
      <c r="D5062">
        <v>14.47</v>
      </c>
      <c r="E5062" t="s">
        <v>16</v>
      </c>
      <c r="F5062" t="s">
        <v>16</v>
      </c>
      <c r="H5062">
        <v>-0.27</v>
      </c>
      <c r="I5062">
        <v>0.35</v>
      </c>
      <c r="J5062">
        <v>-1.63</v>
      </c>
      <c r="L5062">
        <v>-0.82</v>
      </c>
      <c r="M5062">
        <v>556.65</v>
      </c>
      <c r="N5062">
        <v>0.03</v>
      </c>
      <c r="O5062">
        <v>0.45</v>
      </c>
    </row>
    <row r="5063" spans="1:15">
      <c r="A5063" t="str">
        <f>"688600"</f>
        <v>688600</v>
      </c>
      <c r="B5063" t="s">
        <v>5108</v>
      </c>
      <c r="C5063">
        <v>2.12</v>
      </c>
      <c r="D5063">
        <v>30.4</v>
      </c>
      <c r="E5063" t="s">
        <v>16</v>
      </c>
      <c r="F5063" t="s">
        <v>16</v>
      </c>
      <c r="H5063">
        <v>-0.06</v>
      </c>
      <c r="I5063">
        <v>15.63</v>
      </c>
      <c r="J5063">
        <v>-4.28</v>
      </c>
      <c r="L5063">
        <v>0.37</v>
      </c>
      <c r="M5063">
        <v>86.5</v>
      </c>
      <c r="N5063">
        <v>0.04</v>
      </c>
      <c r="O5063">
        <v>1.39</v>
      </c>
    </row>
    <row r="5064" spans="1:15">
      <c r="A5064" t="str">
        <f>"688601"</f>
        <v>688601</v>
      </c>
      <c r="B5064" t="s">
        <v>5109</v>
      </c>
      <c r="C5064">
        <v>2.68</v>
      </c>
      <c r="D5064">
        <v>61.25</v>
      </c>
      <c r="E5064" t="s">
        <v>16</v>
      </c>
      <c r="F5064" t="s">
        <v>16</v>
      </c>
      <c r="H5064">
        <v>0.02</v>
      </c>
      <c r="I5064">
        <v>10.62</v>
      </c>
      <c r="J5064">
        <v>-0.16</v>
      </c>
      <c r="L5064">
        <v>1.64</v>
      </c>
      <c r="M5064">
        <v>193.69</v>
      </c>
      <c r="N5064">
        <v>0.04</v>
      </c>
      <c r="O5064">
        <v>0.58</v>
      </c>
    </row>
    <row r="5065" spans="1:15">
      <c r="A5065" t="str">
        <f>"688602"</f>
        <v>688602</v>
      </c>
      <c r="B5065" t="s">
        <v>5110</v>
      </c>
      <c r="C5065">
        <v>-1.88</v>
      </c>
      <c r="D5065">
        <v>7.81</v>
      </c>
      <c r="E5065" t="s">
        <v>16</v>
      </c>
      <c r="F5065" t="s">
        <v>16</v>
      </c>
      <c r="H5065">
        <v>-0.25</v>
      </c>
      <c r="I5065">
        <v>8.02</v>
      </c>
      <c r="J5065">
        <v>-1.88</v>
      </c>
      <c r="L5065">
        <v>0</v>
      </c>
      <c r="M5065">
        <v>13.89</v>
      </c>
      <c r="N5065">
        <v>0.01</v>
      </c>
      <c r="O5065">
        <v>0.16</v>
      </c>
    </row>
    <row r="5066" spans="1:15">
      <c r="A5066" t="str">
        <f>"688603"</f>
        <v>688603</v>
      </c>
      <c r="B5066" t="s">
        <v>5111</v>
      </c>
      <c r="C5066">
        <v>-0.75</v>
      </c>
      <c r="D5066">
        <v>194.65</v>
      </c>
      <c r="E5066" t="s">
        <v>16</v>
      </c>
      <c r="F5066" t="s">
        <v>16</v>
      </c>
      <c r="H5066">
        <v>0</v>
      </c>
      <c r="I5066">
        <v>13.38</v>
      </c>
      <c r="J5066">
        <v>-5.46</v>
      </c>
      <c r="K5066" t="s">
        <v>57</v>
      </c>
      <c r="L5066">
        <v>0.2</v>
      </c>
      <c r="M5066">
        <v>1881.41</v>
      </c>
      <c r="N5066">
        <v>0.2</v>
      </c>
      <c r="O5066">
        <v>0.99</v>
      </c>
    </row>
    <row r="5067" spans="1:15">
      <c r="A5067" t="str">
        <f>"688605"</f>
        <v>688605</v>
      </c>
      <c r="B5067" t="s">
        <v>5112</v>
      </c>
      <c r="C5067">
        <v>-1.76</v>
      </c>
      <c r="D5067">
        <v>86.93</v>
      </c>
      <c r="E5067" t="s">
        <v>16</v>
      </c>
      <c r="F5067" t="s">
        <v>16</v>
      </c>
      <c r="H5067">
        <v>-0.19</v>
      </c>
      <c r="I5067">
        <v>20.19</v>
      </c>
      <c r="J5067">
        <v>-2.84</v>
      </c>
      <c r="L5067">
        <v>-0.99</v>
      </c>
      <c r="M5067">
        <v>371.08</v>
      </c>
      <c r="N5067">
        <v>0.05</v>
      </c>
      <c r="O5067">
        <v>2.86</v>
      </c>
    </row>
    <row r="5068" spans="1:15">
      <c r="A5068" t="str">
        <f>"688606"</f>
        <v>688606</v>
      </c>
      <c r="B5068" t="s">
        <v>5113</v>
      </c>
      <c r="C5068">
        <v>-1.73</v>
      </c>
      <c r="D5068">
        <v>44.42</v>
      </c>
      <c r="E5068" t="s">
        <v>16</v>
      </c>
      <c r="F5068" t="s">
        <v>16</v>
      </c>
      <c r="H5068">
        <v>-0.17</v>
      </c>
      <c r="I5068">
        <v>-8.94</v>
      </c>
      <c r="J5068">
        <v>-2.54</v>
      </c>
      <c r="L5068">
        <v>-0.44</v>
      </c>
      <c r="M5068">
        <v>30.16</v>
      </c>
      <c r="N5068">
        <v>0.02</v>
      </c>
      <c r="O5068">
        <v>2.68</v>
      </c>
    </row>
    <row r="5069" spans="1:15">
      <c r="A5069" t="str">
        <f>"688607"</f>
        <v>688607</v>
      </c>
      <c r="B5069" t="s">
        <v>5114</v>
      </c>
      <c r="C5069">
        <v>-5.27</v>
      </c>
      <c r="D5069">
        <v>54.5</v>
      </c>
      <c r="E5069" t="s">
        <v>16</v>
      </c>
      <c r="F5069" t="s">
        <v>16</v>
      </c>
      <c r="H5069">
        <v>0.06</v>
      </c>
      <c r="I5069">
        <v>-8.79</v>
      </c>
      <c r="J5069">
        <v>-6.03</v>
      </c>
      <c r="L5069">
        <v>0.73</v>
      </c>
      <c r="M5069">
        <v>5.33</v>
      </c>
      <c r="N5069">
        <v>0</v>
      </c>
      <c r="O5069">
        <v>0.38</v>
      </c>
    </row>
    <row r="5070" spans="1:15">
      <c r="A5070" t="str">
        <f>"688608"</f>
        <v>688608</v>
      </c>
      <c r="B5070" t="s">
        <v>5115</v>
      </c>
      <c r="C5070">
        <v>1.8</v>
      </c>
      <c r="D5070">
        <v>159.3</v>
      </c>
      <c r="E5070" t="s">
        <v>16</v>
      </c>
      <c r="F5070" t="s">
        <v>16</v>
      </c>
      <c r="H5070">
        <v>-0.48</v>
      </c>
      <c r="I5070">
        <v>-0.23</v>
      </c>
      <c r="J5070">
        <v>-1.12</v>
      </c>
      <c r="L5070">
        <v>-0.1</v>
      </c>
      <c r="M5070">
        <v>128.42</v>
      </c>
      <c r="N5070">
        <v>0.01</v>
      </c>
      <c r="O5070">
        <v>0.65</v>
      </c>
    </row>
    <row r="5071" spans="1:15">
      <c r="A5071" t="str">
        <f>"688609"</f>
        <v>688609</v>
      </c>
      <c r="B5071" t="s">
        <v>5116</v>
      </c>
      <c r="C5071">
        <v>1.53</v>
      </c>
      <c r="D5071">
        <v>11.92</v>
      </c>
      <c r="E5071" t="s">
        <v>16</v>
      </c>
      <c r="F5071" t="s">
        <v>16</v>
      </c>
      <c r="H5071">
        <v>0.17</v>
      </c>
      <c r="I5071">
        <v>4.84</v>
      </c>
      <c r="J5071">
        <v>-1.24</v>
      </c>
      <c r="L5071">
        <v>-1.11</v>
      </c>
      <c r="M5071">
        <v>150.49</v>
      </c>
      <c r="N5071">
        <v>0.03</v>
      </c>
      <c r="O5071">
        <v>4.15</v>
      </c>
    </row>
    <row r="5072" spans="1:15">
      <c r="A5072" t="str">
        <f>"688610"</f>
        <v>688610</v>
      </c>
      <c r="B5072" t="s">
        <v>5117</v>
      </c>
      <c r="C5072">
        <v>-3.06</v>
      </c>
      <c r="D5072">
        <v>232.36</v>
      </c>
      <c r="E5072" t="s">
        <v>16</v>
      </c>
      <c r="F5072" t="s">
        <v>16</v>
      </c>
      <c r="H5072">
        <v>-0.17</v>
      </c>
      <c r="I5072">
        <v>23.4</v>
      </c>
      <c r="J5072">
        <v>-5.28</v>
      </c>
      <c r="L5072">
        <v>-1</v>
      </c>
      <c r="M5072">
        <v>175.35</v>
      </c>
      <c r="N5072">
        <v>0.03</v>
      </c>
      <c r="O5072">
        <v>0.75</v>
      </c>
    </row>
    <row r="5073" spans="1:15">
      <c r="A5073" t="str">
        <f>"688611"</f>
        <v>688611</v>
      </c>
      <c r="B5073" t="s">
        <v>5118</v>
      </c>
      <c r="C5073">
        <v>1.81</v>
      </c>
      <c r="D5073">
        <v>78.6</v>
      </c>
      <c r="E5073" t="s">
        <v>16</v>
      </c>
      <c r="F5073" t="s">
        <v>16</v>
      </c>
      <c r="H5073">
        <v>-0.09</v>
      </c>
      <c r="I5073">
        <v>2.13</v>
      </c>
      <c r="J5073">
        <v>-2.36</v>
      </c>
      <c r="L5073">
        <v>-1.44</v>
      </c>
      <c r="M5073">
        <v>14.46</v>
      </c>
      <c r="N5073">
        <v>0</v>
      </c>
      <c r="O5073">
        <v>1</v>
      </c>
    </row>
    <row r="5074" spans="1:15">
      <c r="A5074" t="str">
        <f>"688612"</f>
        <v>688612</v>
      </c>
      <c r="B5074" t="s">
        <v>5119</v>
      </c>
      <c r="C5074">
        <v>-5.17</v>
      </c>
      <c r="D5074">
        <v>31.72</v>
      </c>
      <c r="E5074" t="s">
        <v>16</v>
      </c>
      <c r="F5074" t="s">
        <v>16</v>
      </c>
      <c r="H5074">
        <v>0.51</v>
      </c>
      <c r="I5074">
        <v>-15.39</v>
      </c>
      <c r="J5074">
        <v>-5.17</v>
      </c>
      <c r="L5074">
        <v>0</v>
      </c>
      <c r="M5074">
        <v>21.47</v>
      </c>
      <c r="N5074">
        <v>0</v>
      </c>
      <c r="O5074">
        <v>0.44</v>
      </c>
    </row>
    <row r="5075" spans="1:15">
      <c r="A5075" t="str">
        <f>"688613"</f>
        <v>688613</v>
      </c>
      <c r="B5075" t="s">
        <v>5120</v>
      </c>
      <c r="C5075">
        <v>1.92</v>
      </c>
      <c r="D5075">
        <v>15.38</v>
      </c>
      <c r="E5075" t="s">
        <v>16</v>
      </c>
      <c r="F5075" t="s">
        <v>16</v>
      </c>
      <c r="H5075">
        <v>-0.05</v>
      </c>
      <c r="I5075">
        <v>-4.53</v>
      </c>
      <c r="J5075">
        <v>-0.52</v>
      </c>
      <c r="L5075">
        <v>0.2</v>
      </c>
      <c r="M5075">
        <v>8.23</v>
      </c>
      <c r="N5075">
        <v>0.01</v>
      </c>
      <c r="O5075">
        <v>0.91</v>
      </c>
    </row>
    <row r="5076" spans="1:15">
      <c r="A5076" t="str">
        <f>"688615"</f>
        <v>688615</v>
      </c>
      <c r="B5076" t="s">
        <v>5121</v>
      </c>
      <c r="C5076">
        <v>2.44</v>
      </c>
      <c r="D5076">
        <v>122.83</v>
      </c>
      <c r="E5076" t="s">
        <v>16</v>
      </c>
      <c r="F5076" t="s">
        <v>16</v>
      </c>
      <c r="H5076">
        <v>0.05</v>
      </c>
      <c r="I5076">
        <v>-3.59</v>
      </c>
      <c r="J5076">
        <v>-1.74</v>
      </c>
      <c r="L5076">
        <v>-1.41</v>
      </c>
      <c r="M5076">
        <v>296.14</v>
      </c>
      <c r="N5076">
        <v>0.02</v>
      </c>
      <c r="O5076">
        <v>27.84</v>
      </c>
    </row>
    <row r="5077" spans="1:15">
      <c r="A5077" t="str">
        <f>"688616"</f>
        <v>688616</v>
      </c>
      <c r="B5077" t="s">
        <v>5122</v>
      </c>
      <c r="C5077">
        <v>-2.01</v>
      </c>
      <c r="D5077">
        <v>10.73</v>
      </c>
      <c r="E5077" t="s">
        <v>16</v>
      </c>
      <c r="F5077" t="s">
        <v>16</v>
      </c>
      <c r="H5077">
        <v>-0.45</v>
      </c>
      <c r="I5077">
        <v>-6.45</v>
      </c>
      <c r="J5077">
        <v>-2.01</v>
      </c>
      <c r="L5077">
        <v>-0.46</v>
      </c>
      <c r="M5077">
        <v>5.01</v>
      </c>
      <c r="N5077">
        <v>0.01</v>
      </c>
      <c r="O5077">
        <v>0.19</v>
      </c>
    </row>
    <row r="5078" spans="1:15">
      <c r="A5078" t="str">
        <f>"688617"</f>
        <v>688617</v>
      </c>
      <c r="B5078" t="s">
        <v>5123</v>
      </c>
      <c r="C5078">
        <v>-2.42</v>
      </c>
      <c r="D5078">
        <v>191.64</v>
      </c>
      <c r="E5078" t="s">
        <v>16</v>
      </c>
      <c r="F5078" t="s">
        <v>16</v>
      </c>
      <c r="H5078">
        <v>-0.35</v>
      </c>
      <c r="I5078">
        <v>-3.71</v>
      </c>
      <c r="J5078">
        <v>-2.91</v>
      </c>
      <c r="L5078">
        <v>-1.21</v>
      </c>
      <c r="M5078">
        <v>56.27</v>
      </c>
      <c r="N5078">
        <v>0</v>
      </c>
      <c r="O5078">
        <v>2.07</v>
      </c>
    </row>
    <row r="5079" spans="1:15">
      <c r="A5079" t="str">
        <f>"688618"</f>
        <v>688618</v>
      </c>
      <c r="B5079" t="s">
        <v>5124</v>
      </c>
      <c r="C5079">
        <v>6.47</v>
      </c>
      <c r="D5079">
        <v>35.56</v>
      </c>
      <c r="E5079" t="s">
        <v>16</v>
      </c>
      <c r="F5079" t="s">
        <v>16</v>
      </c>
      <c r="H5079">
        <v>0.03</v>
      </c>
      <c r="I5079">
        <v>5.46</v>
      </c>
      <c r="J5079">
        <v>-2.81</v>
      </c>
      <c r="L5079">
        <v>-1.14</v>
      </c>
      <c r="M5079">
        <v>4.95</v>
      </c>
      <c r="N5079">
        <v>0</v>
      </c>
      <c r="O5079">
        <v>0.06</v>
      </c>
    </row>
    <row r="5080" spans="1:15">
      <c r="A5080" t="str">
        <f>"688619"</f>
        <v>688619</v>
      </c>
      <c r="B5080" t="s">
        <v>5125</v>
      </c>
      <c r="C5080">
        <v>-1.33</v>
      </c>
      <c r="D5080">
        <v>17.09</v>
      </c>
      <c r="E5080" t="s">
        <v>16</v>
      </c>
      <c r="F5080" t="s">
        <v>16</v>
      </c>
      <c r="H5080">
        <v>-0.28</v>
      </c>
      <c r="I5080">
        <v>4.02</v>
      </c>
      <c r="J5080">
        <v>-2.34</v>
      </c>
      <c r="L5080">
        <v>-0.06</v>
      </c>
      <c r="M5080">
        <v>31.26</v>
      </c>
      <c r="N5080">
        <v>0.02</v>
      </c>
      <c r="O5080">
        <v>3.22</v>
      </c>
    </row>
    <row r="5081" spans="1:15">
      <c r="A5081" t="str">
        <f>"688620"</f>
        <v>688620</v>
      </c>
      <c r="B5081" t="s">
        <v>5126</v>
      </c>
      <c r="C5081">
        <v>3.79</v>
      </c>
      <c r="D5081">
        <v>13.43</v>
      </c>
      <c r="E5081" t="s">
        <v>16</v>
      </c>
      <c r="F5081" t="s">
        <v>16</v>
      </c>
      <c r="H5081">
        <v>-0.14</v>
      </c>
      <c r="I5081">
        <v>14.59</v>
      </c>
      <c r="J5081">
        <v>-0.59</v>
      </c>
      <c r="L5081">
        <v>-0.31</v>
      </c>
      <c r="M5081">
        <v>20.05</v>
      </c>
      <c r="N5081">
        <v>0.01</v>
      </c>
      <c r="O5081">
        <v>1.09</v>
      </c>
    </row>
    <row r="5082" spans="1:15">
      <c r="A5082" t="str">
        <f>"688621"</f>
        <v>688621</v>
      </c>
      <c r="B5082" t="s">
        <v>5127</v>
      </c>
      <c r="C5082">
        <v>1.99</v>
      </c>
      <c r="D5082">
        <v>52.4</v>
      </c>
      <c r="E5082" t="s">
        <v>16</v>
      </c>
      <c r="F5082" t="s">
        <v>16</v>
      </c>
      <c r="H5082">
        <v>-0.03</v>
      </c>
      <c r="I5082">
        <v>-0.51</v>
      </c>
      <c r="J5082">
        <v>-2.24</v>
      </c>
      <c r="L5082">
        <v>1.5</v>
      </c>
      <c r="M5082">
        <v>51.53</v>
      </c>
      <c r="N5082">
        <v>0.01</v>
      </c>
      <c r="O5082">
        <v>1.45</v>
      </c>
    </row>
    <row r="5083" spans="1:15">
      <c r="A5083" t="str">
        <f>"688622"</f>
        <v>688622</v>
      </c>
      <c r="B5083" t="s">
        <v>5128</v>
      </c>
      <c r="C5083">
        <v>-4.31</v>
      </c>
      <c r="D5083">
        <v>134.6</v>
      </c>
      <c r="E5083" t="s">
        <v>16</v>
      </c>
      <c r="F5083" t="s">
        <v>16</v>
      </c>
      <c r="H5083">
        <v>1.2</v>
      </c>
      <c r="I5083">
        <v>-1.75</v>
      </c>
      <c r="J5083">
        <v>-7.52</v>
      </c>
      <c r="L5083">
        <v>0</v>
      </c>
      <c r="M5083">
        <v>81.05</v>
      </c>
      <c r="N5083">
        <v>0.02</v>
      </c>
      <c r="O5083">
        <v>1.09</v>
      </c>
    </row>
    <row r="5084" spans="1:15">
      <c r="A5084" t="str">
        <f>"688623"</f>
        <v>688623</v>
      </c>
      <c r="B5084" t="s">
        <v>5129</v>
      </c>
      <c r="C5084">
        <v>-1.87</v>
      </c>
      <c r="D5084">
        <v>93.83</v>
      </c>
      <c r="E5084" t="s">
        <v>16</v>
      </c>
      <c r="F5084" t="s">
        <v>16</v>
      </c>
      <c r="H5084">
        <v>0.11</v>
      </c>
      <c r="I5084">
        <v>-1.99</v>
      </c>
      <c r="J5084">
        <v>-1.52</v>
      </c>
      <c r="L5084">
        <v>-0.65</v>
      </c>
      <c r="M5084">
        <v>9.5</v>
      </c>
      <c r="N5084">
        <v>0.01</v>
      </c>
      <c r="O5084">
        <v>5</v>
      </c>
    </row>
    <row r="5085" spans="1:15">
      <c r="A5085" t="str">
        <f>"688625"</f>
        <v>688625</v>
      </c>
      <c r="B5085" t="s">
        <v>5130</v>
      </c>
      <c r="C5085">
        <v>0.91</v>
      </c>
      <c r="D5085">
        <v>94.5</v>
      </c>
      <c r="E5085" t="s">
        <v>16</v>
      </c>
      <c r="F5085" t="s">
        <v>16</v>
      </c>
      <c r="H5085">
        <v>-0.09</v>
      </c>
      <c r="I5085">
        <v>21.34</v>
      </c>
      <c r="J5085">
        <v>-1.13</v>
      </c>
      <c r="L5085">
        <v>-1.64</v>
      </c>
      <c r="M5085">
        <v>750.86</v>
      </c>
      <c r="N5085">
        <v>0.08</v>
      </c>
      <c r="O5085">
        <v>0.85</v>
      </c>
    </row>
    <row r="5086" spans="1:15">
      <c r="A5086" t="str">
        <f>"688626"</f>
        <v>688626</v>
      </c>
      <c r="B5086" t="s">
        <v>5131</v>
      </c>
      <c r="C5086">
        <v>-0.84</v>
      </c>
      <c r="D5086">
        <v>48.13</v>
      </c>
      <c r="E5086" t="s">
        <v>16</v>
      </c>
      <c r="F5086" t="s">
        <v>16</v>
      </c>
      <c r="H5086">
        <v>0.04</v>
      </c>
      <c r="I5086">
        <v>-4.33</v>
      </c>
      <c r="J5086">
        <v>-3.12</v>
      </c>
      <c r="L5086">
        <v>0.06</v>
      </c>
      <c r="M5086">
        <v>18.29</v>
      </c>
      <c r="N5086">
        <v>0.01</v>
      </c>
      <c r="O5086">
        <v>9.41</v>
      </c>
    </row>
    <row r="5087" spans="1:15">
      <c r="A5087" t="str">
        <f>"688627"</f>
        <v>688627</v>
      </c>
      <c r="B5087" t="s">
        <v>5132</v>
      </c>
      <c r="C5087">
        <v>4.37</v>
      </c>
      <c r="D5087">
        <v>566</v>
      </c>
      <c r="E5087" t="s">
        <v>16</v>
      </c>
      <c r="F5087" t="s">
        <v>16</v>
      </c>
      <c r="H5087">
        <v>1.27</v>
      </c>
      <c r="I5087">
        <v>45.96</v>
      </c>
      <c r="J5087">
        <v>-3.58</v>
      </c>
      <c r="L5087">
        <v>-2</v>
      </c>
      <c r="M5087">
        <v>1192.64</v>
      </c>
      <c r="N5087">
        <v>0.03</v>
      </c>
      <c r="O5087">
        <v>0.41</v>
      </c>
    </row>
    <row r="5088" spans="1:15">
      <c r="A5088" t="str">
        <f>"688628"</f>
        <v>688628</v>
      </c>
      <c r="B5088" t="s">
        <v>5133</v>
      </c>
      <c r="C5088">
        <v>3.99</v>
      </c>
      <c r="D5088">
        <v>106.08</v>
      </c>
      <c r="E5088" t="s">
        <v>16</v>
      </c>
      <c r="F5088" t="s">
        <v>16</v>
      </c>
      <c r="H5088">
        <v>-0.1</v>
      </c>
      <c r="I5088">
        <v>25.54</v>
      </c>
      <c r="J5088">
        <v>-1.76</v>
      </c>
      <c r="L5088">
        <v>-0.99</v>
      </c>
      <c r="M5088">
        <v>203.99</v>
      </c>
      <c r="N5088">
        <v>0.04</v>
      </c>
      <c r="O5088">
        <v>0.98</v>
      </c>
    </row>
    <row r="5089" spans="1:15">
      <c r="A5089" t="str">
        <f>"688629"</f>
        <v>688629</v>
      </c>
      <c r="B5089" t="s">
        <v>5134</v>
      </c>
      <c r="C5089">
        <v>0.6</v>
      </c>
      <c r="D5089">
        <v>158</v>
      </c>
      <c r="E5089" t="s">
        <v>16</v>
      </c>
      <c r="F5089" t="s">
        <v>16</v>
      </c>
      <c r="H5089">
        <v>-0.12</v>
      </c>
      <c r="I5089">
        <v>13.36</v>
      </c>
      <c r="J5089">
        <v>-3.06</v>
      </c>
      <c r="L5089">
        <v>-0.86</v>
      </c>
      <c r="M5089">
        <v>1155.57</v>
      </c>
      <c r="N5089">
        <v>0.04</v>
      </c>
      <c r="O5089">
        <v>1.47</v>
      </c>
    </row>
    <row r="5090" spans="1:15">
      <c r="A5090" t="str">
        <f>"688630"</f>
        <v>688630</v>
      </c>
      <c r="B5090" t="s">
        <v>5135</v>
      </c>
      <c r="C5090">
        <v>5.51</v>
      </c>
      <c r="D5090">
        <v>502</v>
      </c>
      <c r="E5090" t="s">
        <v>16</v>
      </c>
      <c r="F5090" t="s">
        <v>16</v>
      </c>
      <c r="H5090">
        <v>0</v>
      </c>
      <c r="I5090">
        <v>23.04</v>
      </c>
      <c r="J5090">
        <v>-2.11</v>
      </c>
      <c r="L5090">
        <v>-0.58</v>
      </c>
      <c r="M5090">
        <v>2329.1</v>
      </c>
      <c r="N5090">
        <v>0.06</v>
      </c>
      <c r="O5090">
        <v>1.19</v>
      </c>
    </row>
    <row r="5091" spans="1:15">
      <c r="A5091" t="str">
        <f>"688631"</f>
        <v>688631</v>
      </c>
      <c r="B5091" t="s">
        <v>5136</v>
      </c>
      <c r="C5091">
        <v>1.24</v>
      </c>
      <c r="D5091">
        <v>49.96</v>
      </c>
      <c r="E5091" t="s">
        <v>16</v>
      </c>
      <c r="F5091" t="s">
        <v>16</v>
      </c>
      <c r="H5091">
        <v>0.04</v>
      </c>
      <c r="I5091">
        <v>6.98</v>
      </c>
      <c r="J5091">
        <v>-1.54</v>
      </c>
      <c r="L5091">
        <v>-1.26</v>
      </c>
      <c r="M5091">
        <v>15.59</v>
      </c>
      <c r="N5091">
        <v>0.01</v>
      </c>
      <c r="O5091">
        <v>0.32</v>
      </c>
    </row>
    <row r="5092" spans="1:15">
      <c r="A5092" t="str">
        <f>"688633"</f>
        <v>688633</v>
      </c>
      <c r="B5092" t="s">
        <v>5137</v>
      </c>
      <c r="C5092">
        <v>0.83</v>
      </c>
      <c r="D5092">
        <v>31.46</v>
      </c>
      <c r="E5092" t="s">
        <v>16</v>
      </c>
      <c r="F5092" t="s">
        <v>16</v>
      </c>
      <c r="H5092">
        <v>0.16</v>
      </c>
      <c r="I5092">
        <v>10.35</v>
      </c>
      <c r="J5092">
        <v>-2.05</v>
      </c>
      <c r="L5092">
        <v>-0.64</v>
      </c>
      <c r="M5092">
        <v>103.3</v>
      </c>
      <c r="N5092">
        <v>0.04</v>
      </c>
      <c r="O5092">
        <v>0.2</v>
      </c>
    </row>
    <row r="5093" spans="1:15">
      <c r="A5093" t="str">
        <f>"688635"</f>
        <v>688635</v>
      </c>
      <c r="B5093" t="s">
        <v>5138</v>
      </c>
      <c r="C5093">
        <v>-0.63</v>
      </c>
      <c r="D5093">
        <v>498.68</v>
      </c>
      <c r="E5093" t="s">
        <v>16</v>
      </c>
      <c r="F5093" t="s">
        <v>16</v>
      </c>
      <c r="H5093">
        <v>-0.35</v>
      </c>
      <c r="I5093">
        <v>-23.28</v>
      </c>
      <c r="J5093">
        <v>-2.63</v>
      </c>
      <c r="K5093" t="s">
        <v>26</v>
      </c>
      <c r="L5093">
        <v>1.23</v>
      </c>
      <c r="M5093">
        <v>1886.15</v>
      </c>
      <c r="N5093">
        <v>0.21</v>
      </c>
      <c r="O5093">
        <v>0.48</v>
      </c>
    </row>
    <row r="5094" spans="1:15">
      <c r="A5094" t="str">
        <f>"688636"</f>
        <v>688636</v>
      </c>
      <c r="B5094" t="s">
        <v>5139</v>
      </c>
      <c r="C5094">
        <v>1.27</v>
      </c>
      <c r="D5094">
        <v>38.37</v>
      </c>
      <c r="E5094" t="s">
        <v>16</v>
      </c>
      <c r="F5094" t="s">
        <v>16</v>
      </c>
      <c r="H5094">
        <v>-0.02</v>
      </c>
      <c r="I5094">
        <v>9.32</v>
      </c>
      <c r="J5094">
        <v>-1.18</v>
      </c>
      <c r="L5094">
        <v>-0.92</v>
      </c>
      <c r="M5094">
        <v>79.58</v>
      </c>
      <c r="N5094">
        <v>0.02</v>
      </c>
      <c r="O5094">
        <v>1.8</v>
      </c>
    </row>
    <row r="5095" spans="1:15">
      <c r="A5095" t="str">
        <f>"688638"</f>
        <v>688638</v>
      </c>
      <c r="B5095" t="s">
        <v>5140</v>
      </c>
      <c r="C5095">
        <v>-1.46</v>
      </c>
      <c r="D5095">
        <v>33.81</v>
      </c>
      <c r="E5095" t="s">
        <v>16</v>
      </c>
      <c r="F5095" t="s">
        <v>16</v>
      </c>
      <c r="H5095">
        <v>-0.26</v>
      </c>
      <c r="I5095">
        <v>-2.56</v>
      </c>
      <c r="J5095">
        <v>-1.46</v>
      </c>
      <c r="L5095">
        <v>0</v>
      </c>
      <c r="M5095">
        <v>19.58</v>
      </c>
      <c r="N5095">
        <v>0.02</v>
      </c>
      <c r="O5095">
        <v>0.52</v>
      </c>
    </row>
    <row r="5096" spans="1:15">
      <c r="A5096" t="str">
        <f>"688639"</f>
        <v>688639</v>
      </c>
      <c r="B5096" t="s">
        <v>5141</v>
      </c>
      <c r="C5096">
        <v>0.87</v>
      </c>
      <c r="D5096">
        <v>20.87</v>
      </c>
      <c r="E5096" t="s">
        <v>16</v>
      </c>
      <c r="F5096" t="s">
        <v>16</v>
      </c>
      <c r="H5096">
        <v>0.29</v>
      </c>
      <c r="I5096">
        <v>-5.48</v>
      </c>
      <c r="J5096">
        <v>-1.56</v>
      </c>
      <c r="L5096">
        <v>0.77</v>
      </c>
      <c r="M5096">
        <v>58.55</v>
      </c>
      <c r="N5096">
        <v>0.02</v>
      </c>
      <c r="O5096">
        <v>1.12</v>
      </c>
    </row>
    <row r="5097" spans="1:15">
      <c r="A5097" t="str">
        <f>"688646"</f>
        <v>688646</v>
      </c>
      <c r="B5097" t="s">
        <v>5142</v>
      </c>
      <c r="C5097">
        <v>6.96</v>
      </c>
      <c r="D5097">
        <v>70.97</v>
      </c>
      <c r="E5097" t="s">
        <v>16</v>
      </c>
      <c r="F5097" t="s">
        <v>16</v>
      </c>
      <c r="H5097">
        <v>0.1</v>
      </c>
      <c r="I5097">
        <v>4.37</v>
      </c>
      <c r="J5097">
        <v>-0.46</v>
      </c>
      <c r="L5097">
        <v>0.02</v>
      </c>
      <c r="M5097">
        <v>21.99</v>
      </c>
      <c r="N5097">
        <v>0.01</v>
      </c>
      <c r="O5097">
        <v>11.05</v>
      </c>
    </row>
    <row r="5098" spans="1:15">
      <c r="A5098" t="str">
        <f>"688648"</f>
        <v>688648</v>
      </c>
      <c r="B5098" t="s">
        <v>5143</v>
      </c>
      <c r="C5098">
        <v>-0.3</v>
      </c>
      <c r="D5098">
        <v>36.71</v>
      </c>
      <c r="E5098" t="s">
        <v>16</v>
      </c>
      <c r="F5098" t="s">
        <v>16</v>
      </c>
      <c r="H5098">
        <v>-0.15</v>
      </c>
      <c r="I5098">
        <v>-5.17</v>
      </c>
      <c r="J5098">
        <v>-3.7</v>
      </c>
      <c r="L5098">
        <v>2.34</v>
      </c>
      <c r="M5098">
        <v>88.51</v>
      </c>
      <c r="N5098">
        <v>0.04</v>
      </c>
      <c r="O5098">
        <v>15.66</v>
      </c>
    </row>
    <row r="5099" spans="1:15">
      <c r="A5099" t="str">
        <f>"688651"</f>
        <v>688651</v>
      </c>
      <c r="B5099" t="s">
        <v>5144</v>
      </c>
      <c r="C5099">
        <v>0.48</v>
      </c>
      <c r="D5099">
        <v>35.55</v>
      </c>
      <c r="E5099" t="s">
        <v>16</v>
      </c>
      <c r="F5099" t="s">
        <v>16</v>
      </c>
      <c r="H5099">
        <v>-0.05</v>
      </c>
      <c r="I5099">
        <v>5.08</v>
      </c>
      <c r="J5099">
        <v>-0.92</v>
      </c>
      <c r="L5099">
        <v>-0.85</v>
      </c>
      <c r="M5099">
        <v>10.87</v>
      </c>
      <c r="N5099">
        <v>0.01</v>
      </c>
      <c r="O5099">
        <v>0.14</v>
      </c>
    </row>
    <row r="5100" spans="1:15">
      <c r="A5100" t="str">
        <f>"688652"</f>
        <v>688652</v>
      </c>
      <c r="B5100" t="s">
        <v>5145</v>
      </c>
      <c r="C5100">
        <v>-2.14</v>
      </c>
      <c r="D5100">
        <v>154.3</v>
      </c>
      <c r="E5100" t="s">
        <v>16</v>
      </c>
      <c r="F5100" t="s">
        <v>16</v>
      </c>
      <c r="H5100">
        <v>-0.11</v>
      </c>
      <c r="I5100">
        <v>15.95</v>
      </c>
      <c r="J5100">
        <v>-2.94</v>
      </c>
      <c r="L5100">
        <v>-0.43</v>
      </c>
      <c r="M5100">
        <v>1057.54</v>
      </c>
      <c r="N5100">
        <v>0.07</v>
      </c>
      <c r="O5100">
        <v>1.94</v>
      </c>
    </row>
    <row r="5101" spans="1:15">
      <c r="A5101" t="str">
        <f>"688653"</f>
        <v>688653</v>
      </c>
      <c r="B5101" t="s">
        <v>5146</v>
      </c>
      <c r="C5101">
        <v>1.38</v>
      </c>
      <c r="D5101">
        <v>15.4</v>
      </c>
      <c r="E5101" t="s">
        <v>16</v>
      </c>
      <c r="F5101" t="s">
        <v>16</v>
      </c>
      <c r="H5101">
        <v>0.26</v>
      </c>
      <c r="I5101">
        <v>9.76</v>
      </c>
      <c r="J5101">
        <v>-1.09</v>
      </c>
      <c r="L5101">
        <v>0</v>
      </c>
      <c r="M5101">
        <v>30.42</v>
      </c>
      <c r="N5101">
        <v>0.01</v>
      </c>
      <c r="O5101">
        <v>0.5</v>
      </c>
    </row>
    <row r="5102" spans="1:15">
      <c r="A5102" t="str">
        <f>"688655"</f>
        <v>688655</v>
      </c>
      <c r="B5102" t="s">
        <v>5147</v>
      </c>
      <c r="C5102">
        <v>8.16</v>
      </c>
      <c r="D5102">
        <v>56.84</v>
      </c>
      <c r="E5102" t="s">
        <v>16</v>
      </c>
      <c r="F5102" t="s">
        <v>16</v>
      </c>
      <c r="H5102">
        <v>-0.1</v>
      </c>
      <c r="I5102">
        <v>0.25</v>
      </c>
      <c r="J5102">
        <v>-2.74</v>
      </c>
      <c r="L5102">
        <v>-1.08</v>
      </c>
      <c r="M5102">
        <v>492.41</v>
      </c>
      <c r="N5102">
        <v>0.13</v>
      </c>
      <c r="O5102">
        <v>1.2</v>
      </c>
    </row>
    <row r="5103" spans="1:15">
      <c r="A5103" t="str">
        <f>"688656"</f>
        <v>688656</v>
      </c>
      <c r="B5103" t="s">
        <v>5148</v>
      </c>
      <c r="C5103">
        <v>0.83</v>
      </c>
      <c r="D5103">
        <v>105.45</v>
      </c>
      <c r="E5103" t="s">
        <v>16</v>
      </c>
      <c r="F5103" t="s">
        <v>16</v>
      </c>
      <c r="H5103">
        <v>-0.47</v>
      </c>
      <c r="I5103">
        <v>1.33</v>
      </c>
      <c r="J5103">
        <v>-2.36</v>
      </c>
      <c r="L5103">
        <v>1.14</v>
      </c>
      <c r="M5103">
        <v>28.56</v>
      </c>
      <c r="N5103">
        <v>0.01</v>
      </c>
      <c r="O5103">
        <v>0.42</v>
      </c>
    </row>
    <row r="5104" spans="1:15">
      <c r="A5104" t="str">
        <f>"688657"</f>
        <v>688657</v>
      </c>
      <c r="B5104" t="s">
        <v>5149</v>
      </c>
      <c r="C5104">
        <v>10.35</v>
      </c>
      <c r="D5104">
        <v>39.46</v>
      </c>
      <c r="E5104" t="s">
        <v>16</v>
      </c>
      <c r="F5104" t="s">
        <v>16</v>
      </c>
      <c r="H5104">
        <v>0.13</v>
      </c>
      <c r="I5104">
        <v>9.16</v>
      </c>
      <c r="J5104">
        <v>-1.05</v>
      </c>
      <c r="L5104">
        <v>-0.67</v>
      </c>
      <c r="M5104">
        <v>0</v>
      </c>
      <c r="N5104">
        <v>0</v>
      </c>
      <c r="O5104">
        <v>0</v>
      </c>
    </row>
    <row r="5105" spans="1:15">
      <c r="A5105" t="str">
        <f>"688658"</f>
        <v>688658</v>
      </c>
      <c r="B5105" t="s">
        <v>5150</v>
      </c>
      <c r="C5105">
        <v>-1.05</v>
      </c>
      <c r="D5105">
        <v>13.18</v>
      </c>
      <c r="E5105" t="s">
        <v>16</v>
      </c>
      <c r="F5105" t="s">
        <v>16</v>
      </c>
      <c r="H5105">
        <v>-0.07</v>
      </c>
      <c r="I5105">
        <v>-19.14</v>
      </c>
      <c r="J5105">
        <v>-2.51</v>
      </c>
      <c r="L5105">
        <v>0.98</v>
      </c>
      <c r="M5105">
        <v>55.45</v>
      </c>
      <c r="N5105">
        <v>0.02</v>
      </c>
      <c r="O5105">
        <v>0.55</v>
      </c>
    </row>
    <row r="5106" spans="1:15">
      <c r="A5106" t="str">
        <f>"688659"</f>
        <v>688659</v>
      </c>
      <c r="B5106" t="s">
        <v>5151</v>
      </c>
      <c r="C5106">
        <v>-2.32</v>
      </c>
      <c r="D5106">
        <v>10.51</v>
      </c>
      <c r="E5106" t="s">
        <v>16</v>
      </c>
      <c r="F5106" t="s">
        <v>16</v>
      </c>
      <c r="H5106">
        <v>0.19</v>
      </c>
      <c r="I5106">
        <v>5.31</v>
      </c>
      <c r="J5106">
        <v>-2.95</v>
      </c>
      <c r="L5106">
        <v>0.65</v>
      </c>
      <c r="M5106">
        <v>41.66</v>
      </c>
      <c r="N5106">
        <v>0.04</v>
      </c>
      <c r="O5106">
        <v>0.47</v>
      </c>
    </row>
    <row r="5107" spans="1:15">
      <c r="A5107" t="str">
        <f>"688660"</f>
        <v>688660</v>
      </c>
      <c r="B5107" t="s">
        <v>5152</v>
      </c>
      <c r="C5107">
        <v>-1.16</v>
      </c>
      <c r="D5107">
        <v>9.41</v>
      </c>
      <c r="E5107" t="s">
        <v>16</v>
      </c>
      <c r="F5107" t="s">
        <v>16</v>
      </c>
      <c r="H5107">
        <v>-0.41</v>
      </c>
      <c r="I5107">
        <v>-6.92</v>
      </c>
      <c r="J5107">
        <v>-0.95</v>
      </c>
      <c r="L5107">
        <v>-0.21</v>
      </c>
      <c r="M5107">
        <v>27.64</v>
      </c>
      <c r="N5107">
        <v>0.01</v>
      </c>
      <c r="O5107">
        <v>0.6</v>
      </c>
    </row>
    <row r="5108" spans="1:15">
      <c r="A5108" t="str">
        <f>"688661"</f>
        <v>688661</v>
      </c>
      <c r="B5108" t="s">
        <v>5153</v>
      </c>
      <c r="C5108">
        <v>3.98</v>
      </c>
      <c r="D5108">
        <v>158.2</v>
      </c>
      <c r="E5108" t="s">
        <v>16</v>
      </c>
      <c r="F5108" t="s">
        <v>16</v>
      </c>
      <c r="H5108">
        <v>-0.87</v>
      </c>
      <c r="I5108">
        <v>27.58</v>
      </c>
      <c r="J5108">
        <v>-1.43</v>
      </c>
      <c r="L5108">
        <v>-4.04</v>
      </c>
      <c r="M5108">
        <v>1191.86</v>
      </c>
      <c r="N5108">
        <v>0.11</v>
      </c>
      <c r="O5108">
        <v>2.25</v>
      </c>
    </row>
    <row r="5109" spans="1:15">
      <c r="A5109" t="str">
        <f>"688662"</f>
        <v>688662</v>
      </c>
      <c r="B5109" t="s">
        <v>5154</v>
      </c>
      <c r="C5109">
        <v>5.08</v>
      </c>
      <c r="D5109">
        <v>142.91</v>
      </c>
      <c r="E5109" t="s">
        <v>16</v>
      </c>
      <c r="F5109" t="s">
        <v>16</v>
      </c>
      <c r="H5109">
        <v>0.04</v>
      </c>
      <c r="I5109">
        <v>101.03</v>
      </c>
      <c r="J5109">
        <v>-2.12</v>
      </c>
      <c r="L5109">
        <v>-1.47</v>
      </c>
      <c r="M5109">
        <v>2910.36</v>
      </c>
      <c r="N5109">
        <v>0.29</v>
      </c>
      <c r="O5109">
        <v>0.4</v>
      </c>
    </row>
    <row r="5110" spans="1:15">
      <c r="A5110" t="str">
        <f>"688663"</f>
        <v>688663</v>
      </c>
      <c r="B5110" t="s">
        <v>5155</v>
      </c>
      <c r="C5110">
        <v>2.42</v>
      </c>
      <c r="D5110">
        <v>90.85</v>
      </c>
      <c r="E5110" t="s">
        <v>16</v>
      </c>
      <c r="F5110" t="s">
        <v>16</v>
      </c>
      <c r="H5110">
        <v>0.18</v>
      </c>
      <c r="I5110">
        <v>-2.31</v>
      </c>
      <c r="J5110">
        <v>-1.12</v>
      </c>
      <c r="L5110">
        <v>0.96</v>
      </c>
      <c r="M5110">
        <v>96.34</v>
      </c>
      <c r="N5110">
        <v>0.01</v>
      </c>
      <c r="O5110">
        <v>2.83</v>
      </c>
    </row>
    <row r="5111" spans="1:15">
      <c r="A5111" t="str">
        <f>"688665"</f>
        <v>688665</v>
      </c>
      <c r="B5111" t="s">
        <v>5156</v>
      </c>
      <c r="C5111">
        <v>3.22</v>
      </c>
      <c r="D5111">
        <v>61.48</v>
      </c>
      <c r="E5111" t="s">
        <v>16</v>
      </c>
      <c r="F5111" t="s">
        <v>16</v>
      </c>
      <c r="H5111">
        <v>0.03</v>
      </c>
      <c r="I5111">
        <v>23.48</v>
      </c>
      <c r="J5111">
        <v>-0.65</v>
      </c>
      <c r="L5111">
        <v>-0.77</v>
      </c>
      <c r="M5111">
        <v>111.86</v>
      </c>
      <c r="N5111">
        <v>0.06</v>
      </c>
      <c r="O5111">
        <v>4.62</v>
      </c>
    </row>
    <row r="5112" spans="1:15">
      <c r="A5112" t="str">
        <f>"688667"</f>
        <v>688667</v>
      </c>
      <c r="B5112" t="s">
        <v>5157</v>
      </c>
      <c r="C5112">
        <v>2.02</v>
      </c>
      <c r="D5112">
        <v>122.45</v>
      </c>
      <c r="E5112" t="s">
        <v>16</v>
      </c>
      <c r="F5112" t="s">
        <v>16</v>
      </c>
      <c r="H5112">
        <v>0.17</v>
      </c>
      <c r="I5112">
        <v>12.45</v>
      </c>
      <c r="J5112">
        <v>-1.08</v>
      </c>
      <c r="L5112">
        <v>-1.69</v>
      </c>
      <c r="M5112">
        <v>50.14</v>
      </c>
      <c r="N5112">
        <v>0.02</v>
      </c>
      <c r="O5112">
        <v>0.7</v>
      </c>
    </row>
    <row r="5113" spans="1:15">
      <c r="A5113" t="str">
        <f>"688668"</f>
        <v>688668</v>
      </c>
      <c r="B5113" t="s">
        <v>5158</v>
      </c>
      <c r="C5113">
        <v>5.28</v>
      </c>
      <c r="D5113">
        <v>429.86</v>
      </c>
      <c r="E5113" t="s">
        <v>16</v>
      </c>
      <c r="F5113" t="s">
        <v>16</v>
      </c>
      <c r="H5113">
        <v>0</v>
      </c>
      <c r="I5113">
        <v>18.61</v>
      </c>
      <c r="J5113">
        <v>-1.02</v>
      </c>
      <c r="L5113">
        <v>-2.52</v>
      </c>
      <c r="M5113">
        <v>1180.83</v>
      </c>
      <c r="N5113">
        <v>0.04</v>
      </c>
      <c r="O5113">
        <v>0.77</v>
      </c>
    </row>
    <row r="5114" spans="1:15">
      <c r="A5114" t="str">
        <f>"688669"</f>
        <v>688669</v>
      </c>
      <c r="B5114" t="s">
        <v>5159</v>
      </c>
      <c r="C5114">
        <v>5.3</v>
      </c>
      <c r="D5114">
        <v>65.77</v>
      </c>
      <c r="E5114" t="s">
        <v>16</v>
      </c>
      <c r="F5114" t="s">
        <v>16</v>
      </c>
      <c r="H5114">
        <v>-0.23</v>
      </c>
      <c r="I5114">
        <v>48.57</v>
      </c>
      <c r="J5114">
        <v>-4.68</v>
      </c>
      <c r="L5114">
        <v>2.67</v>
      </c>
      <c r="M5114">
        <v>833.17</v>
      </c>
      <c r="N5114">
        <v>0.21</v>
      </c>
      <c r="O5114">
        <v>2.87</v>
      </c>
    </row>
    <row r="5115" spans="1:15">
      <c r="A5115" t="str">
        <f>"688670"</f>
        <v>688670</v>
      </c>
      <c r="B5115" t="s">
        <v>5160</v>
      </c>
      <c r="C5115">
        <v>-0.63</v>
      </c>
      <c r="D5115">
        <v>14.28</v>
      </c>
      <c r="E5115" t="s">
        <v>16</v>
      </c>
      <c r="F5115" t="s">
        <v>16</v>
      </c>
      <c r="H5115">
        <v>-0.2</v>
      </c>
      <c r="I5115">
        <v>-7.75</v>
      </c>
      <c r="J5115">
        <v>-2.46</v>
      </c>
      <c r="L5115">
        <v>-1.04</v>
      </c>
      <c r="M5115">
        <v>38.12</v>
      </c>
      <c r="N5115">
        <v>0.06</v>
      </c>
      <c r="O5115">
        <v>0.7</v>
      </c>
    </row>
    <row r="5116" spans="1:15">
      <c r="A5116" t="str">
        <f>"688671"</f>
        <v>688671</v>
      </c>
      <c r="B5116" t="s">
        <v>5161</v>
      </c>
      <c r="C5116">
        <v>20</v>
      </c>
      <c r="D5116">
        <v>30.78</v>
      </c>
      <c r="E5116">
        <v>6129.84</v>
      </c>
      <c r="F5116">
        <v>1</v>
      </c>
      <c r="H5116">
        <v>0</v>
      </c>
      <c r="I5116">
        <v>22</v>
      </c>
      <c r="J5116">
        <v>0</v>
      </c>
      <c r="K5116" t="s">
        <v>140</v>
      </c>
      <c r="L5116">
        <v>-0.23</v>
      </c>
      <c r="M5116">
        <v>32.4</v>
      </c>
      <c r="N5116">
        <v>0.03</v>
      </c>
      <c r="O5116">
        <v>1.39</v>
      </c>
    </row>
    <row r="5117" spans="1:15">
      <c r="A5117" t="str">
        <f>"688676"</f>
        <v>688676</v>
      </c>
      <c r="B5117" t="s">
        <v>5162</v>
      </c>
      <c r="C5117">
        <v>-0.27</v>
      </c>
      <c r="D5117">
        <v>92.5</v>
      </c>
      <c r="E5117" t="s">
        <v>16</v>
      </c>
      <c r="F5117" t="s">
        <v>16</v>
      </c>
      <c r="H5117">
        <v>0.03</v>
      </c>
      <c r="I5117">
        <v>-2.31</v>
      </c>
      <c r="J5117">
        <v>-2.51</v>
      </c>
      <c r="L5117">
        <v>0.23</v>
      </c>
      <c r="M5117">
        <v>585.21</v>
      </c>
      <c r="N5117">
        <v>0.03</v>
      </c>
      <c r="O5117">
        <v>0.55</v>
      </c>
    </row>
    <row r="5118" spans="1:15">
      <c r="A5118" t="str">
        <f>"688677"</f>
        <v>688677</v>
      </c>
      <c r="B5118" t="s">
        <v>5163</v>
      </c>
      <c r="C5118">
        <v>0.45</v>
      </c>
      <c r="D5118">
        <v>118.68</v>
      </c>
      <c r="E5118" t="s">
        <v>16</v>
      </c>
      <c r="F5118" t="s">
        <v>16</v>
      </c>
      <c r="H5118">
        <v>0</v>
      </c>
      <c r="I5118">
        <v>-17.81</v>
      </c>
      <c r="J5118">
        <v>-1.74</v>
      </c>
      <c r="L5118">
        <v>1.07</v>
      </c>
      <c r="M5118">
        <v>189.34</v>
      </c>
      <c r="N5118">
        <v>0.02</v>
      </c>
      <c r="O5118">
        <v>0.53</v>
      </c>
    </row>
    <row r="5119" spans="1:15">
      <c r="A5119" t="str">
        <f>"688678"</f>
        <v>688678</v>
      </c>
      <c r="B5119" t="s">
        <v>5164</v>
      </c>
      <c r="C5119">
        <v>5.55</v>
      </c>
      <c r="D5119">
        <v>23.97</v>
      </c>
      <c r="E5119" t="s">
        <v>16</v>
      </c>
      <c r="F5119" t="s">
        <v>16</v>
      </c>
      <c r="H5119">
        <v>0.67</v>
      </c>
      <c r="I5119">
        <v>7.97</v>
      </c>
      <c r="J5119">
        <v>-1.11</v>
      </c>
      <c r="L5119">
        <v>0.26</v>
      </c>
      <c r="M5119">
        <v>70.03</v>
      </c>
      <c r="N5119">
        <v>0.01</v>
      </c>
      <c r="O5119">
        <v>2.06</v>
      </c>
    </row>
    <row r="5120" spans="1:15">
      <c r="A5120" t="str">
        <f>"688679"</f>
        <v>688679</v>
      </c>
      <c r="B5120" t="s">
        <v>5165</v>
      </c>
      <c r="C5120">
        <v>-0.68</v>
      </c>
      <c r="D5120">
        <v>49.56</v>
      </c>
      <c r="E5120" t="s">
        <v>16</v>
      </c>
      <c r="F5120" t="s">
        <v>16</v>
      </c>
      <c r="H5120">
        <v>-0.23</v>
      </c>
      <c r="I5120">
        <v>-11.26</v>
      </c>
      <c r="J5120">
        <v>-2.82</v>
      </c>
      <c r="L5120">
        <v>-0.98</v>
      </c>
      <c r="M5120">
        <v>27.13</v>
      </c>
      <c r="N5120">
        <v>0.01</v>
      </c>
      <c r="O5120">
        <v>0.48</v>
      </c>
    </row>
    <row r="5121" spans="1:15">
      <c r="A5121" t="str">
        <f>"688680"</f>
        <v>688680</v>
      </c>
      <c r="B5121" t="s">
        <v>5166</v>
      </c>
      <c r="C5121">
        <v>-1.46</v>
      </c>
      <c r="D5121">
        <v>44.6</v>
      </c>
      <c r="E5121" t="s">
        <v>16</v>
      </c>
      <c r="F5121" t="s">
        <v>16</v>
      </c>
      <c r="H5121">
        <v>-0.01</v>
      </c>
      <c r="I5121">
        <v>0.86</v>
      </c>
      <c r="J5121">
        <v>-3.84</v>
      </c>
      <c r="L5121">
        <v>2.25</v>
      </c>
      <c r="M5121">
        <v>17.59</v>
      </c>
      <c r="N5121">
        <v>0.01</v>
      </c>
      <c r="O5121">
        <v>0.52</v>
      </c>
    </row>
    <row r="5122" spans="1:15">
      <c r="A5122" t="str">
        <f>"688681"</f>
        <v>688681</v>
      </c>
      <c r="B5122" t="s">
        <v>5167</v>
      </c>
      <c r="C5122">
        <v>0.13</v>
      </c>
      <c r="D5122">
        <v>14.97</v>
      </c>
      <c r="E5122" t="s">
        <v>16</v>
      </c>
      <c r="F5122" t="s">
        <v>16</v>
      </c>
      <c r="H5122">
        <v>0</v>
      </c>
      <c r="I5122">
        <v>-8.16</v>
      </c>
      <c r="J5122">
        <v>-1.06</v>
      </c>
      <c r="L5122">
        <v>0.13</v>
      </c>
      <c r="M5122">
        <v>27.93</v>
      </c>
      <c r="N5122">
        <v>0.03</v>
      </c>
      <c r="O5122">
        <v>0.62</v>
      </c>
    </row>
    <row r="5123" spans="1:15">
      <c r="A5123" t="str">
        <f>"688682"</f>
        <v>688682</v>
      </c>
      <c r="B5123" t="s">
        <v>5168</v>
      </c>
      <c r="C5123">
        <v>0.32</v>
      </c>
      <c r="D5123">
        <v>43.33</v>
      </c>
      <c r="E5123" t="s">
        <v>16</v>
      </c>
      <c r="F5123" t="s">
        <v>16</v>
      </c>
      <c r="H5123">
        <v>-0.11</v>
      </c>
      <c r="I5123">
        <v>10.28</v>
      </c>
      <c r="J5123">
        <v>-2.56</v>
      </c>
      <c r="L5123">
        <v>-2.01</v>
      </c>
      <c r="M5123">
        <v>28.77</v>
      </c>
      <c r="N5123">
        <v>0.02</v>
      </c>
      <c r="O5123">
        <v>0.31</v>
      </c>
    </row>
    <row r="5124" spans="1:15">
      <c r="A5124" t="str">
        <f>"688683"</f>
        <v>688683</v>
      </c>
      <c r="B5124" t="s">
        <v>5169</v>
      </c>
      <c r="C5124">
        <v>-1.7</v>
      </c>
      <c r="D5124">
        <v>41.02</v>
      </c>
      <c r="E5124" t="s">
        <v>16</v>
      </c>
      <c r="F5124" t="s">
        <v>16</v>
      </c>
      <c r="H5124">
        <v>0</v>
      </c>
      <c r="I5124">
        <v>7.89</v>
      </c>
      <c r="J5124">
        <v>-4.45</v>
      </c>
      <c r="L5124">
        <v>0</v>
      </c>
      <c r="M5124">
        <v>24.8</v>
      </c>
      <c r="N5124">
        <v>0.01</v>
      </c>
      <c r="O5124">
        <v>2.97</v>
      </c>
    </row>
    <row r="5125" spans="1:15">
      <c r="A5125" t="str">
        <f>"688685"</f>
        <v>688685</v>
      </c>
      <c r="B5125" t="s">
        <v>5170</v>
      </c>
      <c r="C5125">
        <v>6.12</v>
      </c>
      <c r="D5125">
        <v>45.97</v>
      </c>
      <c r="E5125" t="s">
        <v>16</v>
      </c>
      <c r="F5125" t="s">
        <v>16</v>
      </c>
      <c r="H5125">
        <v>-0.47</v>
      </c>
      <c r="I5125">
        <v>-6.49</v>
      </c>
      <c r="J5125">
        <v>-1.71</v>
      </c>
      <c r="L5125">
        <v>1.57</v>
      </c>
      <c r="M5125">
        <v>46.64</v>
      </c>
      <c r="N5125">
        <v>0.01</v>
      </c>
      <c r="O5125">
        <v>1.33</v>
      </c>
    </row>
    <row r="5126" spans="1:15">
      <c r="A5126" t="str">
        <f>"688686"</f>
        <v>688686</v>
      </c>
      <c r="B5126" t="s">
        <v>5171</v>
      </c>
      <c r="C5126">
        <v>0.76</v>
      </c>
      <c r="D5126">
        <v>158.68</v>
      </c>
      <c r="E5126" t="s">
        <v>16</v>
      </c>
      <c r="F5126" t="s">
        <v>16</v>
      </c>
      <c r="H5126">
        <v>-0.91</v>
      </c>
      <c r="I5126">
        <v>16.15</v>
      </c>
      <c r="J5126">
        <v>-3.5</v>
      </c>
      <c r="L5126">
        <v>0.86</v>
      </c>
      <c r="M5126">
        <v>165.15</v>
      </c>
      <c r="N5126">
        <v>0.03</v>
      </c>
      <c r="O5126">
        <v>0.68</v>
      </c>
    </row>
    <row r="5127" spans="1:15">
      <c r="A5127" t="str">
        <f>"688687"</f>
        <v>688687</v>
      </c>
      <c r="B5127" t="s">
        <v>5172</v>
      </c>
      <c r="C5127">
        <v>2.47</v>
      </c>
      <c r="D5127">
        <v>16.18</v>
      </c>
      <c r="E5127" t="s">
        <v>16</v>
      </c>
      <c r="F5127" t="s">
        <v>16</v>
      </c>
      <c r="H5127">
        <v>-0.05</v>
      </c>
      <c r="I5127">
        <v>-0.92</v>
      </c>
      <c r="J5127">
        <v>-0.61</v>
      </c>
      <c r="L5127">
        <v>-0.13</v>
      </c>
      <c r="M5127">
        <v>11.78</v>
      </c>
      <c r="N5127">
        <v>0.01</v>
      </c>
      <c r="O5127">
        <v>3.73</v>
      </c>
    </row>
    <row r="5128" spans="1:15">
      <c r="A5128" t="str">
        <f>"688689"</f>
        <v>688689</v>
      </c>
      <c r="B5128" t="s">
        <v>5173</v>
      </c>
      <c r="C5128">
        <v>0</v>
      </c>
      <c r="D5128">
        <v>46.82</v>
      </c>
      <c r="E5128" t="s">
        <v>16</v>
      </c>
      <c r="F5128" t="s">
        <v>16</v>
      </c>
      <c r="H5128">
        <v>0</v>
      </c>
      <c r="I5128">
        <v>15.83</v>
      </c>
      <c r="J5128" t="s">
        <v>16</v>
      </c>
      <c r="L5128" t="s">
        <v>16</v>
      </c>
      <c r="M5128">
        <v>0</v>
      </c>
      <c r="N5128" t="s">
        <v>16</v>
      </c>
      <c r="O5128" t="s">
        <v>16</v>
      </c>
    </row>
    <row r="5129" spans="1:15">
      <c r="A5129" t="str">
        <f>"688690"</f>
        <v>688690</v>
      </c>
      <c r="B5129" t="s">
        <v>5174</v>
      </c>
      <c r="C5129">
        <v>7.1</v>
      </c>
      <c r="D5129">
        <v>43.28</v>
      </c>
      <c r="E5129" t="s">
        <v>16</v>
      </c>
      <c r="F5129" t="s">
        <v>16</v>
      </c>
      <c r="H5129">
        <v>-0.29</v>
      </c>
      <c r="I5129">
        <v>3.91</v>
      </c>
      <c r="J5129">
        <v>-1.32</v>
      </c>
      <c r="L5129">
        <v>-0.27</v>
      </c>
      <c r="M5129">
        <v>303.25</v>
      </c>
      <c r="N5129">
        <v>0.03</v>
      </c>
      <c r="O5129">
        <v>2.13</v>
      </c>
    </row>
    <row r="5130" spans="1:15">
      <c r="A5130" t="str">
        <f>"688691"</f>
        <v>688691</v>
      </c>
      <c r="B5130" t="s">
        <v>5175</v>
      </c>
      <c r="C5130">
        <v>6.11</v>
      </c>
      <c r="D5130">
        <v>106.58</v>
      </c>
      <c r="E5130" t="s">
        <v>16</v>
      </c>
      <c r="F5130" t="s">
        <v>16</v>
      </c>
      <c r="H5130">
        <v>-0.03</v>
      </c>
      <c r="I5130">
        <v>7.82</v>
      </c>
      <c r="J5130">
        <v>-1.86</v>
      </c>
      <c r="L5130">
        <v>-0.31</v>
      </c>
      <c r="M5130">
        <v>118.76</v>
      </c>
      <c r="N5130">
        <v>0.02</v>
      </c>
      <c r="O5130">
        <v>0.87</v>
      </c>
    </row>
    <row r="5131" spans="1:15">
      <c r="A5131" t="str">
        <f>"688692"</f>
        <v>688692</v>
      </c>
      <c r="B5131" t="s">
        <v>5176</v>
      </c>
      <c r="C5131">
        <v>1.66</v>
      </c>
      <c r="D5131">
        <v>271.28</v>
      </c>
      <c r="E5131" t="s">
        <v>16</v>
      </c>
      <c r="F5131" t="s">
        <v>16</v>
      </c>
      <c r="H5131">
        <v>0</v>
      </c>
      <c r="I5131">
        <v>-1.67</v>
      </c>
      <c r="J5131">
        <v>-1.48</v>
      </c>
      <c r="L5131">
        <v>0</v>
      </c>
      <c r="M5131">
        <v>125.72</v>
      </c>
      <c r="N5131">
        <v>0.01</v>
      </c>
      <c r="O5131">
        <v>0.52</v>
      </c>
    </row>
    <row r="5132" spans="1:15">
      <c r="A5132" t="str">
        <f>"688693"</f>
        <v>688693</v>
      </c>
      <c r="B5132" t="s">
        <v>5177</v>
      </c>
      <c r="C5132">
        <v>3.47</v>
      </c>
      <c r="D5132">
        <v>107.08</v>
      </c>
      <c r="E5132" t="s">
        <v>16</v>
      </c>
      <c r="F5132" t="s">
        <v>16</v>
      </c>
      <c r="H5132">
        <v>0.46</v>
      </c>
      <c r="I5132">
        <v>2.96</v>
      </c>
      <c r="J5132">
        <v>-3.51</v>
      </c>
      <c r="L5132">
        <v>-0.23</v>
      </c>
      <c r="M5132">
        <v>18.36</v>
      </c>
      <c r="N5132">
        <v>0.01</v>
      </c>
      <c r="O5132">
        <v>0.35</v>
      </c>
    </row>
    <row r="5133" spans="1:15">
      <c r="A5133" t="str">
        <f>"688695"</f>
        <v>688695</v>
      </c>
      <c r="B5133" t="s">
        <v>5178</v>
      </c>
      <c r="C5133">
        <v>0.5</v>
      </c>
      <c r="D5133">
        <v>19.98</v>
      </c>
      <c r="E5133" t="s">
        <v>16</v>
      </c>
      <c r="F5133" t="s">
        <v>16</v>
      </c>
      <c r="H5133">
        <v>0.1</v>
      </c>
      <c r="I5133">
        <v>-2.39</v>
      </c>
      <c r="J5133">
        <v>-1.72</v>
      </c>
      <c r="L5133">
        <v>-1.41</v>
      </c>
      <c r="M5133">
        <v>17.43</v>
      </c>
      <c r="N5133">
        <v>0.02</v>
      </c>
      <c r="O5133">
        <v>1.05</v>
      </c>
    </row>
    <row r="5134" spans="1:15">
      <c r="A5134" t="str">
        <f>"688696"</f>
        <v>688696</v>
      </c>
      <c r="B5134" t="s">
        <v>5179</v>
      </c>
      <c r="C5134">
        <v>-0.9</v>
      </c>
      <c r="D5134">
        <v>68.33</v>
      </c>
      <c r="E5134" t="s">
        <v>16</v>
      </c>
      <c r="F5134" t="s">
        <v>16</v>
      </c>
      <c r="H5134">
        <v>-0.24</v>
      </c>
      <c r="I5134">
        <v>-6.01</v>
      </c>
      <c r="J5134">
        <v>-2.64</v>
      </c>
      <c r="L5134">
        <v>1.2</v>
      </c>
      <c r="M5134">
        <v>4.88</v>
      </c>
      <c r="N5134">
        <v>0</v>
      </c>
      <c r="O5134" t="s">
        <v>16</v>
      </c>
    </row>
    <row r="5135" spans="1:15">
      <c r="A5135" t="str">
        <f>"688697"</f>
        <v>688697</v>
      </c>
      <c r="B5135" t="s">
        <v>5180</v>
      </c>
      <c r="C5135">
        <v>2.06</v>
      </c>
      <c r="D5135">
        <v>15.38</v>
      </c>
      <c r="E5135" t="s">
        <v>16</v>
      </c>
      <c r="F5135" t="s">
        <v>16</v>
      </c>
      <c r="H5135">
        <v>-0.05</v>
      </c>
      <c r="I5135">
        <v>7.03</v>
      </c>
      <c r="J5135">
        <v>-2.53</v>
      </c>
      <c r="L5135">
        <v>0.33</v>
      </c>
      <c r="M5135">
        <v>86.83</v>
      </c>
      <c r="N5135">
        <v>0.02</v>
      </c>
      <c r="O5135">
        <v>2.84</v>
      </c>
    </row>
    <row r="5136" spans="1:15">
      <c r="A5136" t="str">
        <f>"688698"</f>
        <v>688698</v>
      </c>
      <c r="B5136" t="s">
        <v>5181</v>
      </c>
      <c r="C5136">
        <v>2.45</v>
      </c>
      <c r="D5136">
        <v>59.73</v>
      </c>
      <c r="E5136" t="s">
        <v>16</v>
      </c>
      <c r="F5136" t="s">
        <v>16</v>
      </c>
      <c r="H5136">
        <v>0.02</v>
      </c>
      <c r="I5136">
        <v>-6.72</v>
      </c>
      <c r="J5136">
        <v>-1.65</v>
      </c>
      <c r="L5136">
        <v>1.2</v>
      </c>
      <c r="M5136">
        <v>117.64</v>
      </c>
      <c r="N5136">
        <v>0.02</v>
      </c>
      <c r="O5136">
        <v>3.27</v>
      </c>
    </row>
    <row r="5137" spans="1:15">
      <c r="A5137" t="str">
        <f>"688699"</f>
        <v>688699</v>
      </c>
      <c r="B5137" t="s">
        <v>5182</v>
      </c>
      <c r="C5137">
        <v>11.22</v>
      </c>
      <c r="D5137">
        <v>72.68</v>
      </c>
      <c r="E5137" t="s">
        <v>16</v>
      </c>
      <c r="F5137" t="s">
        <v>16</v>
      </c>
      <c r="H5137">
        <v>0.4</v>
      </c>
      <c r="I5137">
        <v>24.67</v>
      </c>
      <c r="J5137">
        <v>0</v>
      </c>
      <c r="L5137">
        <v>-0.54</v>
      </c>
      <c r="M5137">
        <v>91.32</v>
      </c>
      <c r="N5137">
        <v>0.03</v>
      </c>
      <c r="O5137">
        <v>0.91</v>
      </c>
    </row>
    <row r="5138" spans="1:15">
      <c r="A5138" t="str">
        <f>"688700"</f>
        <v>688700</v>
      </c>
      <c r="B5138" t="s">
        <v>5183</v>
      </c>
      <c r="C5138">
        <v>1.68</v>
      </c>
      <c r="D5138">
        <v>101.45</v>
      </c>
      <c r="E5138" t="s">
        <v>16</v>
      </c>
      <c r="F5138" t="s">
        <v>16</v>
      </c>
      <c r="H5138">
        <v>0.41</v>
      </c>
      <c r="I5138">
        <v>10.27</v>
      </c>
      <c r="J5138">
        <v>-1.44</v>
      </c>
      <c r="L5138">
        <v>-3.78</v>
      </c>
      <c r="M5138">
        <v>1823.06</v>
      </c>
      <c r="N5138">
        <v>0.1</v>
      </c>
      <c r="O5138">
        <v>1.41</v>
      </c>
    </row>
    <row r="5139" spans="1:15">
      <c r="A5139" t="str">
        <f>"688701"</f>
        <v>688701</v>
      </c>
      <c r="B5139" t="s">
        <v>5184</v>
      </c>
      <c r="C5139">
        <v>-1.87</v>
      </c>
      <c r="D5139">
        <v>7.86</v>
      </c>
      <c r="E5139" t="s">
        <v>16</v>
      </c>
      <c r="F5139" t="s">
        <v>16</v>
      </c>
      <c r="H5139">
        <v>0.64</v>
      </c>
      <c r="I5139">
        <v>-14.66</v>
      </c>
      <c r="J5139">
        <v>-2.36</v>
      </c>
      <c r="L5139">
        <v>-0.62</v>
      </c>
      <c r="M5139">
        <v>12.9</v>
      </c>
      <c r="N5139">
        <v>0.02</v>
      </c>
      <c r="O5139">
        <v>0.38</v>
      </c>
    </row>
    <row r="5140" spans="1:15">
      <c r="A5140" t="str">
        <f>"688702"</f>
        <v>688702</v>
      </c>
      <c r="B5140" t="s">
        <v>5185</v>
      </c>
      <c r="C5140">
        <v>11.22</v>
      </c>
      <c r="D5140">
        <v>337</v>
      </c>
      <c r="E5140" t="s">
        <v>16</v>
      </c>
      <c r="F5140" t="s">
        <v>16</v>
      </c>
      <c r="H5140">
        <v>1.52</v>
      </c>
      <c r="I5140">
        <v>22.57</v>
      </c>
      <c r="J5140">
        <v>-0.88</v>
      </c>
      <c r="L5140">
        <v>2.31</v>
      </c>
      <c r="M5140">
        <v>3634.32</v>
      </c>
      <c r="N5140">
        <v>0.11</v>
      </c>
      <c r="O5140">
        <v>2.61</v>
      </c>
    </row>
    <row r="5141" spans="1:15">
      <c r="A5141" t="str">
        <f>"688707"</f>
        <v>688707</v>
      </c>
      <c r="B5141" t="s">
        <v>5186</v>
      </c>
      <c r="C5141">
        <v>-1.61</v>
      </c>
      <c r="D5141">
        <v>14.03</v>
      </c>
      <c r="E5141" t="s">
        <v>16</v>
      </c>
      <c r="F5141" t="s">
        <v>16</v>
      </c>
      <c r="H5141">
        <v>-0.06</v>
      </c>
      <c r="I5141">
        <v>-5.97</v>
      </c>
      <c r="J5141">
        <v>-2.23</v>
      </c>
      <c r="L5141">
        <v>-0.84</v>
      </c>
      <c r="M5141">
        <v>5.94</v>
      </c>
      <c r="N5141">
        <v>0</v>
      </c>
      <c r="O5141">
        <v>0.06</v>
      </c>
    </row>
    <row r="5142" spans="1:15">
      <c r="A5142" t="str">
        <f>"688708"</f>
        <v>688708</v>
      </c>
      <c r="B5142" t="s">
        <v>5187</v>
      </c>
      <c r="C5142">
        <v>1.36</v>
      </c>
      <c r="D5142">
        <v>52.2</v>
      </c>
      <c r="E5142" t="s">
        <v>16</v>
      </c>
      <c r="F5142" t="s">
        <v>16</v>
      </c>
      <c r="H5142">
        <v>-0.03</v>
      </c>
      <c r="I5142">
        <v>11.66</v>
      </c>
      <c r="J5142">
        <v>-2.65</v>
      </c>
      <c r="L5142">
        <v>-0.39</v>
      </c>
      <c r="M5142">
        <v>35.23</v>
      </c>
      <c r="N5142">
        <v>0.01</v>
      </c>
      <c r="O5142">
        <v>0.9</v>
      </c>
    </row>
    <row r="5143" spans="1:15">
      <c r="A5143" t="str">
        <f>"688709"</f>
        <v>688709</v>
      </c>
      <c r="B5143" t="s">
        <v>5188</v>
      </c>
      <c r="C5143">
        <v>1.58</v>
      </c>
      <c r="D5143">
        <v>36.65</v>
      </c>
      <c r="E5143" t="s">
        <v>16</v>
      </c>
      <c r="F5143" t="s">
        <v>16</v>
      </c>
      <c r="H5143">
        <v>-0.02</v>
      </c>
      <c r="I5143">
        <v>8.5</v>
      </c>
      <c r="J5143">
        <v>-1.8</v>
      </c>
      <c r="L5143">
        <v>0.75</v>
      </c>
      <c r="M5143">
        <v>221.36</v>
      </c>
      <c r="N5143">
        <v>0.03</v>
      </c>
      <c r="O5143">
        <v>2.67</v>
      </c>
    </row>
    <row r="5144" spans="1:15">
      <c r="A5144" t="str">
        <f>"688710"</f>
        <v>688710</v>
      </c>
      <c r="B5144" t="s">
        <v>5189</v>
      </c>
      <c r="C5144">
        <v>6.49</v>
      </c>
      <c r="D5144">
        <v>57.12</v>
      </c>
      <c r="E5144" t="s">
        <v>16</v>
      </c>
      <c r="F5144" t="s">
        <v>16</v>
      </c>
      <c r="H5144">
        <v>-0.48</v>
      </c>
      <c r="I5144">
        <v>-1.38</v>
      </c>
      <c r="J5144">
        <v>-1.33</v>
      </c>
      <c r="L5144">
        <v>-2.11</v>
      </c>
      <c r="M5144">
        <v>12.53</v>
      </c>
      <c r="N5144">
        <v>0</v>
      </c>
      <c r="O5144">
        <v>0.75</v>
      </c>
    </row>
    <row r="5145" spans="1:15">
      <c r="A5145" t="str">
        <f>"688711"</f>
        <v>688711</v>
      </c>
      <c r="B5145" t="s">
        <v>5190</v>
      </c>
      <c r="C5145">
        <v>2.54</v>
      </c>
      <c r="D5145">
        <v>40.34</v>
      </c>
      <c r="E5145" t="s">
        <v>16</v>
      </c>
      <c r="F5145" t="s">
        <v>16</v>
      </c>
      <c r="H5145">
        <v>0.05</v>
      </c>
      <c r="I5145">
        <v>17.03</v>
      </c>
      <c r="J5145">
        <v>-1.61</v>
      </c>
      <c r="L5145">
        <v>-0.89</v>
      </c>
      <c r="M5145">
        <v>538.98</v>
      </c>
      <c r="N5145">
        <v>0.08</v>
      </c>
      <c r="O5145">
        <v>1.7</v>
      </c>
    </row>
    <row r="5146" spans="1:15">
      <c r="A5146" t="str">
        <f>"688712"</f>
        <v>688712</v>
      </c>
      <c r="B5146" t="s">
        <v>5191</v>
      </c>
      <c r="C5146">
        <v>0.28</v>
      </c>
      <c r="D5146">
        <v>38.9</v>
      </c>
      <c r="E5146" t="s">
        <v>16</v>
      </c>
      <c r="F5146" t="s">
        <v>16</v>
      </c>
      <c r="H5146">
        <v>0.18</v>
      </c>
      <c r="I5146">
        <v>-1.02</v>
      </c>
      <c r="J5146">
        <v>-1.89</v>
      </c>
      <c r="L5146">
        <v>-0.88</v>
      </c>
      <c r="M5146">
        <v>36.47</v>
      </c>
      <c r="N5146">
        <v>0.03</v>
      </c>
      <c r="O5146">
        <v>5.93</v>
      </c>
    </row>
    <row r="5147" spans="1:15">
      <c r="A5147" t="str">
        <f>"688716"</f>
        <v>688716</v>
      </c>
      <c r="B5147" t="s">
        <v>5192</v>
      </c>
      <c r="C5147">
        <v>-1.07</v>
      </c>
      <c r="D5147">
        <v>34.35</v>
      </c>
      <c r="E5147" t="s">
        <v>16</v>
      </c>
      <c r="F5147" t="s">
        <v>16</v>
      </c>
      <c r="H5147">
        <v>-0.14</v>
      </c>
      <c r="I5147">
        <v>9.39</v>
      </c>
      <c r="J5147">
        <v>-2.75</v>
      </c>
      <c r="L5147">
        <v>-0.55</v>
      </c>
      <c r="M5147">
        <v>9.86</v>
      </c>
      <c r="N5147">
        <v>0</v>
      </c>
      <c r="O5147">
        <v>0.27</v>
      </c>
    </row>
    <row r="5148" spans="1:15">
      <c r="A5148" t="str">
        <f>"688717"</f>
        <v>688717</v>
      </c>
      <c r="B5148" t="s">
        <v>5193</v>
      </c>
      <c r="C5148">
        <v>-2.03</v>
      </c>
      <c r="D5148">
        <v>89.19</v>
      </c>
      <c r="E5148" t="s">
        <v>16</v>
      </c>
      <c r="F5148" t="s">
        <v>16</v>
      </c>
      <c r="H5148">
        <v>0.04</v>
      </c>
      <c r="I5148">
        <v>-13.53</v>
      </c>
      <c r="J5148">
        <v>-2.84</v>
      </c>
      <c r="L5148">
        <v>0.01</v>
      </c>
      <c r="M5148">
        <v>49.06</v>
      </c>
      <c r="N5148">
        <v>0.01</v>
      </c>
      <c r="O5148">
        <v>0.58</v>
      </c>
    </row>
    <row r="5149" spans="1:15">
      <c r="A5149" t="str">
        <f>"688718"</f>
        <v>688718</v>
      </c>
      <c r="B5149" t="s">
        <v>5194</v>
      </c>
      <c r="C5149">
        <v>1.64</v>
      </c>
      <c r="D5149">
        <v>17.93</v>
      </c>
      <c r="E5149" t="s">
        <v>16</v>
      </c>
      <c r="F5149" t="s">
        <v>16</v>
      </c>
      <c r="H5149">
        <v>-0.21</v>
      </c>
      <c r="I5149">
        <v>21.97</v>
      </c>
      <c r="J5149">
        <v>-2.98</v>
      </c>
      <c r="L5149">
        <v>-0.11</v>
      </c>
      <c r="M5149">
        <v>98.9</v>
      </c>
      <c r="N5149">
        <v>0.09</v>
      </c>
      <c r="O5149">
        <v>3.15</v>
      </c>
    </row>
    <row r="5150" spans="1:15">
      <c r="A5150" t="str">
        <f>"688719"</f>
        <v>688719</v>
      </c>
      <c r="B5150" t="s">
        <v>5195</v>
      </c>
      <c r="C5150">
        <v>-5.6</v>
      </c>
      <c r="D5150">
        <v>87</v>
      </c>
      <c r="E5150" t="s">
        <v>16</v>
      </c>
      <c r="F5150" t="s">
        <v>16</v>
      </c>
      <c r="H5150">
        <v>0.22</v>
      </c>
      <c r="I5150">
        <v>6.49</v>
      </c>
      <c r="J5150">
        <v>-7.52</v>
      </c>
      <c r="L5150">
        <v>0.4</v>
      </c>
      <c r="M5150">
        <v>215.76</v>
      </c>
      <c r="N5150">
        <v>0.03</v>
      </c>
      <c r="O5150">
        <v>0.49</v>
      </c>
    </row>
    <row r="5151" spans="1:15">
      <c r="A5151" t="str">
        <f>"688720"</f>
        <v>688720</v>
      </c>
      <c r="B5151" t="s">
        <v>5196</v>
      </c>
      <c r="C5151">
        <v>2.2</v>
      </c>
      <c r="D5151">
        <v>85.85</v>
      </c>
      <c r="E5151" t="s">
        <v>16</v>
      </c>
      <c r="F5151" t="s">
        <v>16</v>
      </c>
      <c r="H5151">
        <v>0</v>
      </c>
      <c r="I5151">
        <v>25.55</v>
      </c>
      <c r="J5151">
        <v>-0.95</v>
      </c>
      <c r="L5151">
        <v>-1.19</v>
      </c>
      <c r="M5151">
        <v>446.17</v>
      </c>
      <c r="N5151">
        <v>0.07</v>
      </c>
      <c r="O5151">
        <v>1.41</v>
      </c>
    </row>
    <row r="5152" spans="1:15">
      <c r="A5152" t="str">
        <f>"688721"</f>
        <v>688721</v>
      </c>
      <c r="B5152" t="s">
        <v>5197</v>
      </c>
      <c r="C5152">
        <v>-2.32</v>
      </c>
      <c r="D5152">
        <v>53.02</v>
      </c>
      <c r="E5152" t="s">
        <v>16</v>
      </c>
      <c r="F5152" t="s">
        <v>16</v>
      </c>
      <c r="H5152">
        <v>-0.1</v>
      </c>
      <c r="I5152">
        <v>25.34</v>
      </c>
      <c r="J5152">
        <v>-2.07</v>
      </c>
      <c r="L5152">
        <v>-1.18</v>
      </c>
      <c r="M5152">
        <v>240.21</v>
      </c>
      <c r="N5152">
        <v>0.08</v>
      </c>
      <c r="O5152">
        <v>2.46</v>
      </c>
    </row>
    <row r="5153" spans="1:15">
      <c r="A5153" t="str">
        <f>"688722"</f>
        <v>688722</v>
      </c>
      <c r="B5153" t="s">
        <v>5198</v>
      </c>
      <c r="C5153">
        <v>-1.83</v>
      </c>
      <c r="D5153">
        <v>17.18</v>
      </c>
      <c r="E5153" t="s">
        <v>16</v>
      </c>
      <c r="F5153" t="s">
        <v>16</v>
      </c>
      <c r="H5153">
        <v>0.12</v>
      </c>
      <c r="I5153">
        <v>7.51</v>
      </c>
      <c r="J5153">
        <v>-2.22</v>
      </c>
      <c r="L5153">
        <v>-0.63</v>
      </c>
      <c r="M5153">
        <v>8.39</v>
      </c>
      <c r="N5153">
        <v>0</v>
      </c>
      <c r="O5153">
        <v>0.91</v>
      </c>
    </row>
    <row r="5154" spans="1:15">
      <c r="A5154" t="str">
        <f>"688726"</f>
        <v>688726</v>
      </c>
      <c r="B5154" t="s">
        <v>5199</v>
      </c>
      <c r="C5154">
        <v>-1.93</v>
      </c>
      <c r="D5154">
        <v>55.88</v>
      </c>
      <c r="E5154" t="s">
        <v>16</v>
      </c>
      <c r="F5154" t="s">
        <v>16</v>
      </c>
      <c r="H5154">
        <v>0.13</v>
      </c>
      <c r="I5154">
        <v>-6.8</v>
      </c>
      <c r="J5154">
        <v>-2.63</v>
      </c>
      <c r="L5154">
        <v>0.05</v>
      </c>
      <c r="M5154">
        <v>165.64</v>
      </c>
      <c r="N5154">
        <v>0.01</v>
      </c>
      <c r="O5154">
        <v>0.64</v>
      </c>
    </row>
    <row r="5155" spans="1:15">
      <c r="A5155" t="str">
        <f>"688727"</f>
        <v>688727</v>
      </c>
      <c r="B5155" t="s">
        <v>5200</v>
      </c>
      <c r="C5155">
        <v>-1.47</v>
      </c>
      <c r="D5155">
        <v>58.31</v>
      </c>
      <c r="E5155" t="s">
        <v>16</v>
      </c>
      <c r="F5155" t="s">
        <v>16</v>
      </c>
      <c r="H5155">
        <v>-0.08</v>
      </c>
      <c r="I5155">
        <v>15.92</v>
      </c>
      <c r="J5155">
        <v>-3.68</v>
      </c>
      <c r="L5155">
        <v>-0.47</v>
      </c>
      <c r="M5155">
        <v>575.26</v>
      </c>
      <c r="N5155">
        <v>0.18</v>
      </c>
      <c r="O5155">
        <v>3.79</v>
      </c>
    </row>
    <row r="5156" spans="1:15">
      <c r="A5156" t="str">
        <f>"688728"</f>
        <v>688728</v>
      </c>
      <c r="B5156" t="s">
        <v>5201</v>
      </c>
      <c r="C5156">
        <v>-1.03</v>
      </c>
      <c r="D5156">
        <v>14.37</v>
      </c>
      <c r="E5156" t="s">
        <v>16</v>
      </c>
      <c r="F5156" t="s">
        <v>16</v>
      </c>
      <c r="H5156">
        <v>-0.13</v>
      </c>
      <c r="I5156">
        <v>3.53</v>
      </c>
      <c r="J5156">
        <v>-1.64</v>
      </c>
      <c r="L5156">
        <v>-0.69</v>
      </c>
      <c r="M5156">
        <v>173.72</v>
      </c>
      <c r="N5156">
        <v>0.01</v>
      </c>
      <c r="O5156">
        <v>2.2</v>
      </c>
    </row>
    <row r="5157" spans="1:15">
      <c r="A5157" t="str">
        <f>"688729"</f>
        <v>688729</v>
      </c>
      <c r="B5157" t="s">
        <v>5202</v>
      </c>
      <c r="C5157">
        <v>19.99</v>
      </c>
      <c r="D5157">
        <v>33.07</v>
      </c>
      <c r="E5157">
        <v>5917.88</v>
      </c>
      <c r="F5157">
        <v>1</v>
      </c>
      <c r="H5157">
        <v>0</v>
      </c>
      <c r="I5157">
        <v>32.97</v>
      </c>
      <c r="J5157">
        <v>0</v>
      </c>
      <c r="K5157" t="s">
        <v>140</v>
      </c>
      <c r="L5157">
        <v>2.29</v>
      </c>
      <c r="M5157">
        <v>1150.5</v>
      </c>
      <c r="N5157">
        <v>0.19</v>
      </c>
      <c r="O5157">
        <v>6.77</v>
      </c>
    </row>
    <row r="5158" spans="1:15">
      <c r="A5158" t="str">
        <f>"688733"</f>
        <v>688733</v>
      </c>
      <c r="B5158" t="s">
        <v>5203</v>
      </c>
      <c r="C5158">
        <v>5.23</v>
      </c>
      <c r="D5158">
        <v>44.9</v>
      </c>
      <c r="E5158" t="s">
        <v>16</v>
      </c>
      <c r="F5158" t="s">
        <v>16</v>
      </c>
      <c r="H5158">
        <v>0.09</v>
      </c>
      <c r="I5158">
        <v>19.89</v>
      </c>
      <c r="J5158">
        <v>-3.34</v>
      </c>
      <c r="L5158">
        <v>-1.5</v>
      </c>
      <c r="M5158">
        <v>679.42</v>
      </c>
      <c r="N5158">
        <v>0.11</v>
      </c>
      <c r="O5158">
        <v>0.97</v>
      </c>
    </row>
    <row r="5159" spans="1:15">
      <c r="A5159" t="str">
        <f>"688737"</f>
        <v>688737</v>
      </c>
      <c r="B5159" t="s">
        <v>5204</v>
      </c>
      <c r="C5159">
        <v>1.68</v>
      </c>
      <c r="D5159">
        <v>26.56</v>
      </c>
      <c r="E5159" t="s">
        <v>16</v>
      </c>
      <c r="F5159" t="s">
        <v>16</v>
      </c>
      <c r="H5159">
        <v>-0.07</v>
      </c>
      <c r="I5159">
        <v>6.28</v>
      </c>
      <c r="J5159">
        <v>-3.49</v>
      </c>
      <c r="L5159">
        <v>0.11</v>
      </c>
      <c r="M5159">
        <v>1.57</v>
      </c>
      <c r="N5159">
        <v>0</v>
      </c>
      <c r="O5159">
        <v>0.07</v>
      </c>
    </row>
    <row r="5160" spans="1:15">
      <c r="A5160" t="str">
        <f>"688739"</f>
        <v>688739</v>
      </c>
      <c r="B5160" t="s">
        <v>5205</v>
      </c>
      <c r="C5160">
        <v>1.16</v>
      </c>
      <c r="D5160">
        <v>19.98</v>
      </c>
      <c r="E5160" t="s">
        <v>16</v>
      </c>
      <c r="F5160" t="s">
        <v>16</v>
      </c>
      <c r="H5160">
        <v>0.15</v>
      </c>
      <c r="I5160">
        <v>-2.58</v>
      </c>
      <c r="J5160">
        <v>-0.99</v>
      </c>
      <c r="L5160">
        <v>-0.1</v>
      </c>
      <c r="M5160">
        <v>41.63</v>
      </c>
      <c r="N5160">
        <v>0.01</v>
      </c>
      <c r="O5160">
        <v>0.99</v>
      </c>
    </row>
    <row r="5161" spans="1:15">
      <c r="A5161" t="str">
        <f>"688750"</f>
        <v>688750</v>
      </c>
      <c r="B5161" t="s">
        <v>5206</v>
      </c>
      <c r="C5161">
        <v>7.91</v>
      </c>
      <c r="D5161">
        <v>18.15</v>
      </c>
      <c r="E5161" t="s">
        <v>16</v>
      </c>
      <c r="F5161" t="s">
        <v>16</v>
      </c>
      <c r="H5161">
        <v>-0.37</v>
      </c>
      <c r="I5161">
        <v>9.8</v>
      </c>
      <c r="J5161">
        <v>-2.99</v>
      </c>
      <c r="L5161">
        <v>1.13</v>
      </c>
      <c r="M5161">
        <v>145.6</v>
      </c>
      <c r="N5161">
        <v>0.05</v>
      </c>
      <c r="O5161">
        <v>2.32</v>
      </c>
    </row>
    <row r="5162" spans="1:15">
      <c r="A5162" t="str">
        <f>"688755"</f>
        <v>688755</v>
      </c>
      <c r="B5162" t="s">
        <v>5207</v>
      </c>
      <c r="C5162">
        <v>1.4</v>
      </c>
      <c r="D5162">
        <v>25.37</v>
      </c>
      <c r="E5162" t="s">
        <v>16</v>
      </c>
      <c r="F5162" t="s">
        <v>16</v>
      </c>
      <c r="H5162">
        <v>-0.03</v>
      </c>
      <c r="I5162">
        <v>-5.93</v>
      </c>
      <c r="J5162">
        <v>-0.78</v>
      </c>
      <c r="L5162">
        <v>0.24</v>
      </c>
      <c r="M5162">
        <v>6.99</v>
      </c>
      <c r="N5162">
        <v>0</v>
      </c>
      <c r="O5162">
        <v>6.97</v>
      </c>
    </row>
    <row r="5163" spans="1:15">
      <c r="A5163" t="str">
        <f>"688757"</f>
        <v>688757</v>
      </c>
      <c r="B5163" t="s">
        <v>5208</v>
      </c>
      <c r="C5163">
        <v>7.04</v>
      </c>
      <c r="D5163">
        <v>63.9</v>
      </c>
      <c r="E5163" t="s">
        <v>16</v>
      </c>
      <c r="F5163" t="s">
        <v>16</v>
      </c>
      <c r="H5163">
        <v>0.33</v>
      </c>
      <c r="I5163">
        <v>68.69</v>
      </c>
      <c r="J5163">
        <v>-4.33</v>
      </c>
      <c r="K5163" t="s">
        <v>57</v>
      </c>
      <c r="L5163">
        <v>5.16</v>
      </c>
      <c r="M5163">
        <v>1257.9</v>
      </c>
      <c r="N5163">
        <v>0.15</v>
      </c>
      <c r="O5163">
        <v>1.85</v>
      </c>
    </row>
    <row r="5164" spans="1:15">
      <c r="A5164" t="str">
        <f>"688758"</f>
        <v>688758</v>
      </c>
      <c r="B5164" t="s">
        <v>5209</v>
      </c>
      <c r="C5164">
        <v>-0.65</v>
      </c>
      <c r="D5164">
        <v>19.91</v>
      </c>
      <c r="E5164" t="s">
        <v>16</v>
      </c>
      <c r="F5164" t="s">
        <v>16</v>
      </c>
      <c r="H5164">
        <v>-0.09</v>
      </c>
      <c r="I5164">
        <v>14.49</v>
      </c>
      <c r="J5164">
        <v>-1.87</v>
      </c>
      <c r="L5164">
        <v>0.75</v>
      </c>
      <c r="M5164">
        <v>4.34</v>
      </c>
      <c r="N5164">
        <v>0</v>
      </c>
      <c r="O5164">
        <v>3.58</v>
      </c>
    </row>
    <row r="5165" spans="1:15">
      <c r="A5165" t="str">
        <f>"688759"</f>
        <v>688759</v>
      </c>
      <c r="B5165" t="s">
        <v>5210</v>
      </c>
      <c r="C5165">
        <v>1.77</v>
      </c>
      <c r="D5165">
        <v>30.5</v>
      </c>
      <c r="E5165" t="s">
        <v>16</v>
      </c>
      <c r="F5165" t="s">
        <v>16</v>
      </c>
      <c r="H5165">
        <v>-0.09</v>
      </c>
      <c r="I5165">
        <v>-2.18</v>
      </c>
      <c r="J5165">
        <v>-1.93</v>
      </c>
      <c r="L5165">
        <v>-0.23</v>
      </c>
      <c r="M5165">
        <v>0</v>
      </c>
      <c r="N5165">
        <v>0</v>
      </c>
      <c r="O5165">
        <v>0</v>
      </c>
    </row>
    <row r="5166" spans="1:15">
      <c r="A5166" t="str">
        <f>"688765"</f>
        <v>688765</v>
      </c>
      <c r="B5166" t="s">
        <v>5211</v>
      </c>
      <c r="C5166">
        <v>3.13</v>
      </c>
      <c r="D5166">
        <v>46.19</v>
      </c>
      <c r="E5166" t="s">
        <v>16</v>
      </c>
      <c r="F5166" t="s">
        <v>16</v>
      </c>
      <c r="H5166">
        <v>0.07</v>
      </c>
      <c r="I5166">
        <v>-3.63</v>
      </c>
      <c r="J5166">
        <v>-1.83</v>
      </c>
      <c r="L5166">
        <v>-1.03</v>
      </c>
      <c r="M5166">
        <v>21.7</v>
      </c>
      <c r="N5166">
        <v>0.01</v>
      </c>
      <c r="O5166">
        <v>3.5</v>
      </c>
    </row>
    <row r="5167" spans="1:15">
      <c r="A5167" t="str">
        <f>"688766"</f>
        <v>688766</v>
      </c>
      <c r="B5167" t="s">
        <v>5212</v>
      </c>
      <c r="C5167">
        <v>1.69</v>
      </c>
      <c r="D5167">
        <v>590</v>
      </c>
      <c r="E5167" t="s">
        <v>16</v>
      </c>
      <c r="F5167" t="s">
        <v>16</v>
      </c>
      <c r="H5167">
        <v>0</v>
      </c>
      <c r="I5167">
        <v>38.06</v>
      </c>
      <c r="J5167">
        <v>-4.17</v>
      </c>
      <c r="K5167" t="s">
        <v>54</v>
      </c>
      <c r="L5167">
        <v>-1.72</v>
      </c>
      <c r="M5167">
        <v>9069.83</v>
      </c>
      <c r="N5167">
        <v>0.17</v>
      </c>
      <c r="O5167">
        <v>1.84</v>
      </c>
    </row>
    <row r="5168" spans="1:15">
      <c r="A5168" t="str">
        <f>"688767"</f>
        <v>688767</v>
      </c>
      <c r="B5168" t="s">
        <v>5213</v>
      </c>
      <c r="C5168">
        <v>1.98</v>
      </c>
      <c r="D5168">
        <v>38.19</v>
      </c>
      <c r="E5168" t="s">
        <v>16</v>
      </c>
      <c r="F5168" t="s">
        <v>16</v>
      </c>
      <c r="H5168">
        <v>-0.04</v>
      </c>
      <c r="I5168">
        <v>1.09</v>
      </c>
      <c r="J5168">
        <v>-0.29</v>
      </c>
      <c r="L5168">
        <v>1.47</v>
      </c>
      <c r="M5168">
        <v>0</v>
      </c>
      <c r="N5168">
        <v>0</v>
      </c>
      <c r="O5168">
        <v>0</v>
      </c>
    </row>
    <row r="5169" spans="1:15">
      <c r="A5169" t="str">
        <f>"688768"</f>
        <v>688768</v>
      </c>
      <c r="B5169" t="s">
        <v>5214</v>
      </c>
      <c r="C5169">
        <v>0.07</v>
      </c>
      <c r="D5169">
        <v>54.84</v>
      </c>
      <c r="E5169" t="s">
        <v>16</v>
      </c>
      <c r="F5169" t="s">
        <v>16</v>
      </c>
      <c r="H5169">
        <v>-0.28</v>
      </c>
      <c r="I5169">
        <v>2.89</v>
      </c>
      <c r="J5169">
        <v>-1.72</v>
      </c>
      <c r="L5169">
        <v>1.82</v>
      </c>
      <c r="M5169">
        <v>1.7</v>
      </c>
      <c r="N5169">
        <v>0</v>
      </c>
      <c r="O5169">
        <v>0.03</v>
      </c>
    </row>
    <row r="5170" spans="1:15">
      <c r="A5170" t="str">
        <f>"688772"</f>
        <v>688772</v>
      </c>
      <c r="B5170" t="s">
        <v>5215</v>
      </c>
      <c r="C5170">
        <v>-2.37</v>
      </c>
      <c r="D5170">
        <v>20.22</v>
      </c>
      <c r="E5170" t="s">
        <v>16</v>
      </c>
      <c r="F5170" t="s">
        <v>16</v>
      </c>
      <c r="H5170">
        <v>0.05</v>
      </c>
      <c r="I5170">
        <v>32.94</v>
      </c>
      <c r="J5170">
        <v>-1.99</v>
      </c>
      <c r="L5170">
        <v>-1.64</v>
      </c>
      <c r="M5170">
        <v>1079.79</v>
      </c>
      <c r="N5170">
        <v>0.08</v>
      </c>
      <c r="O5170">
        <v>0.36</v>
      </c>
    </row>
    <row r="5171" spans="1:15">
      <c r="A5171" t="str">
        <f>"688775"</f>
        <v>688775</v>
      </c>
      <c r="B5171" t="s">
        <v>5216</v>
      </c>
      <c r="C5171">
        <v>1.66</v>
      </c>
      <c r="D5171">
        <v>147.4</v>
      </c>
      <c r="E5171" t="s">
        <v>16</v>
      </c>
      <c r="F5171" t="s">
        <v>16</v>
      </c>
      <c r="H5171">
        <v>0.14</v>
      </c>
      <c r="I5171">
        <v>-12.72</v>
      </c>
      <c r="J5171">
        <v>-3.58</v>
      </c>
      <c r="L5171">
        <v>-0.68</v>
      </c>
      <c r="M5171">
        <v>201.15</v>
      </c>
      <c r="N5171">
        <v>0.01</v>
      </c>
      <c r="O5171">
        <v>1.06</v>
      </c>
    </row>
    <row r="5172" spans="1:15">
      <c r="A5172" t="str">
        <f>"688776"</f>
        <v>688776</v>
      </c>
      <c r="B5172" t="s">
        <v>5217</v>
      </c>
      <c r="C5172">
        <v>1.88</v>
      </c>
      <c r="D5172">
        <v>62.16</v>
      </c>
      <c r="E5172" t="s">
        <v>16</v>
      </c>
      <c r="F5172" t="s">
        <v>16</v>
      </c>
      <c r="H5172">
        <v>0</v>
      </c>
      <c r="I5172">
        <v>-3.7</v>
      </c>
      <c r="J5172">
        <v>-3.45</v>
      </c>
      <c r="L5172">
        <v>-1.16</v>
      </c>
      <c r="M5172">
        <v>33.17</v>
      </c>
      <c r="N5172">
        <v>0.01</v>
      </c>
      <c r="O5172">
        <v>1.04</v>
      </c>
    </row>
    <row r="5173" spans="1:15">
      <c r="A5173" t="str">
        <f>"688777"</f>
        <v>688777</v>
      </c>
      <c r="B5173" t="s">
        <v>5218</v>
      </c>
      <c r="C5173">
        <v>6.23</v>
      </c>
      <c r="D5173">
        <v>124.5</v>
      </c>
      <c r="E5173" t="s">
        <v>16</v>
      </c>
      <c r="F5173" t="s">
        <v>16</v>
      </c>
      <c r="H5173">
        <v>-0.47</v>
      </c>
      <c r="I5173">
        <v>41.25</v>
      </c>
      <c r="J5173">
        <v>-4.22</v>
      </c>
      <c r="L5173">
        <v>-0.34</v>
      </c>
      <c r="M5173">
        <v>1128.87</v>
      </c>
      <c r="N5173">
        <v>0.02</v>
      </c>
      <c r="O5173">
        <v>2.37</v>
      </c>
    </row>
    <row r="5174" spans="1:15">
      <c r="A5174" t="str">
        <f>"688778"</f>
        <v>688778</v>
      </c>
      <c r="B5174" t="s">
        <v>5219</v>
      </c>
      <c r="C5174">
        <v>-0.64</v>
      </c>
      <c r="D5174">
        <v>60.97</v>
      </c>
      <c r="E5174" t="s">
        <v>16</v>
      </c>
      <c r="F5174" t="s">
        <v>16</v>
      </c>
      <c r="H5174">
        <v>0</v>
      </c>
      <c r="I5174">
        <v>2.8</v>
      </c>
      <c r="J5174">
        <v>-1.37</v>
      </c>
      <c r="L5174">
        <v>-0.51</v>
      </c>
      <c r="M5174">
        <v>317.99</v>
      </c>
      <c r="N5174">
        <v>0.03</v>
      </c>
      <c r="O5174">
        <v>1.57</v>
      </c>
    </row>
    <row r="5175" spans="1:15">
      <c r="A5175" t="str">
        <f>"688779"</f>
        <v>688779</v>
      </c>
      <c r="B5175" t="s">
        <v>5220</v>
      </c>
      <c r="C5175">
        <v>-1.23</v>
      </c>
      <c r="D5175">
        <v>8.81</v>
      </c>
      <c r="E5175" t="s">
        <v>16</v>
      </c>
      <c r="F5175" t="s">
        <v>16</v>
      </c>
      <c r="H5175">
        <v>-0.22</v>
      </c>
      <c r="I5175">
        <v>5.26</v>
      </c>
      <c r="J5175">
        <v>-2.65</v>
      </c>
      <c r="L5175">
        <v>-0.22</v>
      </c>
      <c r="M5175">
        <v>34.15</v>
      </c>
      <c r="N5175">
        <v>0</v>
      </c>
      <c r="O5175">
        <v>0.3</v>
      </c>
    </row>
    <row r="5176" spans="1:15">
      <c r="A5176" t="str">
        <f>"688781"</f>
        <v>688781</v>
      </c>
      <c r="B5176" t="s">
        <v>5221</v>
      </c>
      <c r="C5176">
        <v>-0.67</v>
      </c>
      <c r="D5176">
        <v>50.78</v>
      </c>
      <c r="E5176" t="s">
        <v>16</v>
      </c>
      <c r="F5176" t="s">
        <v>16</v>
      </c>
      <c r="H5176">
        <v>0.06</v>
      </c>
      <c r="I5176">
        <v>3.89</v>
      </c>
      <c r="J5176">
        <v>-2.66</v>
      </c>
      <c r="L5176">
        <v>0</v>
      </c>
      <c r="M5176">
        <v>84.17</v>
      </c>
      <c r="N5176">
        <v>0.04</v>
      </c>
      <c r="O5176">
        <v>2.66</v>
      </c>
    </row>
    <row r="5177" spans="1:15">
      <c r="A5177" t="str">
        <f>"688783"</f>
        <v>688783</v>
      </c>
      <c r="B5177" t="s">
        <v>5222</v>
      </c>
      <c r="C5177">
        <v>-7.54</v>
      </c>
      <c r="D5177">
        <v>50.39</v>
      </c>
      <c r="E5177" t="s">
        <v>16</v>
      </c>
      <c r="F5177" t="s">
        <v>16</v>
      </c>
      <c r="H5177">
        <v>-0.11</v>
      </c>
      <c r="I5177">
        <v>30.71</v>
      </c>
      <c r="J5177">
        <v>-5.9</v>
      </c>
      <c r="L5177">
        <v>-2.75</v>
      </c>
      <c r="M5177">
        <v>3012.86</v>
      </c>
      <c r="N5177">
        <v>0.31</v>
      </c>
      <c r="O5177">
        <v>2.25</v>
      </c>
    </row>
    <row r="5178" spans="1:15">
      <c r="A5178" t="str">
        <f>"688785"</f>
        <v>688785</v>
      </c>
      <c r="B5178" t="s">
        <v>5223</v>
      </c>
      <c r="C5178">
        <v>5.97</v>
      </c>
      <c r="D5178">
        <v>405</v>
      </c>
      <c r="E5178" t="s">
        <v>16</v>
      </c>
      <c r="F5178" t="s">
        <v>16</v>
      </c>
      <c r="H5178">
        <v>-0.02</v>
      </c>
      <c r="I5178">
        <v>20.42</v>
      </c>
      <c r="J5178">
        <v>-2.85</v>
      </c>
      <c r="L5178">
        <v>-0.58</v>
      </c>
      <c r="M5178">
        <v>83.6</v>
      </c>
      <c r="N5178">
        <v>0.02</v>
      </c>
      <c r="O5178">
        <v>1.47</v>
      </c>
    </row>
    <row r="5179" spans="1:15">
      <c r="A5179" t="str">
        <f>"688786"</f>
        <v>688786</v>
      </c>
      <c r="B5179" t="s">
        <v>5224</v>
      </c>
      <c r="C5179">
        <v>4.8</v>
      </c>
      <c r="D5179">
        <v>49.35</v>
      </c>
      <c r="E5179" t="s">
        <v>16</v>
      </c>
      <c r="F5179" t="s">
        <v>16</v>
      </c>
      <c r="H5179">
        <v>-0.57</v>
      </c>
      <c r="I5179">
        <v>45.19</v>
      </c>
      <c r="J5179">
        <v>-3.41</v>
      </c>
      <c r="L5179">
        <v>-2.34</v>
      </c>
      <c r="M5179">
        <v>552.3</v>
      </c>
      <c r="N5179">
        <v>0.11</v>
      </c>
      <c r="O5179">
        <v>0.93</v>
      </c>
    </row>
    <row r="5180" spans="1:15">
      <c r="A5180" t="str">
        <f>"688787"</f>
        <v>688787</v>
      </c>
      <c r="B5180" t="s">
        <v>5225</v>
      </c>
      <c r="C5180">
        <v>1.28</v>
      </c>
      <c r="D5180">
        <v>159.39</v>
      </c>
      <c r="E5180" t="s">
        <v>16</v>
      </c>
      <c r="F5180" t="s">
        <v>16</v>
      </c>
      <c r="H5180">
        <v>0.12</v>
      </c>
      <c r="I5180">
        <v>22.51</v>
      </c>
      <c r="J5180">
        <v>-1.49</v>
      </c>
      <c r="L5180">
        <v>-0.11</v>
      </c>
      <c r="M5180">
        <v>290.21</v>
      </c>
      <c r="N5180">
        <v>0.05</v>
      </c>
      <c r="O5180">
        <v>0.72</v>
      </c>
    </row>
    <row r="5181" spans="1:15">
      <c r="A5181" t="str">
        <f>"688788"</f>
        <v>688788</v>
      </c>
      <c r="B5181" t="s">
        <v>5226</v>
      </c>
      <c r="C5181">
        <v>-4.86</v>
      </c>
      <c r="D5181">
        <v>42.91</v>
      </c>
      <c r="E5181" t="s">
        <v>16</v>
      </c>
      <c r="F5181" t="s">
        <v>16</v>
      </c>
      <c r="H5181">
        <v>-0.08</v>
      </c>
      <c r="I5181">
        <v>35.62</v>
      </c>
      <c r="J5181">
        <v>-8.43</v>
      </c>
      <c r="L5181">
        <v>-0.93</v>
      </c>
      <c r="M5181">
        <v>463.88</v>
      </c>
      <c r="N5181">
        <v>0.11</v>
      </c>
      <c r="O5181">
        <v>1.35</v>
      </c>
    </row>
    <row r="5182" spans="1:15">
      <c r="A5182" t="str">
        <f>"688789"</f>
        <v>688789</v>
      </c>
      <c r="B5182" t="s">
        <v>5227</v>
      </c>
      <c r="C5182">
        <v>3.73</v>
      </c>
      <c r="D5182">
        <v>53.34</v>
      </c>
      <c r="E5182" t="s">
        <v>16</v>
      </c>
      <c r="F5182" t="s">
        <v>16</v>
      </c>
      <c r="H5182">
        <v>-0.08</v>
      </c>
      <c r="I5182">
        <v>5.52</v>
      </c>
      <c r="J5182">
        <v>-0.69</v>
      </c>
      <c r="L5182">
        <v>1.13</v>
      </c>
      <c r="M5182">
        <v>67.16</v>
      </c>
      <c r="N5182">
        <v>0.01</v>
      </c>
      <c r="O5182">
        <v>2.75</v>
      </c>
    </row>
    <row r="5183" spans="1:15">
      <c r="A5183" t="str">
        <f>"688790"</f>
        <v>688790</v>
      </c>
      <c r="B5183" t="s">
        <v>5228</v>
      </c>
      <c r="C5183">
        <v>3.46</v>
      </c>
      <c r="D5183">
        <v>133.51</v>
      </c>
      <c r="E5183" t="s">
        <v>16</v>
      </c>
      <c r="F5183" t="s">
        <v>16</v>
      </c>
      <c r="H5183">
        <v>0.23</v>
      </c>
      <c r="I5183">
        <v>7.18</v>
      </c>
      <c r="J5183">
        <v>-1.54</v>
      </c>
      <c r="L5183">
        <v>-0.05</v>
      </c>
      <c r="M5183">
        <v>35.59</v>
      </c>
      <c r="N5183">
        <v>0.02</v>
      </c>
      <c r="O5183">
        <v>0.41</v>
      </c>
    </row>
    <row r="5184" spans="1:15">
      <c r="A5184" t="str">
        <f>"688793"</f>
        <v>688793</v>
      </c>
      <c r="B5184" t="s">
        <v>5229</v>
      </c>
      <c r="C5184">
        <v>-0.3</v>
      </c>
      <c r="D5184">
        <v>16.86</v>
      </c>
      <c r="E5184" t="s">
        <v>16</v>
      </c>
      <c r="F5184" t="s">
        <v>16</v>
      </c>
      <c r="H5184">
        <v>0.06</v>
      </c>
      <c r="I5184">
        <v>-5.28</v>
      </c>
      <c r="J5184">
        <v>-0.94</v>
      </c>
      <c r="L5184">
        <v>-1.24</v>
      </c>
      <c r="M5184">
        <v>24.04</v>
      </c>
      <c r="N5184">
        <v>0.04</v>
      </c>
      <c r="O5184">
        <v>1.11</v>
      </c>
    </row>
    <row r="5185" spans="1:15">
      <c r="A5185" t="str">
        <f>"688795"</f>
        <v>688795</v>
      </c>
      <c r="B5185" t="s">
        <v>5230</v>
      </c>
      <c r="C5185">
        <v>4.69</v>
      </c>
      <c r="D5185">
        <v>669</v>
      </c>
      <c r="E5185" t="s">
        <v>16</v>
      </c>
      <c r="F5185" t="s">
        <v>16</v>
      </c>
      <c r="H5185">
        <v>0.26</v>
      </c>
      <c r="I5185">
        <v>1.98</v>
      </c>
      <c r="J5185">
        <v>-0.97</v>
      </c>
      <c r="L5185">
        <v>-0.63</v>
      </c>
      <c r="M5185">
        <v>630.36</v>
      </c>
      <c r="N5185">
        <v>0.03</v>
      </c>
      <c r="O5185">
        <v>1</v>
      </c>
    </row>
    <row r="5186" spans="1:15">
      <c r="A5186" t="str">
        <f>"688796"</f>
        <v>688796</v>
      </c>
      <c r="B5186" t="s">
        <v>5231</v>
      </c>
      <c r="C5186">
        <v>6.66</v>
      </c>
      <c r="D5186">
        <v>94.15</v>
      </c>
      <c r="E5186" t="s">
        <v>16</v>
      </c>
      <c r="F5186" t="s">
        <v>16</v>
      </c>
      <c r="H5186">
        <v>0.16</v>
      </c>
      <c r="I5186">
        <v>-1.77</v>
      </c>
      <c r="J5186">
        <v>-3.44</v>
      </c>
      <c r="L5186">
        <v>1.63</v>
      </c>
      <c r="M5186">
        <v>41.93</v>
      </c>
      <c r="N5186">
        <v>0.01</v>
      </c>
      <c r="O5186">
        <v>2.34</v>
      </c>
    </row>
    <row r="5187" spans="1:15">
      <c r="A5187" t="str">
        <f>"688798"</f>
        <v>688798</v>
      </c>
      <c r="B5187" t="s">
        <v>5232</v>
      </c>
      <c r="C5187">
        <v>-0.6</v>
      </c>
      <c r="D5187">
        <v>71.03</v>
      </c>
      <c r="E5187" t="s">
        <v>16</v>
      </c>
      <c r="F5187" t="s">
        <v>16</v>
      </c>
      <c r="H5187">
        <v>-0.56</v>
      </c>
      <c r="I5187">
        <v>0.06</v>
      </c>
      <c r="J5187">
        <v>-1.47</v>
      </c>
      <c r="L5187">
        <v>-0.52</v>
      </c>
      <c r="M5187">
        <v>57.36</v>
      </c>
      <c r="N5187">
        <v>0.01</v>
      </c>
      <c r="O5187">
        <v>0.6</v>
      </c>
    </row>
    <row r="5188" spans="1:15">
      <c r="A5188" t="str">
        <f>"688799"</f>
        <v>688799</v>
      </c>
      <c r="B5188" t="s">
        <v>5233</v>
      </c>
      <c r="C5188">
        <v>1.72</v>
      </c>
      <c r="D5188">
        <v>47.92</v>
      </c>
      <c r="E5188" t="s">
        <v>16</v>
      </c>
      <c r="F5188" t="s">
        <v>16</v>
      </c>
      <c r="H5188">
        <v>0.06</v>
      </c>
      <c r="I5188">
        <v>-3.6</v>
      </c>
      <c r="J5188">
        <v>-3.97</v>
      </c>
      <c r="L5188">
        <v>-0.23</v>
      </c>
      <c r="M5188">
        <v>54.76</v>
      </c>
      <c r="N5188">
        <v>0.02</v>
      </c>
      <c r="O5188">
        <v>0.91</v>
      </c>
    </row>
    <row r="5189" spans="1:15">
      <c r="A5189" t="str">
        <f>"688800"</f>
        <v>688800</v>
      </c>
      <c r="B5189" t="s">
        <v>5234</v>
      </c>
      <c r="C5189">
        <v>4.09</v>
      </c>
      <c r="D5189">
        <v>97.22</v>
      </c>
      <c r="E5189" t="s">
        <v>16</v>
      </c>
      <c r="F5189" t="s">
        <v>16</v>
      </c>
      <c r="H5189">
        <v>0.2</v>
      </c>
      <c r="I5189">
        <v>1.05</v>
      </c>
      <c r="J5189">
        <v>-1</v>
      </c>
      <c r="L5189">
        <v>-0.13</v>
      </c>
      <c r="M5189">
        <v>839.12</v>
      </c>
      <c r="N5189">
        <v>0.05</v>
      </c>
      <c r="O5189">
        <v>2.48</v>
      </c>
    </row>
    <row r="5190" spans="1:15">
      <c r="A5190" t="str">
        <f>"688802"</f>
        <v>688802</v>
      </c>
      <c r="B5190" t="s">
        <v>5235</v>
      </c>
      <c r="C5190">
        <v>5.1</v>
      </c>
      <c r="D5190">
        <v>769.89</v>
      </c>
      <c r="E5190" t="s">
        <v>16</v>
      </c>
      <c r="F5190" t="s">
        <v>16</v>
      </c>
      <c r="H5190">
        <v>0</v>
      </c>
      <c r="I5190">
        <v>6.29</v>
      </c>
      <c r="J5190">
        <v>-2.44</v>
      </c>
      <c r="L5190">
        <v>0</v>
      </c>
      <c r="M5190">
        <v>1843.7</v>
      </c>
      <c r="N5190">
        <v>0.14</v>
      </c>
      <c r="O5190">
        <v>1.82</v>
      </c>
    </row>
    <row r="5191" spans="1:15">
      <c r="A5191" t="str">
        <f>"688805"</f>
        <v>688805</v>
      </c>
      <c r="B5191" t="s">
        <v>5236</v>
      </c>
      <c r="C5191">
        <v>1.66</v>
      </c>
      <c r="D5191">
        <v>48.48</v>
      </c>
      <c r="E5191" t="s">
        <v>16</v>
      </c>
      <c r="F5191" t="s">
        <v>16</v>
      </c>
      <c r="H5191">
        <v>0.29</v>
      </c>
      <c r="I5191">
        <v>-10.65</v>
      </c>
      <c r="J5191">
        <v>-1.62</v>
      </c>
      <c r="L5191">
        <v>-0.61</v>
      </c>
      <c r="M5191">
        <v>7.11</v>
      </c>
      <c r="N5191">
        <v>0</v>
      </c>
      <c r="O5191">
        <v>1.07</v>
      </c>
    </row>
    <row r="5192" spans="1:15">
      <c r="A5192" t="str">
        <f>"688807"</f>
        <v>688807</v>
      </c>
      <c r="B5192" t="s">
        <v>5237</v>
      </c>
      <c r="C5192">
        <v>6.54</v>
      </c>
      <c r="D5192">
        <v>449.8</v>
      </c>
      <c r="E5192" t="s">
        <v>16</v>
      </c>
      <c r="F5192" t="s">
        <v>16</v>
      </c>
      <c r="H5192">
        <v>0.17</v>
      </c>
      <c r="I5192">
        <v>3.81</v>
      </c>
      <c r="J5192">
        <v>-3.89</v>
      </c>
      <c r="L5192">
        <v>-1.8</v>
      </c>
      <c r="M5192">
        <v>482.39</v>
      </c>
      <c r="N5192">
        <v>0.07</v>
      </c>
      <c r="O5192">
        <v>1.64</v>
      </c>
    </row>
    <row r="5193" spans="1:15">
      <c r="A5193" t="str">
        <f>"688808"</f>
        <v>688808</v>
      </c>
      <c r="B5193" t="s">
        <v>5238</v>
      </c>
      <c r="C5193">
        <v>2.46</v>
      </c>
      <c r="D5193">
        <v>2373</v>
      </c>
      <c r="E5193" t="s">
        <v>16</v>
      </c>
      <c r="F5193" t="s">
        <v>16</v>
      </c>
      <c r="H5193">
        <v>-0.45</v>
      </c>
      <c r="I5193">
        <v>11.93</v>
      </c>
      <c r="J5193">
        <v>-4.24</v>
      </c>
      <c r="L5193">
        <v>2.16</v>
      </c>
      <c r="M5193">
        <v>2609.22</v>
      </c>
      <c r="N5193">
        <v>0.06</v>
      </c>
      <c r="O5193">
        <v>0.53</v>
      </c>
    </row>
    <row r="5194" spans="1:15">
      <c r="A5194" t="str">
        <f>"688809"</f>
        <v>688809</v>
      </c>
      <c r="B5194" t="s">
        <v>5239</v>
      </c>
      <c r="C5194">
        <v>5.75</v>
      </c>
      <c r="D5194">
        <v>626</v>
      </c>
      <c r="E5194" t="s">
        <v>16</v>
      </c>
      <c r="F5194" t="s">
        <v>16</v>
      </c>
      <c r="H5194">
        <v>0.19</v>
      </c>
      <c r="I5194">
        <v>22.27</v>
      </c>
      <c r="J5194">
        <v>-0.32</v>
      </c>
      <c r="L5194">
        <v>-0.49</v>
      </c>
      <c r="M5194">
        <v>711.07</v>
      </c>
      <c r="N5194">
        <v>0.05</v>
      </c>
      <c r="O5194">
        <v>1.33</v>
      </c>
    </row>
    <row r="5195" spans="1:15">
      <c r="A5195" t="str">
        <f>"688811"</f>
        <v>688811</v>
      </c>
      <c r="B5195" t="s">
        <v>5240</v>
      </c>
      <c r="C5195">
        <v>-3.48</v>
      </c>
      <c r="D5195">
        <v>29.42</v>
      </c>
      <c r="E5195" t="s">
        <v>16</v>
      </c>
      <c r="F5195" t="s">
        <v>16</v>
      </c>
      <c r="H5195">
        <v>-0.19</v>
      </c>
      <c r="I5195">
        <v>6.59</v>
      </c>
      <c r="J5195">
        <v>-2.55</v>
      </c>
      <c r="L5195">
        <v>-2.89</v>
      </c>
      <c r="M5195">
        <v>408.84</v>
      </c>
      <c r="N5195">
        <v>0.15</v>
      </c>
      <c r="O5195">
        <v>1.13</v>
      </c>
    </row>
    <row r="5196" spans="1:15">
      <c r="A5196" t="str">
        <f>"688813"</f>
        <v>688813</v>
      </c>
      <c r="B5196" t="s">
        <v>5241</v>
      </c>
      <c r="C5196">
        <v>0.8</v>
      </c>
      <c r="D5196">
        <v>190.46</v>
      </c>
      <c r="E5196" t="s">
        <v>16</v>
      </c>
      <c r="F5196" t="s">
        <v>16</v>
      </c>
      <c r="H5196">
        <v>-0.74</v>
      </c>
      <c r="I5196">
        <v>6.28</v>
      </c>
      <c r="J5196">
        <v>-2.08</v>
      </c>
      <c r="K5196" t="s">
        <v>57</v>
      </c>
      <c r="L5196">
        <v>-2.62</v>
      </c>
      <c r="M5196">
        <v>909.95</v>
      </c>
      <c r="N5196">
        <v>0.16</v>
      </c>
      <c r="O5196">
        <v>0.55</v>
      </c>
    </row>
    <row r="5197" spans="1:15">
      <c r="A5197" t="str">
        <f>"688816"</f>
        <v>688816</v>
      </c>
      <c r="B5197" t="s">
        <v>5242</v>
      </c>
      <c r="C5197">
        <v>1.38</v>
      </c>
      <c r="D5197">
        <v>63.27</v>
      </c>
      <c r="E5197" t="s">
        <v>16</v>
      </c>
      <c r="F5197" t="s">
        <v>16</v>
      </c>
      <c r="H5197">
        <v>0</v>
      </c>
      <c r="I5197">
        <v>3.18</v>
      </c>
      <c r="J5197">
        <v>-0.35</v>
      </c>
      <c r="L5197">
        <v>-0.02</v>
      </c>
      <c r="M5197">
        <v>12</v>
      </c>
      <c r="N5197">
        <v>0.01</v>
      </c>
      <c r="O5197">
        <v>1.92</v>
      </c>
    </row>
    <row r="5198" spans="1:15">
      <c r="A5198" t="str">
        <f>"688818"</f>
        <v>688818</v>
      </c>
      <c r="B5198" t="s">
        <v>5243</v>
      </c>
      <c r="C5198">
        <v>4.18</v>
      </c>
      <c r="D5198">
        <v>69.8</v>
      </c>
      <c r="E5198" t="s">
        <v>16</v>
      </c>
      <c r="F5198" t="s">
        <v>16</v>
      </c>
      <c r="H5198">
        <v>0.06</v>
      </c>
      <c r="I5198">
        <v>1.65</v>
      </c>
      <c r="J5198">
        <v>-0.81</v>
      </c>
      <c r="L5198">
        <v>-2.39</v>
      </c>
      <c r="M5198">
        <v>1029.48</v>
      </c>
      <c r="N5198">
        <v>0.12</v>
      </c>
      <c r="O5198">
        <v>1.52</v>
      </c>
    </row>
    <row r="5199" spans="1:15">
      <c r="A5199" t="str">
        <f>"688819"</f>
        <v>688819</v>
      </c>
      <c r="B5199" t="s">
        <v>5244</v>
      </c>
      <c r="C5199">
        <v>0</v>
      </c>
      <c r="D5199">
        <v>24.57</v>
      </c>
      <c r="E5199" t="s">
        <v>16</v>
      </c>
      <c r="F5199" t="s">
        <v>16</v>
      </c>
      <c r="H5199">
        <v>-0.35</v>
      </c>
      <c r="I5199">
        <v>4.2</v>
      </c>
      <c r="J5199">
        <v>-0.89</v>
      </c>
      <c r="L5199">
        <v>-0.24</v>
      </c>
      <c r="M5199">
        <v>21.94</v>
      </c>
      <c r="N5199">
        <v>0.01</v>
      </c>
      <c r="O5199">
        <v>0.9</v>
      </c>
    </row>
    <row r="5200" spans="1:15">
      <c r="A5200" t="str">
        <f>"688820"</f>
        <v>688820</v>
      </c>
      <c r="B5200" t="s">
        <v>5245</v>
      </c>
      <c r="C5200">
        <v>2.05</v>
      </c>
      <c r="D5200">
        <v>185.6</v>
      </c>
      <c r="E5200" t="s">
        <v>16</v>
      </c>
      <c r="F5200" t="s">
        <v>16</v>
      </c>
      <c r="H5200">
        <v>-0.14</v>
      </c>
      <c r="I5200">
        <v>-3.05</v>
      </c>
      <c r="J5200">
        <v>-2.3</v>
      </c>
      <c r="L5200">
        <v>-1.03</v>
      </c>
      <c r="M5200">
        <v>2338.99</v>
      </c>
      <c r="N5200">
        <v>0.08</v>
      </c>
      <c r="O5200">
        <v>0.58</v>
      </c>
    </row>
    <row r="5201" spans="1:15">
      <c r="A5201" t="str">
        <f>"688981"</f>
        <v>688981</v>
      </c>
      <c r="B5201" t="s">
        <v>5246</v>
      </c>
      <c r="C5201">
        <v>4.45</v>
      </c>
      <c r="D5201">
        <v>140.7</v>
      </c>
      <c r="E5201" t="s">
        <v>16</v>
      </c>
      <c r="F5201" t="s">
        <v>16</v>
      </c>
      <c r="H5201">
        <v>-0.12</v>
      </c>
      <c r="I5201">
        <v>4.31</v>
      </c>
      <c r="J5201">
        <v>-2.72</v>
      </c>
      <c r="L5201">
        <v>1.05</v>
      </c>
      <c r="M5201">
        <v>14429.28</v>
      </c>
      <c r="N5201">
        <v>0.06</v>
      </c>
      <c r="O5201">
        <v>2.22</v>
      </c>
    </row>
    <row r="5202" spans="1:15">
      <c r="A5202" t="str">
        <f>"689009"</f>
        <v>689009</v>
      </c>
      <c r="B5202" t="s">
        <v>5247</v>
      </c>
      <c r="C5202">
        <v>-3.25</v>
      </c>
      <c r="D5202">
        <v>33.94</v>
      </c>
      <c r="E5202" t="s">
        <v>16</v>
      </c>
      <c r="F5202" t="s">
        <v>16</v>
      </c>
      <c r="H5202">
        <v>-0.14</v>
      </c>
      <c r="I5202">
        <v>-6.32</v>
      </c>
      <c r="J5202">
        <v>-3.8</v>
      </c>
      <c r="L5202">
        <v>0.03</v>
      </c>
      <c r="M5202">
        <v>35.81</v>
      </c>
      <c r="N5202">
        <v>0</v>
      </c>
      <c r="O5202">
        <v>0.51</v>
      </c>
    </row>
    <row r="5203" spans="1:15">
      <c r="A5203" t="str">
        <f>"688797"</f>
        <v>688797</v>
      </c>
      <c r="B5203" t="s">
        <v>5248</v>
      </c>
      <c r="C5203" t="s">
        <v>16</v>
      </c>
      <c r="D5203">
        <v>0</v>
      </c>
      <c r="E5203" t="s">
        <v>16</v>
      </c>
      <c r="F5203" t="s">
        <v>16</v>
      </c>
      <c r="H5203" t="s">
        <v>16</v>
      </c>
      <c r="I5203" t="s">
        <v>16</v>
      </c>
      <c r="J5203" t="s">
        <v>16</v>
      </c>
      <c r="L5203" t="s">
        <v>16</v>
      </c>
      <c r="M5203">
        <v>0</v>
      </c>
      <c r="N5203" t="s">
        <v>16</v>
      </c>
      <c r="O5203" t="s">
        <v>16</v>
      </c>
    </row>
    <row r="5204" spans="1:15">
      <c r="A5204" t="str">
        <f>"920000"</f>
        <v>920000</v>
      </c>
      <c r="B5204" t="s">
        <v>5249</v>
      </c>
      <c r="C5204">
        <v>-4.03</v>
      </c>
      <c r="D5204">
        <v>12.37</v>
      </c>
      <c r="E5204" t="s">
        <v>16</v>
      </c>
      <c r="F5204" t="s">
        <v>16</v>
      </c>
      <c r="H5204">
        <v>0</v>
      </c>
      <c r="I5204">
        <v>-7.76</v>
      </c>
      <c r="J5204">
        <v>-4.7</v>
      </c>
      <c r="L5204">
        <v>0.7</v>
      </c>
      <c r="M5204">
        <v>0.65</v>
      </c>
      <c r="N5204">
        <v>0</v>
      </c>
      <c r="O5204" t="s">
        <v>16</v>
      </c>
    </row>
    <row r="5205" spans="1:15">
      <c r="A5205" t="str">
        <f>"920001"</f>
        <v>920001</v>
      </c>
      <c r="B5205" t="s">
        <v>5250</v>
      </c>
      <c r="C5205">
        <v>-5.95</v>
      </c>
      <c r="D5205">
        <v>15.5</v>
      </c>
      <c r="E5205" t="s">
        <v>16</v>
      </c>
      <c r="F5205" t="s">
        <v>16</v>
      </c>
      <c r="H5205">
        <v>0</v>
      </c>
      <c r="I5205">
        <v>-10.71</v>
      </c>
      <c r="J5205">
        <v>-6.96</v>
      </c>
      <c r="L5205">
        <v>-1.27</v>
      </c>
      <c r="M5205">
        <v>37.69</v>
      </c>
      <c r="N5205">
        <v>0.05</v>
      </c>
      <c r="O5205">
        <v>1.44</v>
      </c>
    </row>
    <row r="5206" spans="1:15">
      <c r="A5206" t="str">
        <f>"920002"</f>
        <v>920002</v>
      </c>
      <c r="B5206" t="s">
        <v>5251</v>
      </c>
      <c r="C5206">
        <v>2.63</v>
      </c>
      <c r="D5206">
        <v>61.74</v>
      </c>
      <c r="E5206" t="s">
        <v>16</v>
      </c>
      <c r="F5206" t="s">
        <v>16</v>
      </c>
      <c r="H5206">
        <v>0.26</v>
      </c>
      <c r="I5206">
        <v>6.05</v>
      </c>
      <c r="J5206">
        <v>-0.39</v>
      </c>
      <c r="L5206">
        <v>0.73</v>
      </c>
      <c r="M5206">
        <v>41.75</v>
      </c>
      <c r="N5206">
        <v>0.02</v>
      </c>
      <c r="O5206">
        <v>3.44</v>
      </c>
    </row>
    <row r="5207" spans="1:15">
      <c r="A5207" t="str">
        <f>"920003"</f>
        <v>920003</v>
      </c>
      <c r="B5207" t="s">
        <v>5252</v>
      </c>
      <c r="C5207">
        <v>-1.83</v>
      </c>
      <c r="D5207">
        <v>27.88</v>
      </c>
      <c r="E5207" t="s">
        <v>16</v>
      </c>
      <c r="F5207" t="s">
        <v>16</v>
      </c>
      <c r="H5207">
        <v>0.25</v>
      </c>
      <c r="I5207">
        <v>-0.46</v>
      </c>
      <c r="J5207">
        <v>-1.06</v>
      </c>
      <c r="L5207">
        <v>-1.48</v>
      </c>
      <c r="M5207">
        <v>13.86</v>
      </c>
      <c r="N5207">
        <v>0.04</v>
      </c>
      <c r="O5207" t="s">
        <v>16</v>
      </c>
    </row>
    <row r="5208" spans="1:15">
      <c r="A5208" t="str">
        <f>"920005"</f>
        <v>920005</v>
      </c>
      <c r="B5208" t="s">
        <v>5253</v>
      </c>
      <c r="C5208">
        <v>-3.09</v>
      </c>
      <c r="D5208">
        <v>28.84</v>
      </c>
      <c r="E5208" t="s">
        <v>16</v>
      </c>
      <c r="F5208" t="s">
        <v>16</v>
      </c>
      <c r="H5208">
        <v>-0.02</v>
      </c>
      <c r="I5208">
        <v>-9.65</v>
      </c>
      <c r="J5208">
        <v>-2.5</v>
      </c>
      <c r="L5208">
        <v>-0.6</v>
      </c>
      <c r="M5208">
        <v>0.59</v>
      </c>
      <c r="N5208">
        <v>0</v>
      </c>
      <c r="O5208">
        <v>0.2</v>
      </c>
    </row>
    <row r="5209" spans="1:15">
      <c r="A5209" t="str">
        <f>"920006"</f>
        <v>920006</v>
      </c>
      <c r="B5209" t="s">
        <v>5254</v>
      </c>
      <c r="C5209">
        <v>-1.9</v>
      </c>
      <c r="D5209">
        <v>17.02</v>
      </c>
      <c r="E5209" t="s">
        <v>16</v>
      </c>
      <c r="F5209" t="s">
        <v>16</v>
      </c>
      <c r="H5209">
        <v>-0.28</v>
      </c>
      <c r="I5209">
        <v>5.98</v>
      </c>
      <c r="J5209">
        <v>-2.41</v>
      </c>
      <c r="L5209">
        <v>-0.81</v>
      </c>
      <c r="M5209">
        <v>8.44</v>
      </c>
      <c r="N5209">
        <v>0.01</v>
      </c>
      <c r="O5209">
        <v>12.26</v>
      </c>
    </row>
    <row r="5210" spans="1:15">
      <c r="A5210" t="str">
        <f>"920007"</f>
        <v>920007</v>
      </c>
      <c r="B5210" t="s">
        <v>5255</v>
      </c>
      <c r="C5210">
        <v>-2.57</v>
      </c>
      <c r="D5210">
        <v>39.44</v>
      </c>
      <c r="E5210" t="s">
        <v>16</v>
      </c>
      <c r="F5210" t="s">
        <v>16</v>
      </c>
      <c r="H5210">
        <v>0.1</v>
      </c>
      <c r="I5210">
        <v>-4.76</v>
      </c>
      <c r="J5210">
        <v>-3.19</v>
      </c>
      <c r="L5210">
        <v>0.05</v>
      </c>
      <c r="M5210">
        <v>1.23</v>
      </c>
      <c r="N5210">
        <v>0</v>
      </c>
      <c r="O5210">
        <v>3.04</v>
      </c>
    </row>
    <row r="5211" spans="1:15">
      <c r="A5211" t="str">
        <f>"920008"</f>
        <v>920008</v>
      </c>
      <c r="B5211" t="s">
        <v>5256</v>
      </c>
      <c r="C5211">
        <v>-2.51</v>
      </c>
      <c r="D5211">
        <v>22.88</v>
      </c>
      <c r="E5211" t="s">
        <v>16</v>
      </c>
      <c r="F5211" t="s">
        <v>16</v>
      </c>
      <c r="H5211">
        <v>0.04</v>
      </c>
      <c r="I5211">
        <v>2.51</v>
      </c>
      <c r="J5211">
        <v>-1.8</v>
      </c>
      <c r="L5211">
        <v>-1.02</v>
      </c>
      <c r="M5211">
        <v>17.7</v>
      </c>
      <c r="N5211">
        <v>0.02</v>
      </c>
      <c r="O5211">
        <v>2.82</v>
      </c>
    </row>
    <row r="5212" spans="1:15">
      <c r="A5212" t="str">
        <f>"920009"</f>
        <v>920009</v>
      </c>
      <c r="B5212" t="s">
        <v>5257</v>
      </c>
      <c r="C5212">
        <v>20.95</v>
      </c>
      <c r="D5212">
        <v>41.97</v>
      </c>
      <c r="E5212" t="s">
        <v>16</v>
      </c>
      <c r="F5212" t="s">
        <v>16</v>
      </c>
      <c r="H5212">
        <v>0.17</v>
      </c>
      <c r="I5212">
        <v>18.03</v>
      </c>
      <c r="J5212">
        <v>-6.96</v>
      </c>
      <c r="L5212">
        <v>4.87</v>
      </c>
      <c r="M5212">
        <v>4.29</v>
      </c>
      <c r="N5212">
        <v>0.01</v>
      </c>
      <c r="O5212" t="s">
        <v>16</v>
      </c>
    </row>
    <row r="5213" spans="1:15">
      <c r="A5213" t="str">
        <f>"920010"</f>
        <v>920010</v>
      </c>
      <c r="B5213" t="s">
        <v>5258</v>
      </c>
      <c r="C5213">
        <v>-1.41</v>
      </c>
      <c r="D5213">
        <v>9.07</v>
      </c>
      <c r="E5213" t="s">
        <v>16</v>
      </c>
      <c r="F5213" t="s">
        <v>16</v>
      </c>
      <c r="H5213">
        <v>-0.43</v>
      </c>
      <c r="I5213">
        <v>-14.27</v>
      </c>
      <c r="J5213">
        <v>-2.26</v>
      </c>
      <c r="L5213">
        <v>0.87</v>
      </c>
      <c r="M5213">
        <v>26.99</v>
      </c>
      <c r="N5213">
        <v>0.03</v>
      </c>
      <c r="O5213">
        <v>0.71</v>
      </c>
    </row>
    <row r="5214" spans="1:15">
      <c r="A5214" t="str">
        <f>"920011"</f>
        <v>920011</v>
      </c>
      <c r="B5214" t="s">
        <v>5259</v>
      </c>
      <c r="C5214">
        <v>-0.34</v>
      </c>
      <c r="D5214">
        <v>23.78</v>
      </c>
      <c r="E5214" t="s">
        <v>16</v>
      </c>
      <c r="F5214" t="s">
        <v>16</v>
      </c>
      <c r="H5214">
        <v>0.25</v>
      </c>
      <c r="I5214">
        <v>-8.4</v>
      </c>
      <c r="J5214">
        <v>-1.37</v>
      </c>
      <c r="L5214">
        <v>-0.96</v>
      </c>
      <c r="M5214">
        <v>3.41</v>
      </c>
      <c r="N5214">
        <v>0.01</v>
      </c>
      <c r="O5214">
        <v>0.56</v>
      </c>
    </row>
    <row r="5215" spans="1:15">
      <c r="A5215" t="str">
        <f>"920012"</f>
        <v>920012</v>
      </c>
      <c r="B5215" t="s">
        <v>5260</v>
      </c>
      <c r="C5215">
        <v>4.07</v>
      </c>
      <c r="D5215">
        <v>69.73</v>
      </c>
      <c r="E5215" t="s">
        <v>16</v>
      </c>
      <c r="F5215" t="s">
        <v>16</v>
      </c>
      <c r="H5215">
        <v>0.04</v>
      </c>
      <c r="I5215">
        <v>-4.83</v>
      </c>
      <c r="J5215">
        <v>-2.42</v>
      </c>
      <c r="L5215">
        <v>-0.73</v>
      </c>
      <c r="M5215">
        <v>137.37</v>
      </c>
      <c r="N5215">
        <v>0.11</v>
      </c>
      <c r="O5215">
        <v>1.56</v>
      </c>
    </row>
    <row r="5216" spans="1:15">
      <c r="A5216" t="str">
        <f>"920014"</f>
        <v>920014</v>
      </c>
      <c r="B5216" t="s">
        <v>5261</v>
      </c>
      <c r="C5216">
        <v>-2.68</v>
      </c>
      <c r="D5216">
        <v>8.72</v>
      </c>
      <c r="E5216" t="s">
        <v>16</v>
      </c>
      <c r="F5216" t="s">
        <v>16</v>
      </c>
      <c r="H5216">
        <v>-0.22</v>
      </c>
      <c r="I5216">
        <v>-8.79</v>
      </c>
      <c r="J5216">
        <v>-2.68</v>
      </c>
      <c r="L5216">
        <v>0</v>
      </c>
      <c r="M5216">
        <v>0.5</v>
      </c>
      <c r="N5216">
        <v>0</v>
      </c>
      <c r="O5216">
        <v>0.28</v>
      </c>
    </row>
    <row r="5217" spans="1:15">
      <c r="A5217" t="str">
        <f>"920015"</f>
        <v>920015</v>
      </c>
      <c r="B5217" t="s">
        <v>5262</v>
      </c>
      <c r="C5217">
        <v>-3.37</v>
      </c>
      <c r="D5217">
        <v>55.29</v>
      </c>
      <c r="E5217" t="s">
        <v>16</v>
      </c>
      <c r="F5217" t="s">
        <v>16</v>
      </c>
      <c r="H5217">
        <v>-0.28</v>
      </c>
      <c r="I5217">
        <v>23.55</v>
      </c>
      <c r="J5217">
        <v>-4.26</v>
      </c>
      <c r="L5217">
        <v>0.12</v>
      </c>
      <c r="M5217">
        <v>320.04</v>
      </c>
      <c r="N5217">
        <v>0.14</v>
      </c>
      <c r="O5217">
        <v>0.35</v>
      </c>
    </row>
    <row r="5218" spans="1:15">
      <c r="A5218" t="str">
        <f>"920016"</f>
        <v>920016</v>
      </c>
      <c r="B5218" t="s">
        <v>5263</v>
      </c>
      <c r="C5218">
        <v>-4.04</v>
      </c>
      <c r="D5218">
        <v>13.3</v>
      </c>
      <c r="E5218" t="s">
        <v>16</v>
      </c>
      <c r="F5218" t="s">
        <v>16</v>
      </c>
      <c r="H5218">
        <v>0.15</v>
      </c>
      <c r="I5218">
        <v>-6.14</v>
      </c>
      <c r="J5218">
        <v>-3.76</v>
      </c>
      <c r="L5218">
        <v>-0.29</v>
      </c>
      <c r="M5218">
        <v>0.28</v>
      </c>
      <c r="N5218">
        <v>0</v>
      </c>
      <c r="O5218" t="s">
        <v>16</v>
      </c>
    </row>
    <row r="5219" spans="1:15">
      <c r="A5219" t="str">
        <f>"920017"</f>
        <v>920017</v>
      </c>
      <c r="B5219" t="s">
        <v>5264</v>
      </c>
      <c r="C5219">
        <v>1.3</v>
      </c>
      <c r="D5219">
        <v>15.6</v>
      </c>
      <c r="E5219" t="s">
        <v>16</v>
      </c>
      <c r="F5219" t="s">
        <v>16</v>
      </c>
      <c r="H5219">
        <v>0</v>
      </c>
      <c r="I5219">
        <v>1.69</v>
      </c>
      <c r="J5219">
        <v>-1.2</v>
      </c>
      <c r="L5219">
        <v>0.06</v>
      </c>
      <c r="M5219">
        <v>0</v>
      </c>
      <c r="N5219">
        <v>0</v>
      </c>
      <c r="O5219" t="s">
        <v>16</v>
      </c>
    </row>
    <row r="5220" spans="1:15">
      <c r="A5220" t="str">
        <f>"920018"</f>
        <v>920018</v>
      </c>
      <c r="B5220" t="s">
        <v>5265</v>
      </c>
      <c r="C5220">
        <v>-1.59</v>
      </c>
      <c r="D5220">
        <v>16.68</v>
      </c>
      <c r="E5220" t="s">
        <v>16</v>
      </c>
      <c r="F5220" t="s">
        <v>16</v>
      </c>
      <c r="H5220">
        <v>-0.11</v>
      </c>
      <c r="I5220">
        <v>-7.33</v>
      </c>
      <c r="J5220">
        <v>-2.57</v>
      </c>
      <c r="L5220">
        <v>0.24</v>
      </c>
      <c r="M5220">
        <v>0.84</v>
      </c>
      <c r="N5220">
        <v>0</v>
      </c>
      <c r="O5220">
        <v>1.65</v>
      </c>
    </row>
    <row r="5221" spans="1:15">
      <c r="A5221" t="str">
        <f>"920019"</f>
        <v>920019</v>
      </c>
      <c r="B5221" t="s">
        <v>5266</v>
      </c>
      <c r="C5221">
        <v>3.81</v>
      </c>
      <c r="D5221">
        <v>20.14</v>
      </c>
      <c r="E5221" t="s">
        <v>16</v>
      </c>
      <c r="F5221" t="s">
        <v>16</v>
      </c>
      <c r="H5221">
        <v>0.55</v>
      </c>
      <c r="I5221">
        <v>8.57</v>
      </c>
      <c r="J5221">
        <v>-2.47</v>
      </c>
      <c r="L5221">
        <v>-0.41</v>
      </c>
      <c r="M5221">
        <v>14.33</v>
      </c>
      <c r="N5221">
        <v>0.01</v>
      </c>
      <c r="O5221">
        <v>1.45</v>
      </c>
    </row>
    <row r="5222" spans="1:15">
      <c r="A5222" t="str">
        <f>"920020"</f>
        <v>920020</v>
      </c>
      <c r="B5222" t="s">
        <v>5267</v>
      </c>
      <c r="C5222">
        <v>-1.69</v>
      </c>
      <c r="D5222">
        <v>14.55</v>
      </c>
      <c r="E5222" t="s">
        <v>16</v>
      </c>
      <c r="F5222" t="s">
        <v>16</v>
      </c>
      <c r="H5222">
        <v>0.69</v>
      </c>
      <c r="I5222">
        <v>-5.21</v>
      </c>
      <c r="J5222">
        <v>-2.41</v>
      </c>
      <c r="L5222">
        <v>-1.08</v>
      </c>
      <c r="M5222">
        <v>36.28</v>
      </c>
      <c r="N5222">
        <v>0.06</v>
      </c>
      <c r="O5222">
        <v>3.54</v>
      </c>
    </row>
    <row r="5223" spans="1:15">
      <c r="A5223" t="str">
        <f>"920021"</f>
        <v>920021</v>
      </c>
      <c r="B5223" t="s">
        <v>5268</v>
      </c>
      <c r="C5223">
        <v>-3.55</v>
      </c>
      <c r="D5223">
        <v>7.61</v>
      </c>
      <c r="E5223" t="s">
        <v>16</v>
      </c>
      <c r="F5223" t="s">
        <v>16</v>
      </c>
      <c r="H5223">
        <v>0</v>
      </c>
      <c r="I5223">
        <v>-8.75</v>
      </c>
      <c r="J5223">
        <v>-5.35</v>
      </c>
      <c r="L5223">
        <v>0.25</v>
      </c>
      <c r="M5223">
        <v>20.43</v>
      </c>
      <c r="N5223">
        <v>0.01</v>
      </c>
      <c r="O5223">
        <v>25.83</v>
      </c>
    </row>
    <row r="5224" spans="1:15">
      <c r="A5224" t="str">
        <f>"920022"</f>
        <v>920022</v>
      </c>
      <c r="B5224" t="s">
        <v>5269</v>
      </c>
      <c r="C5224">
        <v>-0.09</v>
      </c>
      <c r="D5224">
        <v>22.01</v>
      </c>
      <c r="E5224" t="s">
        <v>16</v>
      </c>
      <c r="F5224" t="s">
        <v>16</v>
      </c>
      <c r="H5224">
        <v>1.1</v>
      </c>
      <c r="I5224">
        <v>-3.84</v>
      </c>
      <c r="J5224">
        <v>-0.59</v>
      </c>
      <c r="L5224">
        <v>-0.14</v>
      </c>
      <c r="M5224">
        <v>0.22</v>
      </c>
      <c r="N5224">
        <v>0</v>
      </c>
      <c r="O5224">
        <v>0.1</v>
      </c>
    </row>
    <row r="5225" spans="1:15">
      <c r="A5225" t="str">
        <f>"920023"</f>
        <v>920023</v>
      </c>
      <c r="B5225" t="s">
        <v>5270</v>
      </c>
      <c r="C5225">
        <v>-1.93</v>
      </c>
      <c r="D5225">
        <v>2.03</v>
      </c>
      <c r="E5225" t="s">
        <v>16</v>
      </c>
      <c r="F5225" t="s">
        <v>16</v>
      </c>
      <c r="H5225">
        <v>0</v>
      </c>
      <c r="I5225">
        <v>-12.88</v>
      </c>
      <c r="J5225">
        <v>-3.33</v>
      </c>
      <c r="L5225">
        <v>-0.48</v>
      </c>
      <c r="M5225">
        <v>5.46</v>
      </c>
      <c r="N5225">
        <v>0.01</v>
      </c>
      <c r="O5225">
        <v>1.14</v>
      </c>
    </row>
    <row r="5226" spans="1:15">
      <c r="A5226" t="str">
        <f>"920026"</f>
        <v>920026</v>
      </c>
      <c r="B5226" t="s">
        <v>5271</v>
      </c>
      <c r="C5226">
        <v>-3.05</v>
      </c>
      <c r="D5226">
        <v>25.13</v>
      </c>
      <c r="E5226" t="s">
        <v>16</v>
      </c>
      <c r="F5226" t="s">
        <v>16</v>
      </c>
      <c r="H5226">
        <v>0.28</v>
      </c>
      <c r="I5226">
        <v>1.66</v>
      </c>
      <c r="J5226">
        <v>-6.23</v>
      </c>
      <c r="L5226">
        <v>1.08</v>
      </c>
      <c r="M5226">
        <v>43.24</v>
      </c>
      <c r="N5226">
        <v>0.05</v>
      </c>
      <c r="O5226">
        <v>2.8</v>
      </c>
    </row>
    <row r="5227" spans="1:15">
      <c r="A5227" t="str">
        <f>"920027"</f>
        <v>920027</v>
      </c>
      <c r="B5227" t="s">
        <v>5272</v>
      </c>
      <c r="C5227">
        <v>-2.82</v>
      </c>
      <c r="D5227">
        <v>11.72</v>
      </c>
      <c r="E5227" t="s">
        <v>16</v>
      </c>
      <c r="F5227" t="s">
        <v>16</v>
      </c>
      <c r="H5227">
        <v>-1</v>
      </c>
      <c r="I5227">
        <v>-2.17</v>
      </c>
      <c r="J5227">
        <v>-2.5</v>
      </c>
      <c r="L5227">
        <v>-0.33</v>
      </c>
      <c r="M5227">
        <v>7.21</v>
      </c>
      <c r="N5227">
        <v>0.01</v>
      </c>
      <c r="O5227">
        <v>12</v>
      </c>
    </row>
    <row r="5228" spans="1:15">
      <c r="A5228" t="str">
        <f>"920028"</f>
        <v>920028</v>
      </c>
      <c r="B5228" t="s">
        <v>5273</v>
      </c>
      <c r="C5228">
        <v>-4.13</v>
      </c>
      <c r="D5228">
        <v>19.05</v>
      </c>
      <c r="E5228" t="s">
        <v>16</v>
      </c>
      <c r="F5228" t="s">
        <v>16</v>
      </c>
      <c r="H5228">
        <v>0.11</v>
      </c>
      <c r="I5228">
        <v>-3.3</v>
      </c>
      <c r="J5228">
        <v>-6.16</v>
      </c>
      <c r="L5228">
        <v>0.65</v>
      </c>
      <c r="M5228">
        <v>82.35</v>
      </c>
      <c r="N5228">
        <v>0.06</v>
      </c>
      <c r="O5228">
        <v>1.02</v>
      </c>
    </row>
    <row r="5229" spans="1:15">
      <c r="A5229" t="str">
        <f>"920029"</f>
        <v>920029</v>
      </c>
      <c r="B5229" t="s">
        <v>5274</v>
      </c>
      <c r="C5229">
        <v>-2</v>
      </c>
      <c r="D5229">
        <v>35.79</v>
      </c>
      <c r="E5229" t="s">
        <v>16</v>
      </c>
      <c r="F5229" t="s">
        <v>16</v>
      </c>
      <c r="H5229">
        <v>0</v>
      </c>
      <c r="I5229">
        <v>-12.17</v>
      </c>
      <c r="J5229">
        <v>-3.09</v>
      </c>
      <c r="L5229">
        <v>0.9</v>
      </c>
      <c r="M5229">
        <v>4.61</v>
      </c>
      <c r="N5229">
        <v>0</v>
      </c>
      <c r="O5229">
        <v>4.17</v>
      </c>
    </row>
    <row r="5230" spans="1:15">
      <c r="A5230" t="str">
        <f>"920030"</f>
        <v>920030</v>
      </c>
      <c r="B5230" t="s">
        <v>5275</v>
      </c>
      <c r="C5230">
        <v>-2.53</v>
      </c>
      <c r="D5230">
        <v>4.62</v>
      </c>
      <c r="E5230" t="s">
        <v>16</v>
      </c>
      <c r="F5230" t="s">
        <v>16</v>
      </c>
      <c r="H5230">
        <v>0</v>
      </c>
      <c r="I5230">
        <v>-4.94</v>
      </c>
      <c r="J5230">
        <v>-5.71</v>
      </c>
      <c r="L5230">
        <v>-0.21</v>
      </c>
      <c r="M5230">
        <v>4.73</v>
      </c>
      <c r="N5230">
        <v>0.01</v>
      </c>
      <c r="O5230">
        <v>0.5</v>
      </c>
    </row>
    <row r="5231" spans="1:15">
      <c r="A5231" t="str">
        <f>"920033"</f>
        <v>920033</v>
      </c>
      <c r="B5231" t="s">
        <v>5276</v>
      </c>
      <c r="C5231">
        <v>0</v>
      </c>
      <c r="D5231">
        <v>15.57</v>
      </c>
      <c r="E5231" t="s">
        <v>16</v>
      </c>
      <c r="F5231" t="s">
        <v>16</v>
      </c>
      <c r="H5231">
        <v>0.45</v>
      </c>
      <c r="I5231">
        <v>2.03</v>
      </c>
      <c r="J5231">
        <v>-0.89</v>
      </c>
      <c r="L5231">
        <v>0.06</v>
      </c>
      <c r="M5231">
        <v>0.78</v>
      </c>
      <c r="N5231">
        <v>0</v>
      </c>
      <c r="O5231">
        <v>5.01</v>
      </c>
    </row>
    <row r="5232" spans="1:15">
      <c r="A5232" t="str">
        <f>"920035"</f>
        <v>920035</v>
      </c>
      <c r="B5232" t="s">
        <v>5277</v>
      </c>
      <c r="C5232">
        <v>-4.65</v>
      </c>
      <c r="D5232">
        <v>24.79</v>
      </c>
      <c r="E5232" t="s">
        <v>16</v>
      </c>
      <c r="F5232" t="s">
        <v>16</v>
      </c>
      <c r="H5232">
        <v>0.45</v>
      </c>
      <c r="I5232">
        <v>-6.35</v>
      </c>
      <c r="J5232">
        <v>-6.06</v>
      </c>
      <c r="L5232">
        <v>1.5</v>
      </c>
      <c r="M5232">
        <v>0.53</v>
      </c>
      <c r="N5232">
        <v>0</v>
      </c>
      <c r="O5232">
        <v>1</v>
      </c>
    </row>
    <row r="5233" spans="1:15">
      <c r="A5233" t="str">
        <f>"920036"</f>
        <v>920036</v>
      </c>
      <c r="B5233" t="s">
        <v>5278</v>
      </c>
      <c r="C5233">
        <v>1.3</v>
      </c>
      <c r="D5233">
        <v>42.73</v>
      </c>
      <c r="E5233" t="s">
        <v>16</v>
      </c>
      <c r="F5233" t="s">
        <v>16</v>
      </c>
      <c r="H5233">
        <v>0.09</v>
      </c>
      <c r="I5233">
        <v>1.64</v>
      </c>
      <c r="J5233">
        <v>-0.4</v>
      </c>
      <c r="L5233">
        <v>-0.9</v>
      </c>
      <c r="M5233">
        <v>7.41</v>
      </c>
      <c r="N5233">
        <v>0.01</v>
      </c>
      <c r="O5233">
        <v>0.71</v>
      </c>
    </row>
    <row r="5234" spans="1:15">
      <c r="A5234" t="str">
        <f>"920037"</f>
        <v>920037</v>
      </c>
      <c r="B5234" t="s">
        <v>5279</v>
      </c>
      <c r="C5234">
        <v>0.25</v>
      </c>
      <c r="D5234">
        <v>44.62</v>
      </c>
      <c r="E5234" t="s">
        <v>16</v>
      </c>
      <c r="F5234" t="s">
        <v>16</v>
      </c>
      <c r="H5234">
        <v>-0.19</v>
      </c>
      <c r="I5234">
        <v>3.1</v>
      </c>
      <c r="J5234">
        <v>-1.91</v>
      </c>
      <c r="L5234">
        <v>-0.31</v>
      </c>
      <c r="M5234">
        <v>23.98</v>
      </c>
      <c r="N5234">
        <v>0.01</v>
      </c>
      <c r="O5234">
        <v>1.32</v>
      </c>
    </row>
    <row r="5235" spans="1:15">
      <c r="A5235" t="str">
        <f>"920039"</f>
        <v>920039</v>
      </c>
      <c r="B5235" t="s">
        <v>5280</v>
      </c>
      <c r="C5235">
        <v>-6.62</v>
      </c>
      <c r="D5235">
        <v>8.04</v>
      </c>
      <c r="E5235" t="s">
        <v>16</v>
      </c>
      <c r="F5235" t="s">
        <v>16</v>
      </c>
      <c r="H5235">
        <v>-0.98</v>
      </c>
      <c r="I5235">
        <v>0.88</v>
      </c>
      <c r="J5235">
        <v>-7.9</v>
      </c>
      <c r="L5235">
        <v>-0.35</v>
      </c>
      <c r="M5235">
        <v>106.14</v>
      </c>
      <c r="N5235">
        <v>0.25</v>
      </c>
      <c r="O5235">
        <v>95.16</v>
      </c>
    </row>
    <row r="5236" spans="1:15">
      <c r="A5236" t="str">
        <f>"920045"</f>
        <v>920045</v>
      </c>
      <c r="B5236" t="s">
        <v>5281</v>
      </c>
      <c r="C5236">
        <v>4.54</v>
      </c>
      <c r="D5236">
        <v>646.99</v>
      </c>
      <c r="E5236" t="s">
        <v>16</v>
      </c>
      <c r="F5236" t="s">
        <v>16</v>
      </c>
      <c r="H5236">
        <v>-0.14</v>
      </c>
      <c r="I5236">
        <v>21.38</v>
      </c>
      <c r="J5236">
        <v>-2.78</v>
      </c>
      <c r="L5236">
        <v>-2.24</v>
      </c>
      <c r="M5236">
        <v>263.78</v>
      </c>
      <c r="N5236">
        <v>0.03</v>
      </c>
      <c r="O5236">
        <v>0.2</v>
      </c>
    </row>
    <row r="5237" spans="1:15">
      <c r="A5237" t="str">
        <f>"920046"</f>
        <v>920046</v>
      </c>
      <c r="B5237" t="s">
        <v>5282</v>
      </c>
      <c r="C5237">
        <v>-8.84</v>
      </c>
      <c r="D5237">
        <v>24.03</v>
      </c>
      <c r="E5237" t="s">
        <v>16</v>
      </c>
      <c r="F5237" t="s">
        <v>16</v>
      </c>
      <c r="H5237">
        <v>0.04</v>
      </c>
      <c r="I5237">
        <v>-22.81</v>
      </c>
      <c r="J5237">
        <v>-8.63</v>
      </c>
      <c r="L5237">
        <v>-1.37</v>
      </c>
      <c r="M5237">
        <v>72.29</v>
      </c>
      <c r="N5237">
        <v>0.07</v>
      </c>
      <c r="O5237">
        <v>4.48</v>
      </c>
    </row>
    <row r="5238" spans="1:15">
      <c r="A5238" t="str">
        <f>"920047"</f>
        <v>920047</v>
      </c>
      <c r="B5238" t="s">
        <v>5283</v>
      </c>
      <c r="C5238">
        <v>13.58</v>
      </c>
      <c r="D5238">
        <v>19.41</v>
      </c>
      <c r="E5238" t="s">
        <v>16</v>
      </c>
      <c r="F5238" t="s">
        <v>16</v>
      </c>
      <c r="H5238">
        <v>0.21</v>
      </c>
      <c r="I5238">
        <v>3.46</v>
      </c>
      <c r="J5238">
        <v>-5.55</v>
      </c>
      <c r="L5238">
        <v>2.81</v>
      </c>
      <c r="M5238">
        <v>313.54</v>
      </c>
      <c r="N5238">
        <v>0.11</v>
      </c>
      <c r="O5238">
        <v>4.22</v>
      </c>
    </row>
    <row r="5239" spans="1:15">
      <c r="A5239" t="str">
        <f>"920050"</f>
        <v>920050</v>
      </c>
      <c r="B5239" t="s">
        <v>5284</v>
      </c>
      <c r="C5239">
        <v>0.25</v>
      </c>
      <c r="D5239">
        <v>27.68</v>
      </c>
      <c r="E5239" t="s">
        <v>16</v>
      </c>
      <c r="F5239" t="s">
        <v>16</v>
      </c>
      <c r="H5239">
        <v>0.29</v>
      </c>
      <c r="I5239">
        <v>-1.77</v>
      </c>
      <c r="J5239">
        <v>-0.86</v>
      </c>
      <c r="L5239">
        <v>0.04</v>
      </c>
      <c r="M5239">
        <v>0</v>
      </c>
      <c r="N5239">
        <v>0</v>
      </c>
      <c r="O5239" t="s">
        <v>16</v>
      </c>
    </row>
    <row r="5240" spans="1:15">
      <c r="A5240" t="str">
        <f>"920055"</f>
        <v>920055</v>
      </c>
      <c r="B5240" t="s">
        <v>5285</v>
      </c>
      <c r="C5240">
        <v>-1.84</v>
      </c>
      <c r="D5240">
        <v>28.87</v>
      </c>
      <c r="E5240" t="s">
        <v>16</v>
      </c>
      <c r="F5240" t="s">
        <v>16</v>
      </c>
      <c r="H5240">
        <v>0.17</v>
      </c>
      <c r="I5240">
        <v>-6.05</v>
      </c>
      <c r="J5240">
        <v>-1.84</v>
      </c>
      <c r="L5240">
        <v>-0.03</v>
      </c>
      <c r="M5240">
        <v>0.88</v>
      </c>
      <c r="N5240">
        <v>0</v>
      </c>
      <c r="O5240" t="s">
        <v>16</v>
      </c>
    </row>
    <row r="5241" spans="1:15">
      <c r="A5241" t="str">
        <f>"920056"</f>
        <v>920056</v>
      </c>
      <c r="B5241" t="s">
        <v>5286</v>
      </c>
      <c r="C5241">
        <v>-3.63</v>
      </c>
      <c r="D5241">
        <v>19.9</v>
      </c>
      <c r="E5241" t="s">
        <v>16</v>
      </c>
      <c r="F5241" t="s">
        <v>16</v>
      </c>
      <c r="H5241">
        <v>0.3</v>
      </c>
      <c r="I5241">
        <v>6.76</v>
      </c>
      <c r="J5241">
        <v>-2.78</v>
      </c>
      <c r="L5241">
        <v>-0.97</v>
      </c>
      <c r="M5241">
        <v>2.25</v>
      </c>
      <c r="N5241">
        <v>0</v>
      </c>
      <c r="O5241">
        <v>0.42</v>
      </c>
    </row>
    <row r="5242" spans="1:15">
      <c r="A5242" t="str">
        <f>"920057"</f>
        <v>920057</v>
      </c>
      <c r="B5242" t="s">
        <v>5287</v>
      </c>
      <c r="C5242">
        <v>-1.2</v>
      </c>
      <c r="D5242">
        <v>4.94</v>
      </c>
      <c r="E5242" t="s">
        <v>16</v>
      </c>
      <c r="F5242" t="s">
        <v>16</v>
      </c>
      <c r="H5242">
        <v>-0.59</v>
      </c>
      <c r="I5242">
        <v>-9.19</v>
      </c>
      <c r="J5242">
        <v>-5.36</v>
      </c>
      <c r="L5242">
        <v>0.6</v>
      </c>
      <c r="M5242">
        <v>6.72</v>
      </c>
      <c r="N5242">
        <v>0.01</v>
      </c>
      <c r="O5242">
        <v>133.6</v>
      </c>
    </row>
    <row r="5243" spans="1:15">
      <c r="A5243" t="str">
        <f>"920058"</f>
        <v>920058</v>
      </c>
      <c r="B5243" t="s">
        <v>5288</v>
      </c>
      <c r="C5243">
        <v>-3.05</v>
      </c>
      <c r="D5243">
        <v>21.97</v>
      </c>
      <c r="E5243" t="s">
        <v>16</v>
      </c>
      <c r="F5243" t="s">
        <v>16</v>
      </c>
      <c r="H5243">
        <v>0.37</v>
      </c>
      <c r="I5243">
        <v>-6.11</v>
      </c>
      <c r="J5243">
        <v>-4.02</v>
      </c>
      <c r="L5243">
        <v>1.02</v>
      </c>
      <c r="M5243">
        <v>3.27</v>
      </c>
      <c r="N5243">
        <v>0.01</v>
      </c>
      <c r="O5243">
        <v>1.1</v>
      </c>
    </row>
    <row r="5244" spans="1:15">
      <c r="A5244" t="str">
        <f>"920060"</f>
        <v>920060</v>
      </c>
      <c r="B5244" t="s">
        <v>5289</v>
      </c>
      <c r="C5244">
        <v>-3.14</v>
      </c>
      <c r="D5244">
        <v>29.95</v>
      </c>
      <c r="E5244" t="s">
        <v>16</v>
      </c>
      <c r="F5244" t="s">
        <v>16</v>
      </c>
      <c r="H5244">
        <v>-0.06</v>
      </c>
      <c r="I5244">
        <v>1.94</v>
      </c>
      <c r="J5244">
        <v>-2.38</v>
      </c>
      <c r="L5244">
        <v>-0.78</v>
      </c>
      <c r="M5244">
        <v>126.01</v>
      </c>
      <c r="N5244">
        <v>0.06</v>
      </c>
      <c r="O5244">
        <v>2.46</v>
      </c>
    </row>
    <row r="5245" spans="1:15">
      <c r="A5245" t="str">
        <f>"920061"</f>
        <v>920061</v>
      </c>
      <c r="B5245" t="s">
        <v>5290</v>
      </c>
      <c r="C5245">
        <v>4.96</v>
      </c>
      <c r="D5245">
        <v>23.49</v>
      </c>
      <c r="E5245" t="s">
        <v>16</v>
      </c>
      <c r="F5245" t="s">
        <v>16</v>
      </c>
      <c r="H5245">
        <v>0.04</v>
      </c>
      <c r="I5245">
        <v>5.15</v>
      </c>
      <c r="J5245">
        <v>-4.4</v>
      </c>
      <c r="L5245">
        <v>-0.71</v>
      </c>
      <c r="M5245">
        <v>10.22</v>
      </c>
      <c r="N5245">
        <v>0.02</v>
      </c>
      <c r="O5245">
        <v>0.18</v>
      </c>
    </row>
    <row r="5246" spans="1:15">
      <c r="A5246" t="str">
        <f>"920062"</f>
        <v>920062</v>
      </c>
      <c r="B5246" t="s">
        <v>5291</v>
      </c>
      <c r="C5246">
        <v>-5.41</v>
      </c>
      <c r="D5246">
        <v>9.26</v>
      </c>
      <c r="E5246" t="s">
        <v>16</v>
      </c>
      <c r="F5246" t="s">
        <v>16</v>
      </c>
      <c r="H5246">
        <v>-0.1</v>
      </c>
      <c r="I5246">
        <v>-14.5</v>
      </c>
      <c r="J5246">
        <v>-5.22</v>
      </c>
      <c r="L5246">
        <v>-0.2</v>
      </c>
      <c r="M5246">
        <v>0</v>
      </c>
      <c r="N5246">
        <v>0</v>
      </c>
      <c r="O5246">
        <v>0</v>
      </c>
    </row>
    <row r="5247" spans="1:15">
      <c r="A5247" t="str">
        <f>"920066"</f>
        <v>920066</v>
      </c>
      <c r="B5247" t="s">
        <v>5292</v>
      </c>
      <c r="C5247">
        <v>-0.37</v>
      </c>
      <c r="D5247">
        <v>21.42</v>
      </c>
      <c r="E5247" t="s">
        <v>16</v>
      </c>
      <c r="F5247" t="s">
        <v>16</v>
      </c>
      <c r="H5247">
        <v>0.05</v>
      </c>
      <c r="I5247">
        <v>-13.42</v>
      </c>
      <c r="J5247">
        <v>-3.6</v>
      </c>
      <c r="L5247">
        <v>3.35</v>
      </c>
      <c r="M5247">
        <v>133.44</v>
      </c>
      <c r="N5247">
        <v>0.3</v>
      </c>
      <c r="O5247">
        <v>4.84</v>
      </c>
    </row>
    <row r="5248" spans="1:15">
      <c r="A5248" t="str">
        <f>"920068"</f>
        <v>920068</v>
      </c>
      <c r="B5248" t="s">
        <v>5293</v>
      </c>
      <c r="C5248">
        <v>0.59</v>
      </c>
      <c r="D5248">
        <v>17.15</v>
      </c>
      <c r="E5248" t="s">
        <v>16</v>
      </c>
      <c r="F5248" t="s">
        <v>16</v>
      </c>
      <c r="H5248">
        <v>0.29</v>
      </c>
      <c r="I5248">
        <v>-2.22</v>
      </c>
      <c r="J5248">
        <v>-1.72</v>
      </c>
      <c r="L5248">
        <v>-0.29</v>
      </c>
      <c r="M5248">
        <v>2.55</v>
      </c>
      <c r="N5248">
        <v>0</v>
      </c>
      <c r="O5248">
        <v>0.05</v>
      </c>
    </row>
    <row r="5249" spans="1:15">
      <c r="A5249" t="str">
        <f>"920069"</f>
        <v>920069</v>
      </c>
      <c r="B5249" t="s">
        <v>5294</v>
      </c>
      <c r="C5249">
        <v>1.59</v>
      </c>
      <c r="D5249">
        <v>35.72</v>
      </c>
      <c r="E5249" t="s">
        <v>16</v>
      </c>
      <c r="F5249" t="s">
        <v>16</v>
      </c>
      <c r="H5249">
        <v>0.17</v>
      </c>
      <c r="I5249">
        <v>-0.42</v>
      </c>
      <c r="J5249">
        <v>-0.28</v>
      </c>
      <c r="L5249">
        <v>0</v>
      </c>
      <c r="M5249">
        <v>0.7</v>
      </c>
      <c r="N5249">
        <v>0</v>
      </c>
      <c r="O5249">
        <v>0.08</v>
      </c>
    </row>
    <row r="5250" spans="1:15">
      <c r="A5250" t="str">
        <f>"920075"</f>
        <v>920075</v>
      </c>
      <c r="B5250" t="s">
        <v>5295</v>
      </c>
      <c r="C5250">
        <v>-4.66</v>
      </c>
      <c r="D5250">
        <v>16.59</v>
      </c>
      <c r="E5250" t="s">
        <v>16</v>
      </c>
      <c r="F5250" t="s">
        <v>16</v>
      </c>
      <c r="H5250">
        <v>-0.47</v>
      </c>
      <c r="I5250">
        <v>-8.09</v>
      </c>
      <c r="J5250">
        <v>-3.99</v>
      </c>
      <c r="L5250">
        <v>-0.69</v>
      </c>
      <c r="M5250">
        <v>0</v>
      </c>
      <c r="N5250">
        <v>0</v>
      </c>
      <c r="O5250">
        <v>0</v>
      </c>
    </row>
    <row r="5251" spans="1:15">
      <c r="A5251" t="str">
        <f>"920076"</f>
        <v>920076</v>
      </c>
      <c r="B5251" t="s">
        <v>5296</v>
      </c>
      <c r="C5251">
        <v>7.54</v>
      </c>
      <c r="D5251">
        <v>13.69</v>
      </c>
      <c r="E5251" t="s">
        <v>16</v>
      </c>
      <c r="F5251" t="s">
        <v>16</v>
      </c>
      <c r="H5251">
        <v>-0.35</v>
      </c>
      <c r="I5251">
        <v>0.07</v>
      </c>
      <c r="J5251">
        <v>-5.06</v>
      </c>
      <c r="L5251">
        <v>0.55</v>
      </c>
      <c r="M5251">
        <v>13.44</v>
      </c>
      <c r="N5251">
        <v>0.03</v>
      </c>
      <c r="O5251">
        <v>1.15</v>
      </c>
    </row>
    <row r="5252" spans="1:15">
      <c r="A5252" t="str">
        <f>"920077"</f>
        <v>920077</v>
      </c>
      <c r="B5252" t="s">
        <v>5297</v>
      </c>
      <c r="C5252">
        <v>-4.89</v>
      </c>
      <c r="D5252">
        <v>16.33</v>
      </c>
      <c r="E5252" t="s">
        <v>16</v>
      </c>
      <c r="F5252" t="s">
        <v>16</v>
      </c>
      <c r="H5252">
        <v>-0.11</v>
      </c>
      <c r="I5252">
        <v>-5.17</v>
      </c>
      <c r="J5252">
        <v>-5</v>
      </c>
      <c r="L5252">
        <v>0.12</v>
      </c>
      <c r="M5252">
        <v>29.75</v>
      </c>
      <c r="N5252">
        <v>0.01</v>
      </c>
      <c r="O5252">
        <v>1.75</v>
      </c>
    </row>
    <row r="5253" spans="1:15">
      <c r="A5253" t="str">
        <f>"920078"</f>
        <v>920078</v>
      </c>
      <c r="B5253" t="s">
        <v>5298</v>
      </c>
      <c r="C5253">
        <v>3.91</v>
      </c>
      <c r="D5253">
        <v>32.42</v>
      </c>
      <c r="E5253" t="s">
        <v>16</v>
      </c>
      <c r="F5253" t="s">
        <v>16</v>
      </c>
      <c r="H5253">
        <v>0.31</v>
      </c>
      <c r="I5253">
        <v>-8.57</v>
      </c>
      <c r="J5253">
        <v>-2.08</v>
      </c>
      <c r="L5253">
        <v>0.96</v>
      </c>
      <c r="M5253">
        <v>219.02</v>
      </c>
      <c r="N5253">
        <v>0.34</v>
      </c>
      <c r="O5253">
        <v>9.27</v>
      </c>
    </row>
    <row r="5254" spans="1:15">
      <c r="A5254" t="str">
        <f>"920080"</f>
        <v>920080</v>
      </c>
      <c r="B5254" t="s">
        <v>5299</v>
      </c>
      <c r="C5254">
        <v>-1.12</v>
      </c>
      <c r="D5254">
        <v>22.03</v>
      </c>
      <c r="E5254" t="s">
        <v>16</v>
      </c>
      <c r="F5254" t="s">
        <v>16</v>
      </c>
      <c r="H5254">
        <v>0.14</v>
      </c>
      <c r="I5254">
        <v>0.64</v>
      </c>
      <c r="J5254">
        <v>-1.91</v>
      </c>
      <c r="L5254">
        <v>-0.36</v>
      </c>
      <c r="M5254">
        <v>0</v>
      </c>
      <c r="N5254">
        <v>0</v>
      </c>
      <c r="O5254" t="s">
        <v>16</v>
      </c>
    </row>
    <row r="5255" spans="1:15">
      <c r="A5255" t="str">
        <f>"920082"</f>
        <v>920082</v>
      </c>
      <c r="B5255" t="s">
        <v>5300</v>
      </c>
      <c r="C5255">
        <v>-3.33</v>
      </c>
      <c r="D5255">
        <v>8.7</v>
      </c>
      <c r="E5255" t="s">
        <v>16</v>
      </c>
      <c r="F5255" t="s">
        <v>16</v>
      </c>
      <c r="H5255">
        <v>-0.22</v>
      </c>
      <c r="I5255">
        <v>-2.79</v>
      </c>
      <c r="J5255">
        <v>-4.71</v>
      </c>
      <c r="L5255">
        <v>1.44</v>
      </c>
      <c r="M5255">
        <v>12.57</v>
      </c>
      <c r="N5255">
        <v>0.02</v>
      </c>
      <c r="O5255">
        <v>0.25</v>
      </c>
    </row>
    <row r="5256" spans="1:15">
      <c r="A5256" t="str">
        <f>"920083"</f>
        <v>920083</v>
      </c>
      <c r="B5256" t="s">
        <v>5301</v>
      </c>
      <c r="C5256">
        <v>21.67</v>
      </c>
      <c r="D5256">
        <v>73</v>
      </c>
      <c r="E5256" t="s">
        <v>16</v>
      </c>
      <c r="F5256" t="s">
        <v>16</v>
      </c>
      <c r="H5256">
        <v>1.73</v>
      </c>
      <c r="I5256">
        <v>656.48</v>
      </c>
      <c r="J5256">
        <v>-1.93</v>
      </c>
      <c r="K5256" t="s">
        <v>26</v>
      </c>
      <c r="L5256">
        <v>-1.95</v>
      </c>
      <c r="M5256">
        <v>1789.73</v>
      </c>
      <c r="N5256">
        <v>1.51</v>
      </c>
      <c r="O5256">
        <v>0.46</v>
      </c>
    </row>
    <row r="5257" spans="1:15">
      <c r="A5257" t="str">
        <f>"920086"</f>
        <v>920086</v>
      </c>
      <c r="B5257" t="s">
        <v>5302</v>
      </c>
      <c r="C5257">
        <v>-3.02</v>
      </c>
      <c r="D5257">
        <v>25.7</v>
      </c>
      <c r="E5257" t="s">
        <v>16</v>
      </c>
      <c r="F5257" t="s">
        <v>16</v>
      </c>
      <c r="H5257">
        <v>-0.72</v>
      </c>
      <c r="I5257">
        <v>-1.27</v>
      </c>
      <c r="J5257">
        <v>-3.56</v>
      </c>
      <c r="L5257">
        <v>0</v>
      </c>
      <c r="M5257">
        <v>7.37</v>
      </c>
      <c r="N5257">
        <v>0.01</v>
      </c>
      <c r="O5257">
        <v>2.78</v>
      </c>
    </row>
    <row r="5258" spans="1:15">
      <c r="A5258" t="str">
        <f>"920087"</f>
        <v>920087</v>
      </c>
      <c r="B5258" t="s">
        <v>5303</v>
      </c>
      <c r="C5258">
        <v>-2.32</v>
      </c>
      <c r="D5258">
        <v>10.53</v>
      </c>
      <c r="E5258" t="s">
        <v>16</v>
      </c>
      <c r="F5258" t="s">
        <v>16</v>
      </c>
      <c r="H5258">
        <v>-0.18</v>
      </c>
      <c r="I5258">
        <v>-9.54</v>
      </c>
      <c r="J5258">
        <v>-2.95</v>
      </c>
      <c r="L5258">
        <v>0.65</v>
      </c>
      <c r="M5258">
        <v>7.42</v>
      </c>
      <c r="N5258">
        <v>0.01</v>
      </c>
      <c r="O5258">
        <v>5.26</v>
      </c>
    </row>
    <row r="5259" spans="1:15">
      <c r="A5259" t="str">
        <f>"920088"</f>
        <v>920088</v>
      </c>
      <c r="B5259" t="s">
        <v>5304</v>
      </c>
      <c r="C5259">
        <v>-1.67</v>
      </c>
      <c r="D5259">
        <v>37.66</v>
      </c>
      <c r="E5259" t="s">
        <v>16</v>
      </c>
      <c r="F5259" t="s">
        <v>16</v>
      </c>
      <c r="H5259">
        <v>0.29</v>
      </c>
      <c r="I5259">
        <v>-1.88</v>
      </c>
      <c r="J5259">
        <v>-2.74</v>
      </c>
      <c r="L5259">
        <v>1.1</v>
      </c>
      <c r="M5259">
        <v>113.88</v>
      </c>
      <c r="N5259">
        <v>0.1</v>
      </c>
      <c r="O5259">
        <v>0.36</v>
      </c>
    </row>
    <row r="5260" spans="1:15">
      <c r="A5260" t="str">
        <f>"920089"</f>
        <v>920089</v>
      </c>
      <c r="B5260" t="s">
        <v>5305</v>
      </c>
      <c r="C5260">
        <v>-2.23</v>
      </c>
      <c r="D5260">
        <v>10.95</v>
      </c>
      <c r="E5260" t="s">
        <v>16</v>
      </c>
      <c r="F5260" t="s">
        <v>16</v>
      </c>
      <c r="H5260">
        <v>0</v>
      </c>
      <c r="I5260">
        <v>-9.65</v>
      </c>
      <c r="J5260">
        <v>-2.14</v>
      </c>
      <c r="L5260">
        <v>-0.36</v>
      </c>
      <c r="M5260">
        <v>0.33</v>
      </c>
      <c r="N5260">
        <v>0</v>
      </c>
      <c r="O5260" t="s">
        <v>16</v>
      </c>
    </row>
    <row r="5261" spans="1:15">
      <c r="A5261" t="str">
        <f>"920090"</f>
        <v>920090</v>
      </c>
      <c r="B5261" t="s">
        <v>5306</v>
      </c>
      <c r="C5261">
        <v>-4.41</v>
      </c>
      <c r="D5261">
        <v>3.47</v>
      </c>
      <c r="E5261" t="s">
        <v>16</v>
      </c>
      <c r="F5261" t="s">
        <v>16</v>
      </c>
      <c r="H5261">
        <v>-0.56</v>
      </c>
      <c r="I5261">
        <v>-15.78</v>
      </c>
      <c r="J5261">
        <v>-4.93</v>
      </c>
      <c r="L5261">
        <v>0</v>
      </c>
      <c r="M5261">
        <v>3.7</v>
      </c>
      <c r="N5261">
        <v>0.01</v>
      </c>
      <c r="O5261">
        <v>0.32</v>
      </c>
    </row>
    <row r="5262" spans="1:15">
      <c r="A5262" t="str">
        <f>"920091"</f>
        <v>920091</v>
      </c>
      <c r="B5262" t="s">
        <v>5307</v>
      </c>
      <c r="C5262">
        <v>-2.53</v>
      </c>
      <c r="D5262">
        <v>42</v>
      </c>
      <c r="E5262" t="s">
        <v>16</v>
      </c>
      <c r="F5262" t="s">
        <v>16</v>
      </c>
      <c r="H5262">
        <v>-0.23</v>
      </c>
      <c r="I5262">
        <v>6.65</v>
      </c>
      <c r="J5262">
        <v>-3.87</v>
      </c>
      <c r="L5262">
        <v>1.39</v>
      </c>
      <c r="M5262">
        <v>7.43</v>
      </c>
      <c r="N5262">
        <v>0.01</v>
      </c>
      <c r="O5262">
        <v>1.21</v>
      </c>
    </row>
    <row r="5263" spans="1:15">
      <c r="A5263" t="str">
        <f>"920092"</f>
        <v>920092</v>
      </c>
      <c r="B5263" t="s">
        <v>5308</v>
      </c>
      <c r="C5263">
        <v>-1.73</v>
      </c>
      <c r="D5263">
        <v>29.58</v>
      </c>
      <c r="E5263" t="s">
        <v>16</v>
      </c>
      <c r="F5263" t="s">
        <v>16</v>
      </c>
      <c r="H5263">
        <v>-0.73</v>
      </c>
      <c r="I5263">
        <v>3.14</v>
      </c>
      <c r="J5263">
        <v>-1.73</v>
      </c>
      <c r="L5263">
        <v>-0.13</v>
      </c>
      <c r="M5263">
        <v>7.52</v>
      </c>
      <c r="N5263">
        <v>0.01</v>
      </c>
      <c r="O5263">
        <v>0.42</v>
      </c>
    </row>
    <row r="5264" spans="1:15">
      <c r="A5264" t="str">
        <f>"920096"</f>
        <v>920096</v>
      </c>
      <c r="B5264" t="s">
        <v>5309</v>
      </c>
      <c r="C5264">
        <v>-4.3</v>
      </c>
      <c r="D5264">
        <v>56.72</v>
      </c>
      <c r="E5264" t="s">
        <v>16</v>
      </c>
      <c r="F5264" t="s">
        <v>16</v>
      </c>
      <c r="H5264">
        <v>-0.39</v>
      </c>
      <c r="I5264">
        <v>-10.82</v>
      </c>
      <c r="J5264">
        <v>-4.14</v>
      </c>
      <c r="L5264">
        <v>-0.19</v>
      </c>
      <c r="M5264">
        <v>63.95</v>
      </c>
      <c r="N5264">
        <v>0.07</v>
      </c>
      <c r="O5264">
        <v>0.98</v>
      </c>
    </row>
    <row r="5265" spans="1:15">
      <c r="A5265" t="str">
        <f>"920098"</f>
        <v>920098</v>
      </c>
      <c r="B5265" t="s">
        <v>5310</v>
      </c>
      <c r="C5265">
        <v>-3.08</v>
      </c>
      <c r="D5265">
        <v>21.7</v>
      </c>
      <c r="E5265" t="s">
        <v>16</v>
      </c>
      <c r="F5265" t="s">
        <v>16</v>
      </c>
      <c r="H5265">
        <v>-0.04</v>
      </c>
      <c r="I5265">
        <v>-9.13</v>
      </c>
      <c r="J5265">
        <v>-2.65</v>
      </c>
      <c r="L5265">
        <v>-0.45</v>
      </c>
      <c r="M5265">
        <v>0.56</v>
      </c>
      <c r="N5265">
        <v>0</v>
      </c>
      <c r="O5265">
        <v>0.16</v>
      </c>
    </row>
    <row r="5266" spans="1:15">
      <c r="A5266" t="str">
        <f>"920099"</f>
        <v>920099</v>
      </c>
      <c r="B5266" t="s">
        <v>5311</v>
      </c>
      <c r="C5266">
        <v>0.2</v>
      </c>
      <c r="D5266">
        <v>25.33</v>
      </c>
      <c r="E5266" t="s">
        <v>16</v>
      </c>
      <c r="F5266" t="s">
        <v>16</v>
      </c>
      <c r="H5266">
        <v>1.28</v>
      </c>
      <c r="I5266">
        <v>8.95</v>
      </c>
      <c r="J5266">
        <v>-2.16</v>
      </c>
      <c r="L5266">
        <v>-0.28</v>
      </c>
      <c r="M5266">
        <v>126.93</v>
      </c>
      <c r="N5266">
        <v>0.1</v>
      </c>
      <c r="O5266">
        <v>33.57</v>
      </c>
    </row>
    <row r="5267" spans="1:15">
      <c r="A5267" t="str">
        <f>"920100"</f>
        <v>920100</v>
      </c>
      <c r="B5267" t="s">
        <v>5312</v>
      </c>
      <c r="C5267">
        <v>3.1</v>
      </c>
      <c r="D5267">
        <v>44.23</v>
      </c>
      <c r="E5267" t="s">
        <v>16</v>
      </c>
      <c r="F5267" t="s">
        <v>16</v>
      </c>
      <c r="H5267">
        <v>-0.04</v>
      </c>
      <c r="I5267">
        <v>-5.89</v>
      </c>
      <c r="J5267">
        <v>-2.04</v>
      </c>
      <c r="L5267">
        <v>0</v>
      </c>
      <c r="M5267">
        <v>76.48</v>
      </c>
      <c r="N5267">
        <v>0.07</v>
      </c>
      <c r="O5267">
        <v>3.18</v>
      </c>
    </row>
    <row r="5268" spans="1:15">
      <c r="A5268" t="str">
        <f>"920101"</f>
        <v>920101</v>
      </c>
      <c r="B5268" t="s">
        <v>5313</v>
      </c>
      <c r="C5268">
        <v>-2.73</v>
      </c>
      <c r="D5268">
        <v>28.89</v>
      </c>
      <c r="E5268" t="s">
        <v>16</v>
      </c>
      <c r="F5268" t="s">
        <v>16</v>
      </c>
      <c r="H5268">
        <v>0</v>
      </c>
      <c r="I5268">
        <v>0.1</v>
      </c>
      <c r="J5268">
        <v>-2.73</v>
      </c>
      <c r="L5268">
        <v>0</v>
      </c>
      <c r="M5268">
        <v>24.1</v>
      </c>
      <c r="N5268">
        <v>0.03</v>
      </c>
      <c r="O5268" t="s">
        <v>16</v>
      </c>
    </row>
    <row r="5269" spans="1:15">
      <c r="A5269" t="str">
        <f>"920106"</f>
        <v>920106</v>
      </c>
      <c r="B5269" t="s">
        <v>5314</v>
      </c>
      <c r="C5269">
        <v>-2.66</v>
      </c>
      <c r="D5269">
        <v>41.01</v>
      </c>
      <c r="E5269" t="s">
        <v>16</v>
      </c>
      <c r="F5269" t="s">
        <v>16</v>
      </c>
      <c r="H5269">
        <v>-0.11</v>
      </c>
      <c r="I5269">
        <v>-7.26</v>
      </c>
      <c r="J5269">
        <v>-2.26</v>
      </c>
      <c r="L5269">
        <v>-0.4</v>
      </c>
      <c r="M5269">
        <v>5.87</v>
      </c>
      <c r="N5269">
        <v>0.01</v>
      </c>
      <c r="O5269">
        <v>0.27</v>
      </c>
    </row>
    <row r="5270" spans="1:15">
      <c r="A5270" t="str">
        <f>"920108"</f>
        <v>920108</v>
      </c>
      <c r="B5270" t="s">
        <v>5315</v>
      </c>
      <c r="C5270">
        <v>-1.54</v>
      </c>
      <c r="D5270">
        <v>9.59</v>
      </c>
      <c r="E5270" t="s">
        <v>16</v>
      </c>
      <c r="F5270" t="s">
        <v>16</v>
      </c>
      <c r="H5270">
        <v>-0.2</v>
      </c>
      <c r="I5270">
        <v>-1.74</v>
      </c>
      <c r="J5270">
        <v>-1.74</v>
      </c>
      <c r="L5270">
        <v>0</v>
      </c>
      <c r="M5270">
        <v>0</v>
      </c>
      <c r="N5270">
        <v>0</v>
      </c>
      <c r="O5270">
        <v>0</v>
      </c>
    </row>
    <row r="5271" spans="1:15">
      <c r="A5271" t="str">
        <f>"920110"</f>
        <v>920110</v>
      </c>
      <c r="B5271" t="s">
        <v>5316</v>
      </c>
      <c r="C5271">
        <v>-1.59</v>
      </c>
      <c r="D5271">
        <v>26.56</v>
      </c>
      <c r="E5271" t="s">
        <v>16</v>
      </c>
      <c r="F5271" t="s">
        <v>16</v>
      </c>
      <c r="H5271">
        <v>-0.4</v>
      </c>
      <c r="I5271">
        <v>0.91</v>
      </c>
      <c r="J5271">
        <v>-1.96</v>
      </c>
      <c r="L5271">
        <v>-0.19</v>
      </c>
      <c r="M5271">
        <v>0</v>
      </c>
      <c r="N5271">
        <v>0</v>
      </c>
      <c r="O5271">
        <v>0</v>
      </c>
    </row>
    <row r="5272" spans="1:15">
      <c r="A5272" t="str">
        <f>"920111"</f>
        <v>920111</v>
      </c>
      <c r="B5272" t="s">
        <v>5317</v>
      </c>
      <c r="C5272">
        <v>10.52</v>
      </c>
      <c r="D5272">
        <v>35.3</v>
      </c>
      <c r="E5272" t="s">
        <v>16</v>
      </c>
      <c r="F5272" t="s">
        <v>16</v>
      </c>
      <c r="H5272">
        <v>-0.07</v>
      </c>
      <c r="I5272">
        <v>11.04</v>
      </c>
      <c r="J5272">
        <v>-0.37</v>
      </c>
      <c r="L5272">
        <v>0.28</v>
      </c>
      <c r="M5272">
        <v>52.37</v>
      </c>
      <c r="N5272">
        <v>0.03</v>
      </c>
      <c r="O5272">
        <v>1.18</v>
      </c>
    </row>
    <row r="5273" spans="1:15">
      <c r="A5273" t="str">
        <f>"920112"</f>
        <v>920112</v>
      </c>
      <c r="B5273" t="s">
        <v>5318</v>
      </c>
      <c r="C5273">
        <v>1</v>
      </c>
      <c r="D5273">
        <v>24.34</v>
      </c>
      <c r="E5273" t="s">
        <v>16</v>
      </c>
      <c r="F5273" t="s">
        <v>16</v>
      </c>
      <c r="H5273">
        <v>0.25</v>
      </c>
      <c r="I5273">
        <v>-11.1</v>
      </c>
      <c r="J5273">
        <v>-0.04</v>
      </c>
      <c r="L5273">
        <v>-0.04</v>
      </c>
      <c r="M5273">
        <v>0.49</v>
      </c>
      <c r="N5273">
        <v>0</v>
      </c>
      <c r="O5273">
        <v>0.06</v>
      </c>
    </row>
    <row r="5274" spans="1:15">
      <c r="A5274" t="str">
        <f>"920116"</f>
        <v>920116</v>
      </c>
      <c r="B5274" t="s">
        <v>5319</v>
      </c>
      <c r="C5274">
        <v>-1.07</v>
      </c>
      <c r="D5274">
        <v>62.6</v>
      </c>
      <c r="E5274" t="s">
        <v>16</v>
      </c>
      <c r="F5274" t="s">
        <v>16</v>
      </c>
      <c r="H5274">
        <v>0.08</v>
      </c>
      <c r="I5274">
        <v>13.51</v>
      </c>
      <c r="J5274">
        <v>-3.34</v>
      </c>
      <c r="L5274">
        <v>-1.14</v>
      </c>
      <c r="M5274">
        <v>218.85</v>
      </c>
      <c r="N5274">
        <v>0.04</v>
      </c>
      <c r="O5274">
        <v>4.07</v>
      </c>
    </row>
    <row r="5275" spans="1:15">
      <c r="A5275" t="str">
        <f>"920118"</f>
        <v>920118</v>
      </c>
      <c r="B5275" t="s">
        <v>5320</v>
      </c>
      <c r="C5275">
        <v>-1.91</v>
      </c>
      <c r="D5275">
        <v>18.51</v>
      </c>
      <c r="E5275" t="s">
        <v>16</v>
      </c>
      <c r="F5275" t="s">
        <v>16</v>
      </c>
      <c r="H5275">
        <v>0.05</v>
      </c>
      <c r="I5275">
        <v>-3.49</v>
      </c>
      <c r="J5275">
        <v>-4.24</v>
      </c>
      <c r="L5275">
        <v>0</v>
      </c>
      <c r="M5275">
        <v>2.18</v>
      </c>
      <c r="N5275">
        <v>0</v>
      </c>
      <c r="O5275">
        <v>1.28</v>
      </c>
    </row>
    <row r="5276" spans="1:15">
      <c r="A5276" t="str">
        <f>"920119"</f>
        <v>920119</v>
      </c>
      <c r="B5276" t="s">
        <v>5321</v>
      </c>
      <c r="C5276">
        <v>1.17</v>
      </c>
      <c r="D5276">
        <v>52.96</v>
      </c>
      <c r="E5276" t="s">
        <v>16</v>
      </c>
      <c r="F5276" t="s">
        <v>16</v>
      </c>
      <c r="H5276">
        <v>-0.01</v>
      </c>
      <c r="I5276">
        <v>-0.45</v>
      </c>
      <c r="J5276">
        <v>-1.98</v>
      </c>
      <c r="L5276">
        <v>-0.1</v>
      </c>
      <c r="M5276">
        <v>7.43</v>
      </c>
      <c r="N5276">
        <v>0.01</v>
      </c>
      <c r="O5276">
        <v>1.29</v>
      </c>
    </row>
    <row r="5277" spans="1:15">
      <c r="A5277" t="str">
        <f>"920121"</f>
        <v>920121</v>
      </c>
      <c r="B5277" t="s">
        <v>5322</v>
      </c>
      <c r="C5277">
        <v>-0.42</v>
      </c>
      <c r="D5277">
        <v>30.93</v>
      </c>
      <c r="E5277" t="s">
        <v>16</v>
      </c>
      <c r="F5277" t="s">
        <v>16</v>
      </c>
      <c r="H5277">
        <v>-0.15</v>
      </c>
      <c r="I5277">
        <v>-5.41</v>
      </c>
      <c r="J5277">
        <v>-1.59</v>
      </c>
      <c r="L5277">
        <v>1.06</v>
      </c>
      <c r="M5277">
        <v>13.18</v>
      </c>
      <c r="N5277">
        <v>0.04</v>
      </c>
      <c r="O5277">
        <v>20.99</v>
      </c>
    </row>
    <row r="5278" spans="1:15">
      <c r="A5278" t="str">
        <f>"920122"</f>
        <v>920122</v>
      </c>
      <c r="B5278" t="s">
        <v>5323</v>
      </c>
      <c r="C5278">
        <v>2.94</v>
      </c>
      <c r="D5278">
        <v>27.28</v>
      </c>
      <c r="E5278" t="s">
        <v>16</v>
      </c>
      <c r="F5278" t="s">
        <v>16</v>
      </c>
      <c r="H5278">
        <v>0</v>
      </c>
      <c r="I5278">
        <v>26.06</v>
      </c>
      <c r="J5278">
        <v>-8.73</v>
      </c>
      <c r="K5278" t="s">
        <v>54</v>
      </c>
      <c r="L5278">
        <v>1.85</v>
      </c>
      <c r="M5278">
        <v>576.75</v>
      </c>
      <c r="N5278">
        <v>1.13</v>
      </c>
      <c r="O5278" t="s">
        <v>16</v>
      </c>
    </row>
    <row r="5279" spans="1:15">
      <c r="A5279" t="str">
        <f>"920123"</f>
        <v>920123</v>
      </c>
      <c r="B5279" t="s">
        <v>5324</v>
      </c>
      <c r="C5279">
        <v>-3.16</v>
      </c>
      <c r="D5279">
        <v>10.12</v>
      </c>
      <c r="E5279" t="s">
        <v>16</v>
      </c>
      <c r="F5279" t="s">
        <v>16</v>
      </c>
      <c r="H5279">
        <v>-0.29</v>
      </c>
      <c r="I5279">
        <v>-5.24</v>
      </c>
      <c r="J5279">
        <v>-3.53</v>
      </c>
      <c r="L5279">
        <v>-0.77</v>
      </c>
      <c r="M5279">
        <v>0</v>
      </c>
      <c r="N5279">
        <v>0</v>
      </c>
      <c r="O5279" t="s">
        <v>16</v>
      </c>
    </row>
    <row r="5280" spans="1:15">
      <c r="A5280" t="str">
        <f>"920124"</f>
        <v>920124</v>
      </c>
      <c r="B5280" t="s">
        <v>5325</v>
      </c>
      <c r="C5280">
        <v>-3.29</v>
      </c>
      <c r="D5280">
        <v>14.09</v>
      </c>
      <c r="E5280" t="s">
        <v>16</v>
      </c>
      <c r="F5280" t="s">
        <v>16</v>
      </c>
      <c r="H5280">
        <v>0</v>
      </c>
      <c r="I5280">
        <v>-4.28</v>
      </c>
      <c r="J5280">
        <v>-3.76</v>
      </c>
      <c r="L5280">
        <v>0.21</v>
      </c>
      <c r="M5280">
        <v>0.58</v>
      </c>
      <c r="N5280">
        <v>0</v>
      </c>
      <c r="O5280">
        <v>3.97</v>
      </c>
    </row>
    <row r="5281" spans="1:15">
      <c r="A5281" t="str">
        <f>"920125"</f>
        <v>920125</v>
      </c>
      <c r="B5281" t="s">
        <v>5326</v>
      </c>
      <c r="C5281">
        <v>9.28</v>
      </c>
      <c r="D5281">
        <v>239</v>
      </c>
      <c r="E5281" t="s">
        <v>16</v>
      </c>
      <c r="F5281" t="s">
        <v>16</v>
      </c>
      <c r="H5281">
        <v>-0.41</v>
      </c>
      <c r="I5281">
        <v>25.07</v>
      </c>
      <c r="J5281">
        <v>-4.32</v>
      </c>
      <c r="L5281">
        <v>-1.2</v>
      </c>
      <c r="M5281">
        <v>454.83</v>
      </c>
      <c r="N5281">
        <v>0.13</v>
      </c>
      <c r="O5281">
        <v>0.66</v>
      </c>
    </row>
    <row r="5282" spans="1:15">
      <c r="A5282" t="str">
        <f>"920126"</f>
        <v>920126</v>
      </c>
      <c r="B5282" t="s">
        <v>5327</v>
      </c>
      <c r="C5282">
        <v>0.24</v>
      </c>
      <c r="D5282">
        <v>16.75</v>
      </c>
      <c r="E5282" t="s">
        <v>16</v>
      </c>
      <c r="F5282" t="s">
        <v>16</v>
      </c>
      <c r="H5282">
        <v>0.24</v>
      </c>
      <c r="I5282">
        <v>115.02</v>
      </c>
      <c r="J5282">
        <v>-2.95</v>
      </c>
      <c r="L5282">
        <v>-4.55</v>
      </c>
      <c r="M5282">
        <v>497.08</v>
      </c>
      <c r="N5282">
        <v>0.7</v>
      </c>
      <c r="O5282">
        <v>0.61</v>
      </c>
    </row>
    <row r="5283" spans="1:15">
      <c r="A5283" t="str">
        <f>"920128"</f>
        <v>920128</v>
      </c>
      <c r="B5283" t="s">
        <v>5328</v>
      </c>
      <c r="C5283">
        <v>-3.67</v>
      </c>
      <c r="D5283">
        <v>25.73</v>
      </c>
      <c r="E5283" t="s">
        <v>16</v>
      </c>
      <c r="F5283" t="s">
        <v>16</v>
      </c>
      <c r="H5283">
        <v>0.23</v>
      </c>
      <c r="I5283">
        <v>-27.48</v>
      </c>
      <c r="J5283">
        <v>-4.67</v>
      </c>
      <c r="L5283">
        <v>-1.46</v>
      </c>
      <c r="M5283">
        <v>73.96</v>
      </c>
      <c r="N5283">
        <v>0.12</v>
      </c>
      <c r="O5283">
        <v>0.94</v>
      </c>
    </row>
    <row r="5284" spans="1:15">
      <c r="A5284" t="str">
        <f>"920130"</f>
        <v>920130</v>
      </c>
      <c r="B5284" t="s">
        <v>5329</v>
      </c>
      <c r="C5284">
        <v>-0.53</v>
      </c>
      <c r="D5284">
        <v>15.15</v>
      </c>
      <c r="E5284" t="s">
        <v>16</v>
      </c>
      <c r="F5284" t="s">
        <v>16</v>
      </c>
      <c r="H5284">
        <v>-0.06</v>
      </c>
      <c r="I5284">
        <v>-6.25</v>
      </c>
      <c r="J5284">
        <v>-5.25</v>
      </c>
      <c r="L5284">
        <v>-0.2</v>
      </c>
      <c r="M5284">
        <v>1.66</v>
      </c>
      <c r="N5284">
        <v>0</v>
      </c>
      <c r="O5284" t="s">
        <v>16</v>
      </c>
    </row>
    <row r="5285" spans="1:15">
      <c r="A5285" t="str">
        <f>"920132"</f>
        <v>920132</v>
      </c>
      <c r="B5285" t="s">
        <v>5330</v>
      </c>
      <c r="C5285">
        <v>-3.74</v>
      </c>
      <c r="D5285">
        <v>10.81</v>
      </c>
      <c r="E5285" t="s">
        <v>16</v>
      </c>
      <c r="F5285" t="s">
        <v>16</v>
      </c>
      <c r="H5285">
        <v>-1.18</v>
      </c>
      <c r="I5285">
        <v>-6.57</v>
      </c>
      <c r="J5285">
        <v>-4.17</v>
      </c>
      <c r="L5285">
        <v>0</v>
      </c>
      <c r="M5285">
        <v>0.56</v>
      </c>
      <c r="N5285">
        <v>0</v>
      </c>
      <c r="O5285" t="s">
        <v>16</v>
      </c>
    </row>
    <row r="5286" spans="1:15">
      <c r="A5286" t="str">
        <f>"920139"</f>
        <v>920139</v>
      </c>
      <c r="B5286" t="s">
        <v>5331</v>
      </c>
      <c r="C5286">
        <v>-3.56</v>
      </c>
      <c r="D5286">
        <v>16.8</v>
      </c>
      <c r="E5286" t="s">
        <v>16</v>
      </c>
      <c r="F5286" t="s">
        <v>16</v>
      </c>
      <c r="H5286">
        <v>0</v>
      </c>
      <c r="I5286">
        <v>-5.67</v>
      </c>
      <c r="J5286">
        <v>-4</v>
      </c>
      <c r="L5286">
        <v>-0.29</v>
      </c>
      <c r="M5286">
        <v>20.57</v>
      </c>
      <c r="N5286">
        <v>0.01</v>
      </c>
      <c r="O5286">
        <v>0.31</v>
      </c>
    </row>
    <row r="5287" spans="1:15">
      <c r="A5287" t="str">
        <f>"920145"</f>
        <v>920145</v>
      </c>
      <c r="B5287" t="s">
        <v>5332</v>
      </c>
      <c r="C5287">
        <v>-3.35</v>
      </c>
      <c r="D5287">
        <v>10.67</v>
      </c>
      <c r="E5287" t="s">
        <v>16</v>
      </c>
      <c r="F5287" t="s">
        <v>16</v>
      </c>
      <c r="H5287">
        <v>-0.36</v>
      </c>
      <c r="I5287">
        <v>-13.46</v>
      </c>
      <c r="J5287">
        <v>-4.13</v>
      </c>
      <c r="L5287">
        <v>0.82</v>
      </c>
      <c r="M5287">
        <v>0.11</v>
      </c>
      <c r="N5287">
        <v>0</v>
      </c>
      <c r="O5287" t="s">
        <v>16</v>
      </c>
    </row>
    <row r="5288" spans="1:15">
      <c r="A5288" t="str">
        <f>"920146"</f>
        <v>920146</v>
      </c>
      <c r="B5288" t="s">
        <v>5333</v>
      </c>
      <c r="C5288">
        <v>-3.99</v>
      </c>
      <c r="D5288">
        <v>5.3</v>
      </c>
      <c r="E5288" t="s">
        <v>16</v>
      </c>
      <c r="F5288" t="s">
        <v>16</v>
      </c>
      <c r="H5288">
        <v>0.57</v>
      </c>
      <c r="I5288">
        <v>-7.34</v>
      </c>
      <c r="J5288">
        <v>-4.33</v>
      </c>
      <c r="L5288">
        <v>0.18</v>
      </c>
      <c r="M5288">
        <v>1.27</v>
      </c>
      <c r="N5288">
        <v>0</v>
      </c>
      <c r="O5288" t="s">
        <v>16</v>
      </c>
    </row>
    <row r="5289" spans="1:15">
      <c r="A5289" t="str">
        <f>"920149"</f>
        <v>920149</v>
      </c>
      <c r="B5289" t="s">
        <v>5334</v>
      </c>
      <c r="C5289">
        <v>-3.73</v>
      </c>
      <c r="D5289">
        <v>8</v>
      </c>
      <c r="E5289" t="s">
        <v>16</v>
      </c>
      <c r="F5289" t="s">
        <v>16</v>
      </c>
      <c r="H5289">
        <v>1.27</v>
      </c>
      <c r="I5289">
        <v>-6.98</v>
      </c>
      <c r="J5289">
        <v>-3.5</v>
      </c>
      <c r="L5289">
        <v>-0.24</v>
      </c>
      <c r="M5289">
        <v>0.22</v>
      </c>
      <c r="N5289">
        <v>0</v>
      </c>
      <c r="O5289" t="s">
        <v>16</v>
      </c>
    </row>
    <row r="5290" spans="1:15">
      <c r="A5290" t="str">
        <f>"920152"</f>
        <v>920152</v>
      </c>
      <c r="B5290" t="s">
        <v>5335</v>
      </c>
      <c r="C5290">
        <v>-6.75</v>
      </c>
      <c r="D5290">
        <v>18.8</v>
      </c>
      <c r="E5290" t="s">
        <v>16</v>
      </c>
      <c r="F5290" t="s">
        <v>16</v>
      </c>
      <c r="H5290">
        <v>-0.31</v>
      </c>
      <c r="I5290">
        <v>-15.01</v>
      </c>
      <c r="J5290">
        <v>-6</v>
      </c>
      <c r="L5290">
        <v>-0.79</v>
      </c>
      <c r="M5290">
        <v>7.95</v>
      </c>
      <c r="N5290">
        <v>0.01</v>
      </c>
      <c r="O5290">
        <v>0.15</v>
      </c>
    </row>
    <row r="5291" spans="1:15">
      <c r="A5291" t="str">
        <f>"920156"</f>
        <v>920156</v>
      </c>
      <c r="B5291" t="s">
        <v>5336</v>
      </c>
      <c r="C5291">
        <v>3.1</v>
      </c>
      <c r="D5291">
        <v>54.6</v>
      </c>
      <c r="E5291" t="s">
        <v>16</v>
      </c>
      <c r="F5291" t="s">
        <v>16</v>
      </c>
      <c r="H5291">
        <v>0.04</v>
      </c>
      <c r="I5291">
        <v>-8.39</v>
      </c>
      <c r="J5291">
        <v>-0.58</v>
      </c>
      <c r="L5291">
        <v>0.23</v>
      </c>
      <c r="M5291">
        <v>38.81</v>
      </c>
      <c r="N5291">
        <v>0.03</v>
      </c>
      <c r="O5291">
        <v>2.81</v>
      </c>
    </row>
    <row r="5292" spans="1:15">
      <c r="A5292" t="str">
        <f>"920158"</f>
        <v>920158</v>
      </c>
      <c r="B5292" t="s">
        <v>5337</v>
      </c>
      <c r="C5292">
        <v>-3.32</v>
      </c>
      <c r="D5292">
        <v>9.02</v>
      </c>
      <c r="E5292" t="s">
        <v>16</v>
      </c>
      <c r="F5292" t="s">
        <v>16</v>
      </c>
      <c r="H5292">
        <v>-0.1</v>
      </c>
      <c r="I5292">
        <v>-4.55</v>
      </c>
      <c r="J5292">
        <v>-3.32</v>
      </c>
      <c r="L5292">
        <v>-0.11</v>
      </c>
      <c r="M5292">
        <v>0.09</v>
      </c>
      <c r="N5292">
        <v>0</v>
      </c>
      <c r="O5292">
        <v>0</v>
      </c>
    </row>
    <row r="5293" spans="1:15">
      <c r="A5293" t="str">
        <f>"920159"</f>
        <v>920159</v>
      </c>
      <c r="B5293" t="s">
        <v>5338</v>
      </c>
      <c r="C5293">
        <v>-3.39</v>
      </c>
      <c r="D5293">
        <v>30.48</v>
      </c>
      <c r="E5293" t="s">
        <v>16</v>
      </c>
      <c r="F5293" t="s">
        <v>16</v>
      </c>
      <c r="H5293">
        <v>0.07</v>
      </c>
      <c r="I5293">
        <v>-8.61</v>
      </c>
      <c r="J5293">
        <v>-3.54</v>
      </c>
      <c r="L5293">
        <v>-0.06</v>
      </c>
      <c r="M5293">
        <v>0.63</v>
      </c>
      <c r="N5293">
        <v>0</v>
      </c>
      <c r="O5293">
        <v>0.4</v>
      </c>
    </row>
    <row r="5294" spans="1:15">
      <c r="A5294" t="str">
        <f>"920160"</f>
        <v>920160</v>
      </c>
      <c r="B5294" t="s">
        <v>5339</v>
      </c>
      <c r="C5294">
        <v>-2.96</v>
      </c>
      <c r="D5294">
        <v>20.97</v>
      </c>
      <c r="E5294" t="s">
        <v>16</v>
      </c>
      <c r="F5294" t="s">
        <v>16</v>
      </c>
      <c r="H5294">
        <v>-0.32</v>
      </c>
      <c r="I5294">
        <v>2.54</v>
      </c>
      <c r="J5294">
        <v>-2.37</v>
      </c>
      <c r="L5294">
        <v>-1.67</v>
      </c>
      <c r="M5294">
        <v>59.17</v>
      </c>
      <c r="N5294">
        <v>0.11</v>
      </c>
      <c r="O5294">
        <v>55.69</v>
      </c>
    </row>
    <row r="5295" spans="1:15">
      <c r="A5295" t="str">
        <f>"920161"</f>
        <v>920161</v>
      </c>
      <c r="B5295" t="s">
        <v>5340</v>
      </c>
      <c r="C5295">
        <v>2.72</v>
      </c>
      <c r="D5295">
        <v>43.48</v>
      </c>
      <c r="E5295" t="s">
        <v>16</v>
      </c>
      <c r="F5295" t="s">
        <v>16</v>
      </c>
      <c r="H5295">
        <v>0.09</v>
      </c>
      <c r="I5295">
        <v>-24</v>
      </c>
      <c r="J5295">
        <v>-2.73</v>
      </c>
      <c r="L5295">
        <v>-0.26</v>
      </c>
      <c r="M5295">
        <v>271.28</v>
      </c>
      <c r="N5295">
        <v>0.17</v>
      </c>
      <c r="O5295">
        <v>0.87</v>
      </c>
    </row>
    <row r="5296" spans="1:15">
      <c r="A5296" t="str">
        <f>"920163"</f>
        <v>920163</v>
      </c>
      <c r="B5296" t="s">
        <v>5341</v>
      </c>
      <c r="C5296">
        <v>-4.27</v>
      </c>
      <c r="D5296">
        <v>9.86</v>
      </c>
      <c r="E5296" t="s">
        <v>16</v>
      </c>
      <c r="F5296" t="s">
        <v>16</v>
      </c>
      <c r="H5296">
        <v>-0.19</v>
      </c>
      <c r="I5296">
        <v>-4.27</v>
      </c>
      <c r="J5296">
        <v>-3.9</v>
      </c>
      <c r="L5296">
        <v>-0.39</v>
      </c>
      <c r="M5296">
        <v>2.98</v>
      </c>
      <c r="N5296">
        <v>0.01</v>
      </c>
      <c r="O5296" t="s">
        <v>16</v>
      </c>
    </row>
    <row r="5297" spans="1:15">
      <c r="A5297" t="str">
        <f>"920166"</f>
        <v>920166</v>
      </c>
      <c r="B5297" t="s">
        <v>5342</v>
      </c>
      <c r="C5297">
        <v>-1.57</v>
      </c>
      <c r="D5297">
        <v>22.58</v>
      </c>
      <c r="E5297" t="s">
        <v>16</v>
      </c>
      <c r="F5297" t="s">
        <v>16</v>
      </c>
      <c r="H5297">
        <v>0.04</v>
      </c>
      <c r="I5297">
        <v>2.4</v>
      </c>
      <c r="J5297">
        <v>-2.67</v>
      </c>
      <c r="L5297">
        <v>-0.39</v>
      </c>
      <c r="M5297">
        <v>9.37</v>
      </c>
      <c r="N5297">
        <v>0.02</v>
      </c>
      <c r="O5297">
        <v>0.52</v>
      </c>
    </row>
    <row r="5298" spans="1:15">
      <c r="A5298" t="str">
        <f>"920167"</f>
        <v>920167</v>
      </c>
      <c r="B5298" t="s">
        <v>5343</v>
      </c>
      <c r="C5298">
        <v>-1.56</v>
      </c>
      <c r="D5298">
        <v>18.29</v>
      </c>
      <c r="E5298" t="s">
        <v>16</v>
      </c>
      <c r="F5298" t="s">
        <v>16</v>
      </c>
      <c r="H5298">
        <v>-0.15</v>
      </c>
      <c r="I5298">
        <v>-0.33</v>
      </c>
      <c r="J5298">
        <v>-2.56</v>
      </c>
      <c r="L5298">
        <v>-0.86</v>
      </c>
      <c r="M5298">
        <v>117.46</v>
      </c>
      <c r="N5298">
        <v>0.18</v>
      </c>
      <c r="O5298">
        <v>1.97</v>
      </c>
    </row>
    <row r="5299" spans="1:15">
      <c r="A5299" t="str">
        <f>"920168"</f>
        <v>920168</v>
      </c>
      <c r="B5299" t="s">
        <v>5344</v>
      </c>
      <c r="C5299">
        <v>-2.04</v>
      </c>
      <c r="D5299">
        <v>17.33</v>
      </c>
      <c r="E5299" t="s">
        <v>16</v>
      </c>
      <c r="F5299" t="s">
        <v>16</v>
      </c>
      <c r="H5299">
        <v>-0.28</v>
      </c>
      <c r="I5299">
        <v>-6.63</v>
      </c>
      <c r="J5299">
        <v>-2.31</v>
      </c>
      <c r="L5299">
        <v>-0.17</v>
      </c>
      <c r="M5299">
        <v>5.89</v>
      </c>
      <c r="N5299">
        <v>0.01</v>
      </c>
      <c r="O5299">
        <v>6.67</v>
      </c>
    </row>
    <row r="5300" spans="1:15">
      <c r="A5300" t="str">
        <f>"920169"</f>
        <v>920169</v>
      </c>
      <c r="B5300" t="s">
        <v>5345</v>
      </c>
      <c r="C5300">
        <v>-3.51</v>
      </c>
      <c r="D5300">
        <v>23.63</v>
      </c>
      <c r="E5300" t="s">
        <v>16</v>
      </c>
      <c r="F5300" t="s">
        <v>16</v>
      </c>
      <c r="H5300">
        <v>-0.33</v>
      </c>
      <c r="I5300">
        <v>2.52</v>
      </c>
      <c r="J5300">
        <v>-3.83</v>
      </c>
      <c r="L5300">
        <v>-0.61</v>
      </c>
      <c r="M5300">
        <v>57.34</v>
      </c>
      <c r="N5300">
        <v>0.07</v>
      </c>
      <c r="O5300">
        <v>1.17</v>
      </c>
    </row>
    <row r="5301" spans="1:15">
      <c r="A5301" t="str">
        <f>"920171"</f>
        <v>920171</v>
      </c>
      <c r="B5301" t="s">
        <v>5346</v>
      </c>
      <c r="C5301">
        <v>-3.51</v>
      </c>
      <c r="D5301">
        <v>18.43</v>
      </c>
      <c r="E5301" t="s">
        <v>16</v>
      </c>
      <c r="F5301" t="s">
        <v>16</v>
      </c>
      <c r="H5301">
        <v>-0.26</v>
      </c>
      <c r="I5301">
        <v>-5.54</v>
      </c>
      <c r="J5301">
        <v>-3.96</v>
      </c>
      <c r="L5301">
        <v>-0.21</v>
      </c>
      <c r="M5301">
        <v>11.41</v>
      </c>
      <c r="N5301">
        <v>0.01</v>
      </c>
      <c r="O5301">
        <v>0.45</v>
      </c>
    </row>
    <row r="5302" spans="1:15">
      <c r="A5302" t="str">
        <f>"920174"</f>
        <v>920174</v>
      </c>
      <c r="B5302" t="s">
        <v>5347</v>
      </c>
      <c r="C5302">
        <v>-3.83</v>
      </c>
      <c r="D5302">
        <v>34.14</v>
      </c>
      <c r="E5302" t="s">
        <v>16</v>
      </c>
      <c r="F5302" t="s">
        <v>16</v>
      </c>
      <c r="H5302">
        <v>-0.37</v>
      </c>
      <c r="I5302">
        <v>-3.91</v>
      </c>
      <c r="J5302">
        <v>-4.69</v>
      </c>
      <c r="L5302">
        <v>0.85</v>
      </c>
      <c r="M5302">
        <v>8.59</v>
      </c>
      <c r="N5302">
        <v>0</v>
      </c>
      <c r="O5302">
        <v>1.85</v>
      </c>
    </row>
    <row r="5303" spans="1:15">
      <c r="A5303" t="str">
        <f>"920175"</f>
        <v>920175</v>
      </c>
      <c r="B5303" t="s">
        <v>5348</v>
      </c>
      <c r="C5303">
        <v>-6.21</v>
      </c>
      <c r="D5303">
        <v>9.52</v>
      </c>
      <c r="E5303" t="s">
        <v>16</v>
      </c>
      <c r="F5303" t="s">
        <v>16</v>
      </c>
      <c r="H5303">
        <v>0.74</v>
      </c>
      <c r="I5303">
        <v>-4.23</v>
      </c>
      <c r="J5303">
        <v>-5.37</v>
      </c>
      <c r="L5303">
        <v>-1.77</v>
      </c>
      <c r="M5303">
        <v>56.61</v>
      </c>
      <c r="N5303">
        <v>0.09</v>
      </c>
      <c r="O5303">
        <v>2.04</v>
      </c>
    </row>
    <row r="5304" spans="1:15">
      <c r="A5304" t="str">
        <f>"920177"</f>
        <v>920177</v>
      </c>
      <c r="B5304" t="s">
        <v>5349</v>
      </c>
      <c r="C5304">
        <v>2.35</v>
      </c>
      <c r="D5304">
        <v>29.21</v>
      </c>
      <c r="E5304" t="s">
        <v>16</v>
      </c>
      <c r="F5304" t="s">
        <v>16</v>
      </c>
      <c r="H5304">
        <v>0.1</v>
      </c>
      <c r="I5304">
        <v>-7.27</v>
      </c>
      <c r="J5304">
        <v>-0.78</v>
      </c>
      <c r="L5304">
        <v>-0.25</v>
      </c>
      <c r="M5304">
        <v>0.28</v>
      </c>
      <c r="N5304">
        <v>0</v>
      </c>
      <c r="O5304">
        <v>0.1</v>
      </c>
    </row>
    <row r="5305" spans="1:15">
      <c r="A5305" t="str">
        <f>"920178"</f>
        <v>920178</v>
      </c>
      <c r="B5305" t="s">
        <v>5350</v>
      </c>
      <c r="C5305">
        <v>3.2</v>
      </c>
      <c r="D5305">
        <v>155</v>
      </c>
      <c r="E5305" t="s">
        <v>16</v>
      </c>
      <c r="F5305" t="s">
        <v>16</v>
      </c>
      <c r="H5305">
        <v>0.63</v>
      </c>
      <c r="I5305">
        <v>10.32</v>
      </c>
      <c r="J5305">
        <v>-4.66</v>
      </c>
      <c r="L5305">
        <v>-7.47</v>
      </c>
      <c r="M5305">
        <v>1523.86</v>
      </c>
      <c r="N5305">
        <v>0.75</v>
      </c>
      <c r="O5305">
        <v>1.06</v>
      </c>
    </row>
    <row r="5306" spans="1:15">
      <c r="A5306" t="str">
        <f>"920179"</f>
        <v>920179</v>
      </c>
      <c r="B5306" t="s">
        <v>5351</v>
      </c>
      <c r="C5306">
        <v>1.85</v>
      </c>
      <c r="D5306">
        <v>77.7</v>
      </c>
      <c r="E5306" t="s">
        <v>16</v>
      </c>
      <c r="F5306" t="s">
        <v>16</v>
      </c>
      <c r="H5306">
        <v>-0.84</v>
      </c>
      <c r="I5306">
        <v>12.28</v>
      </c>
      <c r="J5306">
        <v>-3.93</v>
      </c>
      <c r="L5306">
        <v>-0.97</v>
      </c>
      <c r="M5306">
        <v>132.49</v>
      </c>
      <c r="N5306">
        <v>0.04</v>
      </c>
      <c r="O5306">
        <v>0.15</v>
      </c>
    </row>
    <row r="5307" spans="1:15">
      <c r="A5307" t="str">
        <f>"920180"</f>
        <v>920180</v>
      </c>
      <c r="B5307" t="s">
        <v>5352</v>
      </c>
      <c r="C5307">
        <v>0.31</v>
      </c>
      <c r="D5307">
        <v>13.12</v>
      </c>
      <c r="E5307" t="s">
        <v>16</v>
      </c>
      <c r="F5307" t="s">
        <v>16</v>
      </c>
      <c r="H5307">
        <v>0.23</v>
      </c>
      <c r="I5307">
        <v>-4.72</v>
      </c>
      <c r="J5307">
        <v>-0.53</v>
      </c>
      <c r="L5307">
        <v>0.15</v>
      </c>
      <c r="M5307">
        <v>0</v>
      </c>
      <c r="N5307">
        <v>0</v>
      </c>
      <c r="O5307">
        <v>0</v>
      </c>
    </row>
    <row r="5308" spans="1:15">
      <c r="A5308" t="str">
        <f>"920181"</f>
        <v>920181</v>
      </c>
      <c r="B5308" t="s">
        <v>5353</v>
      </c>
      <c r="C5308">
        <v>7.38</v>
      </c>
      <c r="D5308">
        <v>105.45</v>
      </c>
      <c r="E5308" t="s">
        <v>16</v>
      </c>
      <c r="F5308" t="s">
        <v>16</v>
      </c>
      <c r="H5308">
        <v>0.62</v>
      </c>
      <c r="I5308">
        <v>-1.78</v>
      </c>
      <c r="J5308">
        <v>-2.07</v>
      </c>
      <c r="L5308">
        <v>0.7</v>
      </c>
      <c r="M5308">
        <v>134.22</v>
      </c>
      <c r="N5308">
        <v>0.14</v>
      </c>
      <c r="O5308">
        <v>1.97</v>
      </c>
    </row>
    <row r="5309" spans="1:15">
      <c r="A5309" t="str">
        <f>"920183"</f>
        <v>920183</v>
      </c>
      <c r="B5309" t="s">
        <v>5354</v>
      </c>
      <c r="C5309">
        <v>-2.33</v>
      </c>
      <c r="D5309">
        <v>33.6</v>
      </c>
      <c r="E5309" t="s">
        <v>16</v>
      </c>
      <c r="F5309" t="s">
        <v>16</v>
      </c>
      <c r="H5309">
        <v>-0.38</v>
      </c>
      <c r="I5309">
        <v>-10.4</v>
      </c>
      <c r="J5309">
        <v>-2.89</v>
      </c>
      <c r="L5309">
        <v>0.58</v>
      </c>
      <c r="M5309">
        <v>0.88</v>
      </c>
      <c r="N5309">
        <v>0</v>
      </c>
      <c r="O5309">
        <v>0.25</v>
      </c>
    </row>
    <row r="5310" spans="1:15">
      <c r="A5310" t="str">
        <f>"920184"</f>
        <v>920184</v>
      </c>
      <c r="B5310" t="s">
        <v>5355</v>
      </c>
      <c r="C5310">
        <v>-3.6</v>
      </c>
      <c r="D5310">
        <v>11.26</v>
      </c>
      <c r="E5310" t="s">
        <v>16</v>
      </c>
      <c r="F5310" t="s">
        <v>16</v>
      </c>
      <c r="H5310">
        <v>-0.08</v>
      </c>
      <c r="I5310">
        <v>-8.83</v>
      </c>
      <c r="J5310">
        <v>-3.01</v>
      </c>
      <c r="L5310">
        <v>-0.68</v>
      </c>
      <c r="M5310">
        <v>2.19</v>
      </c>
      <c r="N5310">
        <v>0</v>
      </c>
      <c r="O5310">
        <v>0.26</v>
      </c>
    </row>
    <row r="5311" spans="1:15">
      <c r="A5311" t="str">
        <f>"920185"</f>
        <v>920185</v>
      </c>
      <c r="B5311" t="s">
        <v>5356</v>
      </c>
      <c r="C5311">
        <v>-2.47</v>
      </c>
      <c r="D5311">
        <v>26.51</v>
      </c>
      <c r="E5311" t="s">
        <v>16</v>
      </c>
      <c r="F5311" t="s">
        <v>16</v>
      </c>
      <c r="H5311">
        <v>-0.07</v>
      </c>
      <c r="I5311">
        <v>1.88</v>
      </c>
      <c r="J5311">
        <v>-3.07</v>
      </c>
      <c r="L5311">
        <v>0.63</v>
      </c>
      <c r="M5311">
        <v>17.33</v>
      </c>
      <c r="N5311">
        <v>0</v>
      </c>
      <c r="O5311">
        <v>0.31</v>
      </c>
    </row>
    <row r="5312" spans="1:15">
      <c r="A5312" t="str">
        <f>"920186"</f>
        <v>920186</v>
      </c>
      <c r="B5312" t="s">
        <v>5357</v>
      </c>
      <c r="C5312">
        <v>2.57</v>
      </c>
      <c r="D5312">
        <v>96.81</v>
      </c>
      <c r="E5312" t="s">
        <v>16</v>
      </c>
      <c r="F5312" t="s">
        <v>16</v>
      </c>
      <c r="H5312">
        <v>-0.15</v>
      </c>
      <c r="I5312">
        <v>5.86</v>
      </c>
      <c r="J5312">
        <v>-2.88</v>
      </c>
      <c r="L5312">
        <v>-0.72</v>
      </c>
      <c r="M5312">
        <v>656.26</v>
      </c>
      <c r="N5312">
        <v>0.06</v>
      </c>
      <c r="O5312">
        <v>0.66</v>
      </c>
    </row>
    <row r="5313" spans="1:15">
      <c r="A5313" t="str">
        <f>"920187"</f>
        <v>920187</v>
      </c>
      <c r="B5313" t="s">
        <v>5358</v>
      </c>
      <c r="C5313">
        <v>-0.84</v>
      </c>
      <c r="D5313">
        <v>20.08</v>
      </c>
      <c r="E5313" t="s">
        <v>16</v>
      </c>
      <c r="F5313" t="s">
        <v>16</v>
      </c>
      <c r="H5313">
        <v>1.31</v>
      </c>
      <c r="I5313">
        <v>-6.56</v>
      </c>
      <c r="J5313">
        <v>-1.76</v>
      </c>
      <c r="L5313">
        <v>-0.64</v>
      </c>
      <c r="M5313">
        <v>40.24</v>
      </c>
      <c r="N5313">
        <v>0.06</v>
      </c>
      <c r="O5313" t="s">
        <v>16</v>
      </c>
    </row>
    <row r="5314" spans="1:15">
      <c r="A5314" t="str">
        <f>"920188"</f>
        <v>920188</v>
      </c>
      <c r="B5314" t="s">
        <v>5359</v>
      </c>
      <c r="C5314">
        <v>-0.51</v>
      </c>
      <c r="D5314">
        <v>25.18</v>
      </c>
      <c r="E5314" t="s">
        <v>16</v>
      </c>
      <c r="F5314" t="s">
        <v>16</v>
      </c>
      <c r="H5314">
        <v>0.12</v>
      </c>
      <c r="I5314">
        <v>-1.41</v>
      </c>
      <c r="J5314">
        <v>-1.64</v>
      </c>
      <c r="L5314">
        <v>-1.22</v>
      </c>
      <c r="M5314">
        <v>78.46</v>
      </c>
      <c r="N5314">
        <v>0.16</v>
      </c>
      <c r="O5314">
        <v>6.15</v>
      </c>
    </row>
    <row r="5315" spans="1:15">
      <c r="A5315" t="str">
        <f>"920190"</f>
        <v>920190</v>
      </c>
      <c r="B5315" t="s">
        <v>5360</v>
      </c>
      <c r="C5315">
        <v>-1.64</v>
      </c>
      <c r="D5315">
        <v>24.61</v>
      </c>
      <c r="E5315" t="s">
        <v>16</v>
      </c>
      <c r="F5315" t="s">
        <v>16</v>
      </c>
      <c r="H5315">
        <v>0.12</v>
      </c>
      <c r="I5315">
        <v>-22.9</v>
      </c>
      <c r="J5315">
        <v>-3.57</v>
      </c>
      <c r="L5315">
        <v>0.84</v>
      </c>
      <c r="M5315">
        <v>105.1</v>
      </c>
      <c r="N5315">
        <v>0.08</v>
      </c>
      <c r="O5315">
        <v>0.7</v>
      </c>
    </row>
    <row r="5316" spans="1:15">
      <c r="A5316" t="str">
        <f>"920191"</f>
        <v>920191</v>
      </c>
      <c r="B5316" t="s">
        <v>5361</v>
      </c>
      <c r="C5316">
        <v>-3.57</v>
      </c>
      <c r="D5316">
        <v>10.53</v>
      </c>
      <c r="E5316" t="s">
        <v>16</v>
      </c>
      <c r="F5316" t="s">
        <v>16</v>
      </c>
      <c r="H5316">
        <v>-0.56</v>
      </c>
      <c r="I5316">
        <v>-5.14</v>
      </c>
      <c r="J5316">
        <v>-3.75</v>
      </c>
      <c r="L5316">
        <v>-0.37</v>
      </c>
      <c r="M5316">
        <v>13.27</v>
      </c>
      <c r="N5316">
        <v>0.03</v>
      </c>
      <c r="O5316">
        <v>3.13</v>
      </c>
    </row>
    <row r="5317" spans="1:15">
      <c r="A5317" t="str">
        <f>"920195"</f>
        <v>920195</v>
      </c>
      <c r="B5317" t="s">
        <v>5362</v>
      </c>
      <c r="C5317">
        <v>-4.55</v>
      </c>
      <c r="D5317">
        <v>12.8</v>
      </c>
      <c r="E5317" t="s">
        <v>16</v>
      </c>
      <c r="F5317" t="s">
        <v>16</v>
      </c>
      <c r="H5317">
        <v>0</v>
      </c>
      <c r="I5317">
        <v>-7.31</v>
      </c>
      <c r="J5317">
        <v>-4.62</v>
      </c>
      <c r="L5317">
        <v>-0.45</v>
      </c>
      <c r="M5317">
        <v>0</v>
      </c>
      <c r="N5317">
        <v>0</v>
      </c>
      <c r="O5317">
        <v>0</v>
      </c>
    </row>
    <row r="5318" spans="1:15">
      <c r="A5318" t="str">
        <f>"920198"</f>
        <v>920198</v>
      </c>
      <c r="B5318" t="s">
        <v>5363</v>
      </c>
      <c r="C5318">
        <v>-3.36</v>
      </c>
      <c r="D5318">
        <v>7.47</v>
      </c>
      <c r="E5318" t="s">
        <v>16</v>
      </c>
      <c r="F5318" t="s">
        <v>16</v>
      </c>
      <c r="H5318">
        <v>-0.26</v>
      </c>
      <c r="I5318">
        <v>-7.43</v>
      </c>
      <c r="J5318">
        <v>-2.86</v>
      </c>
      <c r="L5318">
        <v>-0.91</v>
      </c>
      <c r="M5318">
        <v>6.12</v>
      </c>
      <c r="N5318">
        <v>0.01</v>
      </c>
      <c r="O5318">
        <v>1.48</v>
      </c>
    </row>
    <row r="5319" spans="1:15">
      <c r="A5319" t="str">
        <f>"920199"</f>
        <v>920199</v>
      </c>
      <c r="B5319" t="s">
        <v>5364</v>
      </c>
      <c r="C5319">
        <v>-0.68</v>
      </c>
      <c r="D5319">
        <v>23.22</v>
      </c>
      <c r="E5319" t="s">
        <v>16</v>
      </c>
      <c r="F5319" t="s">
        <v>16</v>
      </c>
      <c r="H5319">
        <v>0.39</v>
      </c>
      <c r="I5319">
        <v>-6.93</v>
      </c>
      <c r="J5319">
        <v>-7.16</v>
      </c>
      <c r="L5319">
        <v>0.94</v>
      </c>
      <c r="M5319">
        <v>12.98</v>
      </c>
      <c r="N5319">
        <v>0.03</v>
      </c>
      <c r="O5319">
        <v>55</v>
      </c>
    </row>
    <row r="5320" spans="1:15">
      <c r="A5320" t="str">
        <f>"920200"</f>
        <v>920200</v>
      </c>
      <c r="B5320" t="s">
        <v>5365</v>
      </c>
      <c r="C5320">
        <v>1</v>
      </c>
      <c r="D5320">
        <v>40.6</v>
      </c>
      <c r="E5320" t="s">
        <v>16</v>
      </c>
      <c r="F5320" t="s">
        <v>16</v>
      </c>
      <c r="H5320">
        <v>0.27</v>
      </c>
      <c r="I5320">
        <v>-13.89</v>
      </c>
      <c r="J5320">
        <v>-1.69</v>
      </c>
      <c r="L5320">
        <v>-1.22</v>
      </c>
      <c r="M5320">
        <v>68.05</v>
      </c>
      <c r="N5320">
        <v>0.04</v>
      </c>
      <c r="O5320">
        <v>0.7</v>
      </c>
    </row>
    <row r="5321" spans="1:15">
      <c r="A5321" t="str">
        <f>"920204"</f>
        <v>920204</v>
      </c>
      <c r="B5321" t="s">
        <v>5366</v>
      </c>
      <c r="C5321">
        <v>-4.35</v>
      </c>
      <c r="D5321">
        <v>14.73</v>
      </c>
      <c r="E5321" t="s">
        <v>16</v>
      </c>
      <c r="F5321" t="s">
        <v>16</v>
      </c>
      <c r="H5321">
        <v>0.07</v>
      </c>
      <c r="I5321">
        <v>0.48</v>
      </c>
      <c r="J5321">
        <v>-5.46</v>
      </c>
      <c r="L5321">
        <v>-0.91</v>
      </c>
      <c r="M5321">
        <v>16.23</v>
      </c>
      <c r="N5321">
        <v>0.03</v>
      </c>
      <c r="O5321">
        <v>0.22</v>
      </c>
    </row>
    <row r="5322" spans="1:15">
      <c r="A5322" t="str">
        <f>"920206"</f>
        <v>920206</v>
      </c>
      <c r="B5322" t="s">
        <v>5367</v>
      </c>
      <c r="C5322">
        <v>18.22</v>
      </c>
      <c r="D5322">
        <v>77.67</v>
      </c>
      <c r="E5322" t="s">
        <v>16</v>
      </c>
      <c r="F5322" t="s">
        <v>16</v>
      </c>
      <c r="H5322">
        <v>-0.02</v>
      </c>
      <c r="I5322">
        <v>156.51</v>
      </c>
      <c r="J5322">
        <v>-1.53</v>
      </c>
      <c r="L5322">
        <v>1.17</v>
      </c>
      <c r="M5322">
        <v>623.02</v>
      </c>
      <c r="N5322">
        <v>0.66</v>
      </c>
      <c r="O5322">
        <v>2.46</v>
      </c>
    </row>
    <row r="5323" spans="1:15">
      <c r="A5323" t="str">
        <f>"920207"</f>
        <v>920207</v>
      </c>
      <c r="B5323" t="s">
        <v>5368</v>
      </c>
      <c r="C5323">
        <v>-1.17</v>
      </c>
      <c r="D5323">
        <v>22.73</v>
      </c>
      <c r="E5323" t="s">
        <v>16</v>
      </c>
      <c r="F5323" t="s">
        <v>16</v>
      </c>
      <c r="H5323">
        <v>-0.34</v>
      </c>
      <c r="I5323">
        <v>-6.27</v>
      </c>
      <c r="J5323">
        <v>-2.9</v>
      </c>
      <c r="L5323">
        <v>-0.09</v>
      </c>
      <c r="M5323">
        <v>1.7</v>
      </c>
      <c r="N5323">
        <v>0</v>
      </c>
      <c r="O5323">
        <v>0.11</v>
      </c>
    </row>
    <row r="5324" spans="1:15">
      <c r="A5324" t="str">
        <f>"920208"</f>
        <v>920208</v>
      </c>
      <c r="B5324" t="s">
        <v>5369</v>
      </c>
      <c r="C5324">
        <v>-2.14</v>
      </c>
      <c r="D5324">
        <v>13.72</v>
      </c>
      <c r="E5324" t="s">
        <v>16</v>
      </c>
      <c r="F5324" t="s">
        <v>16</v>
      </c>
      <c r="H5324">
        <v>-0.06</v>
      </c>
      <c r="I5324">
        <v>-0.29</v>
      </c>
      <c r="J5324">
        <v>-3.52</v>
      </c>
      <c r="L5324">
        <v>-0.14</v>
      </c>
      <c r="M5324">
        <v>21.91</v>
      </c>
      <c r="N5324">
        <v>0.01</v>
      </c>
      <c r="O5324">
        <v>6.8</v>
      </c>
    </row>
    <row r="5325" spans="1:15">
      <c r="A5325" t="str">
        <f>"920211"</f>
        <v>920211</v>
      </c>
      <c r="B5325" t="s">
        <v>5370</v>
      </c>
      <c r="C5325">
        <v>2.96</v>
      </c>
      <c r="D5325">
        <v>144.04</v>
      </c>
      <c r="E5325" t="s">
        <v>16</v>
      </c>
      <c r="F5325" t="s">
        <v>16</v>
      </c>
      <c r="H5325">
        <v>0.02</v>
      </c>
      <c r="I5325">
        <v>471.81</v>
      </c>
      <c r="J5325">
        <v>-1.81</v>
      </c>
      <c r="L5325">
        <v>-2.79</v>
      </c>
      <c r="M5325">
        <v>418.2</v>
      </c>
      <c r="N5325">
        <v>0.53</v>
      </c>
      <c r="O5325">
        <v>1.12</v>
      </c>
    </row>
    <row r="5326" spans="1:15">
      <c r="A5326" t="str">
        <f>"920212"</f>
        <v>920212</v>
      </c>
      <c r="B5326" t="s">
        <v>5371</v>
      </c>
      <c r="C5326">
        <v>-2.22</v>
      </c>
      <c r="D5326">
        <v>10.12</v>
      </c>
      <c r="E5326" t="s">
        <v>16</v>
      </c>
      <c r="F5326" t="s">
        <v>16</v>
      </c>
      <c r="H5326">
        <v>0.5</v>
      </c>
      <c r="I5326">
        <v>-7.16</v>
      </c>
      <c r="J5326">
        <v>-4.35</v>
      </c>
      <c r="L5326">
        <v>2.22</v>
      </c>
      <c r="M5326">
        <v>2.75</v>
      </c>
      <c r="N5326">
        <v>0.01</v>
      </c>
      <c r="O5326">
        <v>1</v>
      </c>
    </row>
    <row r="5327" spans="1:15">
      <c r="A5327" t="str">
        <f>"920218"</f>
        <v>920218</v>
      </c>
      <c r="B5327" t="s">
        <v>5372</v>
      </c>
      <c r="C5327">
        <v>-7.79</v>
      </c>
      <c r="D5327">
        <v>20.84</v>
      </c>
      <c r="E5327" t="s">
        <v>16</v>
      </c>
      <c r="F5327" t="s">
        <v>16</v>
      </c>
      <c r="H5327">
        <v>-0.61</v>
      </c>
      <c r="I5327">
        <v>-33.5</v>
      </c>
      <c r="J5327">
        <v>-6.96</v>
      </c>
      <c r="L5327">
        <v>-0.88</v>
      </c>
      <c r="M5327">
        <v>20.74</v>
      </c>
      <c r="N5327">
        <v>0.04</v>
      </c>
      <c r="O5327">
        <v>0.72</v>
      </c>
    </row>
    <row r="5328" spans="1:15">
      <c r="A5328" t="str">
        <f>"920220"</f>
        <v>920220</v>
      </c>
      <c r="B5328" t="s">
        <v>5373</v>
      </c>
      <c r="C5328">
        <v>-4.07</v>
      </c>
      <c r="D5328">
        <v>61.48</v>
      </c>
      <c r="E5328" t="s">
        <v>16</v>
      </c>
      <c r="F5328" t="s">
        <v>16</v>
      </c>
      <c r="H5328">
        <v>0.1</v>
      </c>
      <c r="I5328">
        <v>-16.56</v>
      </c>
      <c r="J5328">
        <v>-2.66</v>
      </c>
      <c r="L5328">
        <v>-2.82</v>
      </c>
      <c r="M5328">
        <v>132.54</v>
      </c>
      <c r="N5328">
        <v>0.18</v>
      </c>
      <c r="O5328">
        <v>5.6</v>
      </c>
    </row>
    <row r="5329" spans="1:15">
      <c r="A5329" t="str">
        <f>"920221"</f>
        <v>920221</v>
      </c>
      <c r="B5329" t="s">
        <v>5374</v>
      </c>
      <c r="C5329">
        <v>-1.8</v>
      </c>
      <c r="D5329">
        <v>13.62</v>
      </c>
      <c r="E5329" t="s">
        <v>16</v>
      </c>
      <c r="F5329" t="s">
        <v>16</v>
      </c>
      <c r="H5329">
        <v>-0.21</v>
      </c>
      <c r="I5329">
        <v>-6.71</v>
      </c>
      <c r="J5329">
        <v>-3.4</v>
      </c>
      <c r="L5329">
        <v>1.44</v>
      </c>
      <c r="M5329">
        <v>19.54</v>
      </c>
      <c r="N5329">
        <v>0.04</v>
      </c>
      <c r="O5329">
        <v>69.44</v>
      </c>
    </row>
    <row r="5330" spans="1:15">
      <c r="A5330" t="str">
        <f>"920223"</f>
        <v>920223</v>
      </c>
      <c r="B5330" t="s">
        <v>5375</v>
      </c>
      <c r="C5330">
        <v>-2.34</v>
      </c>
      <c r="D5330">
        <v>14.16</v>
      </c>
      <c r="E5330" t="s">
        <v>16</v>
      </c>
      <c r="F5330" t="s">
        <v>16</v>
      </c>
      <c r="H5330">
        <v>0</v>
      </c>
      <c r="I5330">
        <v>-12.86</v>
      </c>
      <c r="J5330">
        <v>-3.87</v>
      </c>
      <c r="L5330">
        <v>0.48</v>
      </c>
      <c r="M5330">
        <v>4.88</v>
      </c>
      <c r="N5330">
        <v>0.01</v>
      </c>
      <c r="O5330">
        <v>1.05</v>
      </c>
    </row>
    <row r="5331" spans="1:15">
      <c r="A5331" t="str">
        <f>"920225"</f>
        <v>920225</v>
      </c>
      <c r="B5331" t="s">
        <v>5376</v>
      </c>
      <c r="C5331">
        <v>-6.18</v>
      </c>
      <c r="D5331">
        <v>21.41</v>
      </c>
      <c r="E5331" t="s">
        <v>16</v>
      </c>
      <c r="F5331" t="s">
        <v>16</v>
      </c>
      <c r="H5331">
        <v>0.14</v>
      </c>
      <c r="I5331">
        <v>-9.81</v>
      </c>
      <c r="J5331">
        <v>-7.11</v>
      </c>
      <c r="L5331">
        <v>0.96</v>
      </c>
      <c r="M5331">
        <v>11.5</v>
      </c>
      <c r="N5331">
        <v>0.01</v>
      </c>
      <c r="O5331">
        <v>0.14</v>
      </c>
    </row>
    <row r="5332" spans="1:15">
      <c r="A5332" t="str">
        <f>"920227"</f>
        <v>920227</v>
      </c>
      <c r="B5332" t="s">
        <v>5377</v>
      </c>
      <c r="C5332">
        <v>-1.78</v>
      </c>
      <c r="D5332">
        <v>56.97</v>
      </c>
      <c r="E5332" t="s">
        <v>16</v>
      </c>
      <c r="F5332" t="s">
        <v>16</v>
      </c>
      <c r="H5332">
        <v>1.1</v>
      </c>
      <c r="I5332">
        <v>-10.2</v>
      </c>
      <c r="J5332">
        <v>-2.06</v>
      </c>
      <c r="L5332">
        <v>-0.97</v>
      </c>
      <c r="M5332">
        <v>2.88</v>
      </c>
      <c r="N5332">
        <v>0</v>
      </c>
      <c r="O5332">
        <v>2.51</v>
      </c>
    </row>
    <row r="5333" spans="1:15">
      <c r="A5333" t="str">
        <f>"920230"</f>
        <v>920230</v>
      </c>
      <c r="B5333" t="s">
        <v>5378</v>
      </c>
      <c r="C5333">
        <v>-0.4</v>
      </c>
      <c r="D5333">
        <v>10.05</v>
      </c>
      <c r="E5333" t="s">
        <v>16</v>
      </c>
      <c r="F5333" t="s">
        <v>16</v>
      </c>
      <c r="H5333">
        <v>-0.19</v>
      </c>
      <c r="I5333">
        <v>-1.47</v>
      </c>
      <c r="J5333">
        <v>-5.63</v>
      </c>
      <c r="L5333">
        <v>0</v>
      </c>
      <c r="M5333">
        <v>1.95</v>
      </c>
      <c r="N5333">
        <v>0.01</v>
      </c>
      <c r="O5333">
        <v>1.07</v>
      </c>
    </row>
    <row r="5334" spans="1:15">
      <c r="A5334" t="str">
        <f>"920237"</f>
        <v>920237</v>
      </c>
      <c r="B5334" t="s">
        <v>5379</v>
      </c>
      <c r="C5334">
        <v>-2.06</v>
      </c>
      <c r="D5334">
        <v>15.24</v>
      </c>
      <c r="E5334" t="s">
        <v>16</v>
      </c>
      <c r="F5334" t="s">
        <v>16</v>
      </c>
      <c r="H5334">
        <v>0.46</v>
      </c>
      <c r="I5334">
        <v>-5.34</v>
      </c>
      <c r="J5334">
        <v>-1.42</v>
      </c>
      <c r="L5334">
        <v>-0.71</v>
      </c>
      <c r="M5334">
        <v>1.55</v>
      </c>
      <c r="N5334">
        <v>0</v>
      </c>
      <c r="O5334">
        <v>0.16</v>
      </c>
    </row>
    <row r="5335" spans="1:15">
      <c r="A5335" t="str">
        <f>"920239"</f>
        <v>920239</v>
      </c>
      <c r="B5335" t="s">
        <v>5380</v>
      </c>
      <c r="C5335">
        <v>-1.71</v>
      </c>
      <c r="D5335">
        <v>25.8</v>
      </c>
      <c r="E5335" t="s">
        <v>16</v>
      </c>
      <c r="F5335" t="s">
        <v>16</v>
      </c>
      <c r="H5335">
        <v>0</v>
      </c>
      <c r="I5335">
        <v>-0.69</v>
      </c>
      <c r="J5335">
        <v>-1.9</v>
      </c>
      <c r="L5335">
        <v>0</v>
      </c>
      <c r="M5335">
        <v>0.53</v>
      </c>
      <c r="N5335">
        <v>0</v>
      </c>
      <c r="O5335">
        <v>0.04</v>
      </c>
    </row>
    <row r="5336" spans="1:15">
      <c r="A5336" t="str">
        <f>"920242"</f>
        <v>920242</v>
      </c>
      <c r="B5336" t="s">
        <v>5381</v>
      </c>
      <c r="C5336">
        <v>-1.45</v>
      </c>
      <c r="D5336">
        <v>23.06</v>
      </c>
      <c r="E5336" t="s">
        <v>16</v>
      </c>
      <c r="F5336" t="s">
        <v>16</v>
      </c>
      <c r="H5336">
        <v>0.13</v>
      </c>
      <c r="I5336">
        <v>0.61</v>
      </c>
      <c r="J5336">
        <v>-2.41</v>
      </c>
      <c r="L5336">
        <v>0.98</v>
      </c>
      <c r="M5336">
        <v>0</v>
      </c>
      <c r="N5336">
        <v>0</v>
      </c>
      <c r="O5336">
        <v>0</v>
      </c>
    </row>
    <row r="5337" spans="1:15">
      <c r="A5337" t="str">
        <f>"920245"</f>
        <v>920245</v>
      </c>
      <c r="B5337" t="s">
        <v>5382</v>
      </c>
      <c r="C5337">
        <v>-3.36</v>
      </c>
      <c r="D5337">
        <v>14.08</v>
      </c>
      <c r="E5337" t="s">
        <v>16</v>
      </c>
      <c r="F5337" t="s">
        <v>16</v>
      </c>
      <c r="H5337">
        <v>-0.13</v>
      </c>
      <c r="I5337">
        <v>-4.35</v>
      </c>
      <c r="J5337">
        <v>-4.15</v>
      </c>
      <c r="L5337">
        <v>0.82</v>
      </c>
      <c r="M5337">
        <v>0</v>
      </c>
      <c r="N5337">
        <v>0</v>
      </c>
      <c r="O5337">
        <v>0</v>
      </c>
    </row>
    <row r="5338" spans="1:15">
      <c r="A5338" t="str">
        <f>"920247"</f>
        <v>920247</v>
      </c>
      <c r="B5338" t="s">
        <v>5383</v>
      </c>
      <c r="C5338">
        <v>-2.43</v>
      </c>
      <c r="D5338">
        <v>16.89</v>
      </c>
      <c r="E5338" t="s">
        <v>16</v>
      </c>
      <c r="F5338" t="s">
        <v>16</v>
      </c>
      <c r="H5338">
        <v>0.06</v>
      </c>
      <c r="I5338">
        <v>3.11</v>
      </c>
      <c r="J5338">
        <v>-2.88</v>
      </c>
      <c r="L5338">
        <v>-0.75</v>
      </c>
      <c r="M5338">
        <v>12.6</v>
      </c>
      <c r="N5338">
        <v>0.01</v>
      </c>
      <c r="O5338">
        <v>0.37</v>
      </c>
    </row>
    <row r="5339" spans="1:15">
      <c r="A5339" t="str">
        <f>"920249"</f>
        <v>920249</v>
      </c>
      <c r="B5339" t="s">
        <v>5384</v>
      </c>
      <c r="C5339">
        <v>-5.02</v>
      </c>
      <c r="D5339">
        <v>8.71</v>
      </c>
      <c r="E5339" t="s">
        <v>16</v>
      </c>
      <c r="F5339" t="s">
        <v>16</v>
      </c>
      <c r="H5339">
        <v>0</v>
      </c>
      <c r="I5339">
        <v>-5.12</v>
      </c>
      <c r="J5339">
        <v>-4.5</v>
      </c>
      <c r="L5339">
        <v>-0.55</v>
      </c>
      <c r="M5339">
        <v>5.51</v>
      </c>
      <c r="N5339">
        <v>0</v>
      </c>
      <c r="O5339">
        <v>0.96</v>
      </c>
    </row>
    <row r="5340" spans="1:15">
      <c r="A5340" t="str">
        <f>"920252"</f>
        <v>920252</v>
      </c>
      <c r="B5340" t="s">
        <v>5385</v>
      </c>
      <c r="C5340">
        <v>-3.52</v>
      </c>
      <c r="D5340">
        <v>20.28</v>
      </c>
      <c r="E5340" t="s">
        <v>16</v>
      </c>
      <c r="F5340" t="s">
        <v>16</v>
      </c>
      <c r="H5340">
        <v>0.2</v>
      </c>
      <c r="I5340">
        <v>4.81</v>
      </c>
      <c r="J5340">
        <v>-2.73</v>
      </c>
      <c r="L5340">
        <v>-0.81</v>
      </c>
      <c r="M5340">
        <v>21.2</v>
      </c>
      <c r="N5340">
        <v>0.02</v>
      </c>
      <c r="O5340">
        <v>0.33</v>
      </c>
    </row>
    <row r="5341" spans="1:15">
      <c r="A5341" t="str">
        <f>"920260"</f>
        <v>920260</v>
      </c>
      <c r="B5341" t="s">
        <v>5386</v>
      </c>
      <c r="C5341">
        <v>-3.94</v>
      </c>
      <c r="D5341">
        <v>7.56</v>
      </c>
      <c r="E5341" t="s">
        <v>16</v>
      </c>
      <c r="F5341" t="s">
        <v>16</v>
      </c>
      <c r="H5341">
        <v>-0.25</v>
      </c>
      <c r="I5341">
        <v>-7.92</v>
      </c>
      <c r="J5341">
        <v>-3.2</v>
      </c>
      <c r="L5341">
        <v>-0.76</v>
      </c>
      <c r="M5341">
        <v>0.08</v>
      </c>
      <c r="N5341">
        <v>0</v>
      </c>
      <c r="O5341" t="s">
        <v>16</v>
      </c>
    </row>
    <row r="5342" spans="1:15">
      <c r="A5342" t="str">
        <f>"920261"</f>
        <v>920261</v>
      </c>
      <c r="B5342" t="s">
        <v>5387</v>
      </c>
      <c r="C5342">
        <v>-0.29</v>
      </c>
      <c r="D5342">
        <v>13.75</v>
      </c>
      <c r="E5342" t="s">
        <v>16</v>
      </c>
      <c r="F5342" t="s">
        <v>16</v>
      </c>
      <c r="H5342">
        <v>-0.06</v>
      </c>
      <c r="I5342">
        <v>-0.72</v>
      </c>
      <c r="J5342">
        <v>-1.22</v>
      </c>
      <c r="L5342">
        <v>-0.65</v>
      </c>
      <c r="M5342">
        <v>0.78</v>
      </c>
      <c r="N5342">
        <v>0</v>
      </c>
      <c r="O5342">
        <v>0.06</v>
      </c>
    </row>
    <row r="5343" spans="1:15">
      <c r="A5343" t="str">
        <f>"920262"</f>
        <v>920262</v>
      </c>
      <c r="B5343" t="s">
        <v>5388</v>
      </c>
      <c r="C5343">
        <v>-5.83</v>
      </c>
      <c r="D5343">
        <v>13.25</v>
      </c>
      <c r="E5343" t="s">
        <v>16</v>
      </c>
      <c r="F5343" t="s">
        <v>16</v>
      </c>
      <c r="H5343">
        <v>0.61</v>
      </c>
      <c r="I5343">
        <v>-4.88</v>
      </c>
      <c r="J5343">
        <v>-4.68</v>
      </c>
      <c r="L5343">
        <v>-1.92</v>
      </c>
      <c r="M5343">
        <v>19.56</v>
      </c>
      <c r="N5343">
        <v>0.06</v>
      </c>
      <c r="O5343">
        <v>1.12</v>
      </c>
    </row>
    <row r="5344" spans="1:15">
      <c r="A5344" t="str">
        <f>"920263"</f>
        <v>920263</v>
      </c>
      <c r="B5344" t="s">
        <v>5389</v>
      </c>
      <c r="C5344">
        <v>8.74</v>
      </c>
      <c r="D5344">
        <v>8.34</v>
      </c>
      <c r="E5344" t="s">
        <v>16</v>
      </c>
      <c r="F5344" t="s">
        <v>16</v>
      </c>
      <c r="H5344">
        <v>0.24</v>
      </c>
      <c r="I5344">
        <v>8.03</v>
      </c>
      <c r="J5344">
        <v>-11.28</v>
      </c>
      <c r="L5344">
        <v>0</v>
      </c>
      <c r="M5344">
        <v>0.38</v>
      </c>
      <c r="N5344">
        <v>0</v>
      </c>
      <c r="O5344" t="s">
        <v>16</v>
      </c>
    </row>
    <row r="5345" spans="1:15">
      <c r="A5345" t="str">
        <f>"920266"</f>
        <v>920266</v>
      </c>
      <c r="B5345" t="s">
        <v>5390</v>
      </c>
      <c r="C5345">
        <v>-2.62</v>
      </c>
      <c r="D5345">
        <v>6.7</v>
      </c>
      <c r="E5345" t="s">
        <v>16</v>
      </c>
      <c r="F5345" t="s">
        <v>16</v>
      </c>
      <c r="H5345">
        <v>0.15</v>
      </c>
      <c r="I5345">
        <v>-4.15</v>
      </c>
      <c r="J5345">
        <v>-3.04</v>
      </c>
      <c r="L5345">
        <v>0.15</v>
      </c>
      <c r="M5345">
        <v>0</v>
      </c>
      <c r="N5345">
        <v>0</v>
      </c>
      <c r="O5345">
        <v>0</v>
      </c>
    </row>
    <row r="5346" spans="1:15">
      <c r="A5346" t="str">
        <f>"920267"</f>
        <v>920267</v>
      </c>
      <c r="B5346" t="s">
        <v>5391</v>
      </c>
      <c r="C5346">
        <v>-3.71</v>
      </c>
      <c r="D5346">
        <v>14.55</v>
      </c>
      <c r="E5346" t="s">
        <v>16</v>
      </c>
      <c r="F5346" t="s">
        <v>16</v>
      </c>
      <c r="H5346">
        <v>-0.74</v>
      </c>
      <c r="I5346">
        <v>-8.09</v>
      </c>
      <c r="J5346">
        <v>-3.77</v>
      </c>
      <c r="L5346">
        <v>-0.6</v>
      </c>
      <c r="M5346">
        <v>0</v>
      </c>
      <c r="N5346">
        <v>0</v>
      </c>
      <c r="O5346">
        <v>0</v>
      </c>
    </row>
    <row r="5347" spans="1:15">
      <c r="A5347" t="str">
        <f>"920270"</f>
        <v>920270</v>
      </c>
      <c r="B5347" t="s">
        <v>5392</v>
      </c>
      <c r="C5347">
        <v>-3.25</v>
      </c>
      <c r="D5347">
        <v>13.39</v>
      </c>
      <c r="E5347" t="s">
        <v>16</v>
      </c>
      <c r="F5347" t="s">
        <v>16</v>
      </c>
      <c r="H5347">
        <v>-0.21</v>
      </c>
      <c r="I5347">
        <v>-11.32</v>
      </c>
      <c r="J5347">
        <v>-3.25</v>
      </c>
      <c r="L5347">
        <v>0</v>
      </c>
      <c r="M5347">
        <v>0</v>
      </c>
      <c r="N5347">
        <v>0</v>
      </c>
      <c r="O5347">
        <v>0</v>
      </c>
    </row>
    <row r="5348" spans="1:15">
      <c r="A5348" t="str">
        <f>"920271"</f>
        <v>920271</v>
      </c>
      <c r="B5348" t="s">
        <v>5393</v>
      </c>
      <c r="C5348">
        <v>-0.9</v>
      </c>
      <c r="D5348">
        <v>10.98</v>
      </c>
      <c r="E5348" t="s">
        <v>16</v>
      </c>
      <c r="F5348" t="s">
        <v>16</v>
      </c>
      <c r="H5348">
        <v>-0.8</v>
      </c>
      <c r="I5348">
        <v>0.73</v>
      </c>
      <c r="J5348">
        <v>-3.09</v>
      </c>
      <c r="L5348">
        <v>2.08</v>
      </c>
      <c r="M5348">
        <v>12.67</v>
      </c>
      <c r="N5348">
        <v>0.03</v>
      </c>
      <c r="O5348">
        <v>2.61</v>
      </c>
    </row>
    <row r="5349" spans="1:15">
      <c r="A5349" t="str">
        <f>"920273"</f>
        <v>920273</v>
      </c>
      <c r="B5349" t="s">
        <v>5394</v>
      </c>
      <c r="C5349">
        <v>3.28</v>
      </c>
      <c r="D5349">
        <v>19.2</v>
      </c>
      <c r="E5349" t="s">
        <v>16</v>
      </c>
      <c r="F5349" t="s">
        <v>16</v>
      </c>
      <c r="H5349">
        <v>0.42</v>
      </c>
      <c r="I5349">
        <v>-18.68</v>
      </c>
      <c r="J5349">
        <v>-1.29</v>
      </c>
      <c r="L5349">
        <v>-0.05</v>
      </c>
      <c r="M5349">
        <v>20.5</v>
      </c>
      <c r="N5349">
        <v>0.03</v>
      </c>
      <c r="O5349">
        <v>0.61</v>
      </c>
    </row>
    <row r="5350" spans="1:15">
      <c r="A5350" t="str">
        <f>"920274"</f>
        <v>920274</v>
      </c>
      <c r="B5350" t="s">
        <v>5395</v>
      </c>
      <c r="C5350">
        <v>-3.07</v>
      </c>
      <c r="D5350">
        <v>17.99</v>
      </c>
      <c r="E5350" t="s">
        <v>16</v>
      </c>
      <c r="F5350" t="s">
        <v>16</v>
      </c>
      <c r="H5350">
        <v>0.22</v>
      </c>
      <c r="I5350">
        <v>-3.95</v>
      </c>
      <c r="J5350">
        <v>-4.51</v>
      </c>
      <c r="L5350">
        <v>1.02</v>
      </c>
      <c r="M5350">
        <v>30.65</v>
      </c>
      <c r="N5350">
        <v>0.07</v>
      </c>
      <c r="O5350">
        <v>7.78</v>
      </c>
    </row>
    <row r="5351" spans="1:15">
      <c r="A5351" t="str">
        <f>"920275"</f>
        <v>920275</v>
      </c>
      <c r="B5351" t="s">
        <v>5396</v>
      </c>
      <c r="C5351">
        <v>0.89</v>
      </c>
      <c r="D5351">
        <v>5.65</v>
      </c>
      <c r="E5351" t="s">
        <v>16</v>
      </c>
      <c r="F5351" t="s">
        <v>16</v>
      </c>
      <c r="H5351">
        <v>3.29</v>
      </c>
      <c r="I5351">
        <v>-7.22</v>
      </c>
      <c r="J5351">
        <v>0</v>
      </c>
      <c r="L5351">
        <v>0</v>
      </c>
      <c r="M5351">
        <v>0.14</v>
      </c>
      <c r="N5351">
        <v>0</v>
      </c>
      <c r="O5351">
        <v>0.13</v>
      </c>
    </row>
    <row r="5352" spans="1:15">
      <c r="A5352" t="str">
        <f>"920278"</f>
        <v>920278</v>
      </c>
      <c r="B5352" t="s">
        <v>5397</v>
      </c>
      <c r="C5352">
        <v>-2.07</v>
      </c>
      <c r="D5352">
        <v>6.14</v>
      </c>
      <c r="E5352" t="s">
        <v>16</v>
      </c>
      <c r="F5352" t="s">
        <v>16</v>
      </c>
      <c r="H5352">
        <v>-0.15</v>
      </c>
      <c r="I5352">
        <v>-3.31</v>
      </c>
      <c r="J5352">
        <v>-3.76</v>
      </c>
      <c r="L5352">
        <v>0.16</v>
      </c>
      <c r="M5352">
        <v>1.95</v>
      </c>
      <c r="N5352">
        <v>0</v>
      </c>
      <c r="O5352">
        <v>0.84</v>
      </c>
    </row>
    <row r="5353" spans="1:15">
      <c r="A5353" t="str">
        <f>"920284"</f>
        <v>920284</v>
      </c>
      <c r="B5353" t="s">
        <v>5398</v>
      </c>
      <c r="C5353">
        <v>-6.52</v>
      </c>
      <c r="D5353">
        <v>24.09</v>
      </c>
      <c r="E5353" t="s">
        <v>16</v>
      </c>
      <c r="F5353" t="s">
        <v>16</v>
      </c>
      <c r="H5353">
        <v>-0.03</v>
      </c>
      <c r="I5353">
        <v>-8.09</v>
      </c>
      <c r="J5353">
        <v>-6.16</v>
      </c>
      <c r="L5353">
        <v>-2.95</v>
      </c>
      <c r="M5353">
        <v>127.07</v>
      </c>
      <c r="N5353">
        <v>0.1</v>
      </c>
      <c r="O5353">
        <v>11.82</v>
      </c>
    </row>
    <row r="5354" spans="1:15">
      <c r="A5354" t="str">
        <f>"920299"</f>
        <v>920299</v>
      </c>
      <c r="B5354" t="s">
        <v>5399</v>
      </c>
      <c r="C5354">
        <v>-4.62</v>
      </c>
      <c r="D5354">
        <v>18.18</v>
      </c>
      <c r="E5354" t="s">
        <v>16</v>
      </c>
      <c r="F5354" t="s">
        <v>16</v>
      </c>
      <c r="H5354">
        <v>0.28</v>
      </c>
      <c r="I5354">
        <v>-22.37</v>
      </c>
      <c r="J5354">
        <v>-5.16</v>
      </c>
      <c r="L5354">
        <v>-0.31</v>
      </c>
      <c r="M5354">
        <v>13.11</v>
      </c>
      <c r="N5354">
        <v>0.02</v>
      </c>
      <c r="O5354">
        <v>3.63</v>
      </c>
    </row>
    <row r="5355" spans="1:15">
      <c r="A5355" t="str">
        <f>"920300"</f>
        <v>920300</v>
      </c>
      <c r="B5355" t="s">
        <v>5400</v>
      </c>
      <c r="C5355">
        <v>-2.42</v>
      </c>
      <c r="D5355">
        <v>10.48</v>
      </c>
      <c r="E5355" t="s">
        <v>16</v>
      </c>
      <c r="F5355" t="s">
        <v>16</v>
      </c>
      <c r="H5355">
        <v>-0.09</v>
      </c>
      <c r="I5355">
        <v>4.07</v>
      </c>
      <c r="J5355">
        <v>-6.26</v>
      </c>
      <c r="L5355">
        <v>-0.56</v>
      </c>
      <c r="M5355">
        <v>2.03</v>
      </c>
      <c r="N5355">
        <v>0</v>
      </c>
      <c r="O5355">
        <v>0.17</v>
      </c>
    </row>
    <row r="5356" spans="1:15">
      <c r="A5356" t="str">
        <f>"920304"</f>
        <v>920304</v>
      </c>
      <c r="B5356" t="s">
        <v>5401</v>
      </c>
      <c r="C5356">
        <v>-3.13</v>
      </c>
      <c r="D5356">
        <v>9.29</v>
      </c>
      <c r="E5356" t="s">
        <v>16</v>
      </c>
      <c r="F5356" t="s">
        <v>16</v>
      </c>
      <c r="H5356">
        <v>-0.1</v>
      </c>
      <c r="I5356">
        <v>-1.8</v>
      </c>
      <c r="J5356">
        <v>-3.63</v>
      </c>
      <c r="L5356">
        <v>0.52</v>
      </c>
      <c r="M5356">
        <v>3.83</v>
      </c>
      <c r="N5356">
        <v>0.01</v>
      </c>
      <c r="O5356">
        <v>0.95</v>
      </c>
    </row>
    <row r="5357" spans="1:15">
      <c r="A5357" t="str">
        <f>"920305"</f>
        <v>920305</v>
      </c>
      <c r="B5357" t="s">
        <v>5402</v>
      </c>
      <c r="C5357" t="s">
        <v>16</v>
      </c>
      <c r="D5357">
        <v>3.57</v>
      </c>
      <c r="E5357" t="s">
        <v>16</v>
      </c>
      <c r="F5357" t="s">
        <v>16</v>
      </c>
      <c r="H5357" t="s">
        <v>16</v>
      </c>
      <c r="I5357">
        <v>0</v>
      </c>
      <c r="J5357" t="s">
        <v>16</v>
      </c>
      <c r="L5357" t="s">
        <v>16</v>
      </c>
      <c r="M5357">
        <v>0</v>
      </c>
      <c r="N5357" t="s">
        <v>16</v>
      </c>
      <c r="O5357" t="s">
        <v>16</v>
      </c>
    </row>
    <row r="5358" spans="1:15">
      <c r="A5358" t="str">
        <f>"920339"</f>
        <v>920339</v>
      </c>
      <c r="B5358" t="s">
        <v>5403</v>
      </c>
      <c r="C5358">
        <v>-1.84</v>
      </c>
      <c r="D5358">
        <v>13.85</v>
      </c>
      <c r="E5358" t="s">
        <v>16</v>
      </c>
      <c r="F5358" t="s">
        <v>16</v>
      </c>
      <c r="H5358">
        <v>-0.42</v>
      </c>
      <c r="I5358">
        <v>16.88</v>
      </c>
      <c r="J5358">
        <v>-4.42</v>
      </c>
      <c r="L5358">
        <v>-0.71</v>
      </c>
      <c r="M5358">
        <v>21.93</v>
      </c>
      <c r="N5358">
        <v>0.03</v>
      </c>
      <c r="O5358">
        <v>0.62</v>
      </c>
    </row>
    <row r="5359" spans="1:15">
      <c r="A5359" t="str">
        <f>"920344"</f>
        <v>920344</v>
      </c>
      <c r="B5359" t="s">
        <v>5404</v>
      </c>
      <c r="C5359">
        <v>2.14</v>
      </c>
      <c r="D5359">
        <v>18.6</v>
      </c>
      <c r="E5359" t="s">
        <v>16</v>
      </c>
      <c r="F5359" t="s">
        <v>16</v>
      </c>
      <c r="H5359">
        <v>0.32</v>
      </c>
      <c r="I5359">
        <v>-0.27</v>
      </c>
      <c r="J5359">
        <v>-3.88</v>
      </c>
      <c r="L5359">
        <v>-0.6</v>
      </c>
      <c r="M5359">
        <v>0</v>
      </c>
      <c r="N5359">
        <v>0</v>
      </c>
      <c r="O5359" t="s">
        <v>16</v>
      </c>
    </row>
    <row r="5360" spans="1:15">
      <c r="A5360" t="str">
        <f>"920346"</f>
        <v>920346</v>
      </c>
      <c r="B5360" t="s">
        <v>5405</v>
      </c>
      <c r="C5360">
        <v>-2.33</v>
      </c>
      <c r="D5360">
        <v>17.15</v>
      </c>
      <c r="E5360" t="s">
        <v>16</v>
      </c>
      <c r="F5360" t="s">
        <v>16</v>
      </c>
      <c r="H5360">
        <v>0.76</v>
      </c>
      <c r="I5360">
        <v>-2.83</v>
      </c>
      <c r="J5360">
        <v>-2</v>
      </c>
      <c r="L5360">
        <v>-0.8</v>
      </c>
      <c r="M5360">
        <v>3.98</v>
      </c>
      <c r="N5360">
        <v>0.01</v>
      </c>
      <c r="O5360" t="s">
        <v>16</v>
      </c>
    </row>
    <row r="5361" spans="1:15">
      <c r="A5361" t="str">
        <f>"920351"</f>
        <v>920351</v>
      </c>
      <c r="B5361" t="s">
        <v>5406</v>
      </c>
      <c r="C5361">
        <v>-0.75</v>
      </c>
      <c r="D5361">
        <v>13.18</v>
      </c>
      <c r="E5361" t="s">
        <v>16</v>
      </c>
      <c r="F5361" t="s">
        <v>16</v>
      </c>
      <c r="H5361">
        <v>-0.07</v>
      </c>
      <c r="I5361">
        <v>-1.2</v>
      </c>
      <c r="J5361">
        <v>-1.42</v>
      </c>
      <c r="L5361">
        <v>-0.53</v>
      </c>
      <c r="M5361">
        <v>1.05</v>
      </c>
      <c r="N5361">
        <v>0</v>
      </c>
      <c r="O5361">
        <v>0.09</v>
      </c>
    </row>
    <row r="5362" spans="1:15">
      <c r="A5362" t="str">
        <f>"920357"</f>
        <v>920357</v>
      </c>
      <c r="B5362" t="s">
        <v>5407</v>
      </c>
      <c r="C5362">
        <v>-2.23</v>
      </c>
      <c r="D5362">
        <v>21.46</v>
      </c>
      <c r="E5362" t="s">
        <v>16</v>
      </c>
      <c r="F5362" t="s">
        <v>16</v>
      </c>
      <c r="H5362">
        <v>-0.27</v>
      </c>
      <c r="I5362">
        <v>14.58</v>
      </c>
      <c r="J5362">
        <v>-2.19</v>
      </c>
      <c r="L5362">
        <v>-2.96</v>
      </c>
      <c r="M5362">
        <v>248.69</v>
      </c>
      <c r="N5362">
        <v>0.34</v>
      </c>
      <c r="O5362">
        <v>3.37</v>
      </c>
    </row>
    <row r="5363" spans="1:15">
      <c r="A5363" t="str">
        <f>"920363"</f>
        <v>920363</v>
      </c>
      <c r="B5363" t="s">
        <v>5408</v>
      </c>
      <c r="C5363">
        <v>-2.96</v>
      </c>
      <c r="D5363">
        <v>11.47</v>
      </c>
      <c r="E5363" t="s">
        <v>16</v>
      </c>
      <c r="F5363" t="s">
        <v>16</v>
      </c>
      <c r="H5363">
        <v>-0.25</v>
      </c>
      <c r="I5363">
        <v>-13.69</v>
      </c>
      <c r="J5363">
        <v>-3.61</v>
      </c>
      <c r="L5363">
        <v>0.68</v>
      </c>
      <c r="M5363">
        <v>12.14</v>
      </c>
      <c r="N5363">
        <v>0.02</v>
      </c>
      <c r="O5363">
        <v>9.27</v>
      </c>
    </row>
    <row r="5364" spans="1:15">
      <c r="A5364" t="str">
        <f>"920367"</f>
        <v>920367</v>
      </c>
      <c r="B5364" t="s">
        <v>5409</v>
      </c>
      <c r="C5364">
        <v>0.2</v>
      </c>
      <c r="D5364">
        <v>14.98</v>
      </c>
      <c r="E5364" t="s">
        <v>16</v>
      </c>
      <c r="F5364" t="s">
        <v>16</v>
      </c>
      <c r="H5364">
        <v>0.4</v>
      </c>
      <c r="I5364">
        <v>-3.73</v>
      </c>
      <c r="J5364">
        <v>-2.98</v>
      </c>
      <c r="L5364">
        <v>-0.47</v>
      </c>
      <c r="M5364">
        <v>0.3</v>
      </c>
      <c r="N5364">
        <v>0</v>
      </c>
      <c r="O5364">
        <v>0.2</v>
      </c>
    </row>
    <row r="5365" spans="1:15">
      <c r="A5365" t="str">
        <f>"920368"</f>
        <v>920368</v>
      </c>
      <c r="B5365" t="s">
        <v>5410</v>
      </c>
      <c r="C5365">
        <v>-2.61</v>
      </c>
      <c r="D5365">
        <v>31.7</v>
      </c>
      <c r="E5365" t="s">
        <v>16</v>
      </c>
      <c r="F5365" t="s">
        <v>16</v>
      </c>
      <c r="H5365">
        <v>0.06</v>
      </c>
      <c r="I5365">
        <v>-10.4</v>
      </c>
      <c r="J5365">
        <v>-2.46</v>
      </c>
      <c r="L5365">
        <v>-0.15</v>
      </c>
      <c r="M5365">
        <v>36.38</v>
      </c>
      <c r="N5365">
        <v>0.01</v>
      </c>
      <c r="O5365">
        <v>0.62</v>
      </c>
    </row>
    <row r="5366" spans="1:15">
      <c r="A5366" t="str">
        <f>"920370"</f>
        <v>920370</v>
      </c>
      <c r="B5366" t="s">
        <v>5411</v>
      </c>
      <c r="C5366">
        <v>-3.99</v>
      </c>
      <c r="D5366">
        <v>2.65</v>
      </c>
      <c r="E5366" t="s">
        <v>16</v>
      </c>
      <c r="F5366" t="s">
        <v>16</v>
      </c>
      <c r="H5366">
        <v>0.38</v>
      </c>
      <c r="I5366">
        <v>-8.3</v>
      </c>
      <c r="J5366">
        <v>-4.68</v>
      </c>
      <c r="L5366">
        <v>-1.81</v>
      </c>
      <c r="M5366">
        <v>51.57</v>
      </c>
      <c r="N5366">
        <v>0.14</v>
      </c>
      <c r="O5366">
        <v>105.72</v>
      </c>
    </row>
    <row r="5367" spans="1:15">
      <c r="A5367" t="str">
        <f>"920371"</f>
        <v>920371</v>
      </c>
      <c r="B5367" t="s">
        <v>5412</v>
      </c>
      <c r="C5367">
        <v>-1.68</v>
      </c>
      <c r="D5367">
        <v>7.59</v>
      </c>
      <c r="E5367" t="s">
        <v>16</v>
      </c>
      <c r="F5367" t="s">
        <v>16</v>
      </c>
      <c r="H5367">
        <v>-1.42</v>
      </c>
      <c r="I5367">
        <v>-17.5</v>
      </c>
      <c r="J5367">
        <v>-2.32</v>
      </c>
      <c r="L5367">
        <v>0</v>
      </c>
      <c r="M5367">
        <v>22.98</v>
      </c>
      <c r="N5367">
        <v>0.05</v>
      </c>
      <c r="O5367">
        <v>0.62</v>
      </c>
    </row>
    <row r="5368" spans="1:15">
      <c r="A5368" t="str">
        <f>"920374"</f>
        <v>920374</v>
      </c>
      <c r="B5368" t="s">
        <v>5413</v>
      </c>
      <c r="C5368">
        <v>-3.26</v>
      </c>
      <c r="D5368">
        <v>16.92</v>
      </c>
      <c r="E5368" t="s">
        <v>16</v>
      </c>
      <c r="F5368" t="s">
        <v>16</v>
      </c>
      <c r="H5368">
        <v>-0.23</v>
      </c>
      <c r="I5368">
        <v>-4.35</v>
      </c>
      <c r="J5368">
        <v>-5.26</v>
      </c>
      <c r="L5368">
        <v>1.89</v>
      </c>
      <c r="M5368">
        <v>9.81</v>
      </c>
      <c r="N5368">
        <v>0.02</v>
      </c>
      <c r="O5368">
        <v>0.1</v>
      </c>
    </row>
    <row r="5369" spans="1:15">
      <c r="A5369" t="str">
        <f>"920375"</f>
        <v>920375</v>
      </c>
      <c r="B5369" t="s">
        <v>5414</v>
      </c>
      <c r="C5369">
        <v>-3</v>
      </c>
      <c r="D5369">
        <v>7.77</v>
      </c>
      <c r="E5369" t="s">
        <v>16</v>
      </c>
      <c r="F5369" t="s">
        <v>16</v>
      </c>
      <c r="H5369">
        <v>0</v>
      </c>
      <c r="I5369">
        <v>-14.33</v>
      </c>
      <c r="J5369">
        <v>-3</v>
      </c>
      <c r="L5369">
        <v>-0.5</v>
      </c>
      <c r="M5369">
        <v>4.77</v>
      </c>
      <c r="N5369">
        <v>0.01</v>
      </c>
      <c r="O5369">
        <v>0.4</v>
      </c>
    </row>
    <row r="5370" spans="1:15">
      <c r="A5370" t="str">
        <f>"920378"</f>
        <v>920378</v>
      </c>
      <c r="B5370" t="s">
        <v>5415</v>
      </c>
      <c r="C5370">
        <v>0.4</v>
      </c>
      <c r="D5370">
        <v>7.5</v>
      </c>
      <c r="E5370" t="s">
        <v>16</v>
      </c>
      <c r="F5370" t="s">
        <v>16</v>
      </c>
      <c r="H5370">
        <v>0.27</v>
      </c>
      <c r="I5370">
        <v>-0.27</v>
      </c>
      <c r="J5370">
        <v>0</v>
      </c>
      <c r="L5370">
        <v>-0.54</v>
      </c>
      <c r="M5370">
        <v>1.36</v>
      </c>
      <c r="N5370">
        <v>0</v>
      </c>
      <c r="O5370">
        <v>0.8</v>
      </c>
    </row>
    <row r="5371" spans="1:15">
      <c r="A5371" t="str">
        <f>"920392"</f>
        <v>920392</v>
      </c>
      <c r="B5371" t="s">
        <v>5416</v>
      </c>
      <c r="C5371">
        <v>-5.44</v>
      </c>
      <c r="D5371">
        <v>16.35</v>
      </c>
      <c r="E5371" t="s">
        <v>16</v>
      </c>
      <c r="F5371" t="s">
        <v>16</v>
      </c>
      <c r="H5371">
        <v>1.3</v>
      </c>
      <c r="I5371">
        <v>4.27</v>
      </c>
      <c r="J5371">
        <v>-3.6</v>
      </c>
      <c r="L5371">
        <v>-2.02</v>
      </c>
      <c r="M5371">
        <v>37.54</v>
      </c>
      <c r="N5371">
        <v>0.12</v>
      </c>
      <c r="O5371">
        <v>3.69</v>
      </c>
    </row>
    <row r="5372" spans="1:15">
      <c r="A5372" t="str">
        <f>"920394"</f>
        <v>920394</v>
      </c>
      <c r="B5372" t="s">
        <v>5417</v>
      </c>
      <c r="C5372">
        <v>-3.57</v>
      </c>
      <c r="D5372">
        <v>66.67</v>
      </c>
      <c r="E5372" t="s">
        <v>16</v>
      </c>
      <c r="F5372" t="s">
        <v>16</v>
      </c>
      <c r="H5372">
        <v>-0.48</v>
      </c>
      <c r="I5372">
        <v>47.17</v>
      </c>
      <c r="J5372">
        <v>-3.21</v>
      </c>
      <c r="L5372">
        <v>-2.11</v>
      </c>
      <c r="M5372">
        <v>194.74</v>
      </c>
      <c r="N5372">
        <v>0.06</v>
      </c>
      <c r="O5372">
        <v>0.69</v>
      </c>
    </row>
    <row r="5373" spans="1:15">
      <c r="A5373" t="str">
        <f>"920395"</f>
        <v>920395</v>
      </c>
      <c r="B5373" t="s">
        <v>5418</v>
      </c>
      <c r="C5373">
        <v>-1.73</v>
      </c>
      <c r="D5373">
        <v>7.96</v>
      </c>
      <c r="E5373" t="s">
        <v>16</v>
      </c>
      <c r="F5373" t="s">
        <v>16</v>
      </c>
      <c r="H5373">
        <v>1.14</v>
      </c>
      <c r="I5373">
        <v>0.76</v>
      </c>
      <c r="J5373">
        <v>-1.61</v>
      </c>
      <c r="L5373">
        <v>-0.74</v>
      </c>
      <c r="M5373">
        <v>3.02</v>
      </c>
      <c r="N5373">
        <v>0.01</v>
      </c>
      <c r="O5373" t="s">
        <v>16</v>
      </c>
    </row>
    <row r="5374" spans="1:15">
      <c r="A5374" t="str">
        <f>"920396"</f>
        <v>920396</v>
      </c>
      <c r="B5374" t="s">
        <v>5419</v>
      </c>
      <c r="C5374">
        <v>-3</v>
      </c>
      <c r="D5374">
        <v>23.28</v>
      </c>
      <c r="E5374" t="s">
        <v>16</v>
      </c>
      <c r="F5374" t="s">
        <v>16</v>
      </c>
      <c r="H5374">
        <v>-0.29</v>
      </c>
      <c r="I5374">
        <v>-3</v>
      </c>
      <c r="J5374">
        <v>-3.72</v>
      </c>
      <c r="L5374">
        <v>-0.62</v>
      </c>
      <c r="M5374">
        <v>4.4</v>
      </c>
      <c r="N5374">
        <v>0.01</v>
      </c>
      <c r="O5374">
        <v>0.04</v>
      </c>
    </row>
    <row r="5375" spans="1:15">
      <c r="A5375" t="str">
        <f>"920402"</f>
        <v>920402</v>
      </c>
      <c r="B5375" t="s">
        <v>5420</v>
      </c>
      <c r="C5375">
        <v>-5.28</v>
      </c>
      <c r="D5375">
        <v>12.2</v>
      </c>
      <c r="E5375" t="s">
        <v>16</v>
      </c>
      <c r="F5375" t="s">
        <v>16</v>
      </c>
      <c r="H5375">
        <v>-0.32</v>
      </c>
      <c r="I5375">
        <v>7.02</v>
      </c>
      <c r="J5375">
        <v>-5.28</v>
      </c>
      <c r="L5375">
        <v>-1.55</v>
      </c>
      <c r="M5375">
        <v>149.42</v>
      </c>
      <c r="N5375">
        <v>0.09</v>
      </c>
      <c r="O5375">
        <v>0.21</v>
      </c>
    </row>
    <row r="5376" spans="1:15">
      <c r="A5376" t="str">
        <f>"920403"</f>
        <v>920403</v>
      </c>
      <c r="B5376" t="s">
        <v>5421</v>
      </c>
      <c r="C5376">
        <v>0</v>
      </c>
      <c r="D5376">
        <v>19.56</v>
      </c>
      <c r="E5376" t="s">
        <v>16</v>
      </c>
      <c r="F5376" t="s">
        <v>16</v>
      </c>
      <c r="H5376">
        <v>0</v>
      </c>
      <c r="I5376">
        <v>-3.55</v>
      </c>
      <c r="J5376">
        <v>-0.96</v>
      </c>
      <c r="L5376">
        <v>0.97</v>
      </c>
      <c r="M5376">
        <v>7.9</v>
      </c>
      <c r="N5376">
        <v>0.01</v>
      </c>
      <c r="O5376">
        <v>4.44</v>
      </c>
    </row>
    <row r="5377" spans="1:15">
      <c r="A5377" t="str">
        <f>"920405"</f>
        <v>920405</v>
      </c>
      <c r="B5377" t="s">
        <v>5422</v>
      </c>
      <c r="C5377">
        <v>-4.18</v>
      </c>
      <c r="D5377">
        <v>12.6</v>
      </c>
      <c r="E5377" t="s">
        <v>16</v>
      </c>
      <c r="F5377" t="s">
        <v>16</v>
      </c>
      <c r="H5377">
        <v>0.8</v>
      </c>
      <c r="I5377">
        <v>1.78</v>
      </c>
      <c r="J5377">
        <v>-4.26</v>
      </c>
      <c r="L5377">
        <v>-0.08</v>
      </c>
      <c r="M5377">
        <v>6.26</v>
      </c>
      <c r="N5377">
        <v>0.01</v>
      </c>
      <c r="O5377">
        <v>1.4</v>
      </c>
    </row>
    <row r="5378" spans="1:15">
      <c r="A5378" t="str">
        <f>"920407"</f>
        <v>920407</v>
      </c>
      <c r="B5378" t="s">
        <v>5423</v>
      </c>
      <c r="C5378">
        <v>-5.55</v>
      </c>
      <c r="D5378">
        <v>14.12</v>
      </c>
      <c r="E5378" t="s">
        <v>16</v>
      </c>
      <c r="F5378" t="s">
        <v>16</v>
      </c>
      <c r="H5378">
        <v>-0.06</v>
      </c>
      <c r="I5378">
        <v>-2.28</v>
      </c>
      <c r="J5378">
        <v>-6.43</v>
      </c>
      <c r="L5378">
        <v>0.94</v>
      </c>
      <c r="M5378">
        <v>1.21</v>
      </c>
      <c r="N5378">
        <v>0</v>
      </c>
      <c r="O5378">
        <v>1</v>
      </c>
    </row>
    <row r="5379" spans="1:15">
      <c r="A5379" t="str">
        <f>"920414"</f>
        <v>920414</v>
      </c>
      <c r="B5379" t="s">
        <v>5424</v>
      </c>
      <c r="C5379">
        <v>-2.69</v>
      </c>
      <c r="D5379">
        <v>9.03</v>
      </c>
      <c r="E5379" t="s">
        <v>16</v>
      </c>
      <c r="F5379" t="s">
        <v>16</v>
      </c>
      <c r="H5379">
        <v>-0.1</v>
      </c>
      <c r="I5379">
        <v>-7.95</v>
      </c>
      <c r="J5379">
        <v>-2.69</v>
      </c>
      <c r="L5379">
        <v>0</v>
      </c>
      <c r="M5379">
        <v>14.75</v>
      </c>
      <c r="N5379">
        <v>0.03</v>
      </c>
      <c r="O5379">
        <v>1.89</v>
      </c>
    </row>
    <row r="5380" spans="1:15">
      <c r="A5380" t="str">
        <f>"920415"</f>
        <v>920415</v>
      </c>
      <c r="B5380" t="s">
        <v>5425</v>
      </c>
      <c r="C5380">
        <v>-2.9</v>
      </c>
      <c r="D5380">
        <v>10.04</v>
      </c>
      <c r="E5380" t="s">
        <v>16</v>
      </c>
      <c r="F5380" t="s">
        <v>16</v>
      </c>
      <c r="H5380">
        <v>0.1</v>
      </c>
      <c r="I5380">
        <v>-1.95</v>
      </c>
      <c r="J5380">
        <v>-4.56</v>
      </c>
      <c r="L5380">
        <v>1.74</v>
      </c>
      <c r="M5380">
        <v>1.05</v>
      </c>
      <c r="N5380">
        <v>0</v>
      </c>
      <c r="O5380">
        <v>0.07</v>
      </c>
    </row>
    <row r="5381" spans="1:15">
      <c r="A5381" t="str">
        <f>"920418"</f>
        <v>920418</v>
      </c>
      <c r="B5381" t="s">
        <v>5426</v>
      </c>
      <c r="C5381">
        <v>-1.53</v>
      </c>
      <c r="D5381">
        <v>21.82</v>
      </c>
      <c r="E5381" t="s">
        <v>16</v>
      </c>
      <c r="F5381" t="s">
        <v>16</v>
      </c>
      <c r="H5381">
        <v>0.09</v>
      </c>
      <c r="I5381">
        <v>3.31</v>
      </c>
      <c r="J5381">
        <v>-1.93</v>
      </c>
      <c r="L5381">
        <v>0</v>
      </c>
      <c r="M5381">
        <v>9.84</v>
      </c>
      <c r="N5381">
        <v>0.01</v>
      </c>
      <c r="O5381">
        <v>0.47</v>
      </c>
    </row>
    <row r="5382" spans="1:15">
      <c r="A5382" t="str">
        <f>"920419"</f>
        <v>920419</v>
      </c>
      <c r="B5382" t="s">
        <v>5427</v>
      </c>
      <c r="C5382">
        <v>-3.38</v>
      </c>
      <c r="D5382">
        <v>10.02</v>
      </c>
      <c r="E5382" t="s">
        <v>16</v>
      </c>
      <c r="F5382" t="s">
        <v>16</v>
      </c>
      <c r="H5382">
        <v>-0.29</v>
      </c>
      <c r="I5382">
        <v>-6.18</v>
      </c>
      <c r="J5382">
        <v>-4.93</v>
      </c>
      <c r="L5382">
        <v>0</v>
      </c>
      <c r="M5382">
        <v>0.21</v>
      </c>
      <c r="N5382">
        <v>0</v>
      </c>
      <c r="O5382" t="s">
        <v>16</v>
      </c>
    </row>
    <row r="5383" spans="1:15">
      <c r="A5383" t="str">
        <f>"920422"</f>
        <v>920422</v>
      </c>
      <c r="B5383" t="s">
        <v>5428</v>
      </c>
      <c r="C5383">
        <v>-2.89</v>
      </c>
      <c r="D5383">
        <v>9.06</v>
      </c>
      <c r="E5383" t="s">
        <v>16</v>
      </c>
      <c r="F5383" t="s">
        <v>16</v>
      </c>
      <c r="H5383">
        <v>0.89</v>
      </c>
      <c r="I5383">
        <v>-7.27</v>
      </c>
      <c r="J5383">
        <v>-2.79</v>
      </c>
      <c r="L5383">
        <v>-0.64</v>
      </c>
      <c r="M5383">
        <v>0</v>
      </c>
      <c r="N5383">
        <v>0</v>
      </c>
      <c r="O5383">
        <v>0</v>
      </c>
    </row>
    <row r="5384" spans="1:15">
      <c r="A5384" t="str">
        <f>"920425"</f>
        <v>920425</v>
      </c>
      <c r="B5384" t="s">
        <v>5429</v>
      </c>
      <c r="C5384">
        <v>0.26</v>
      </c>
      <c r="D5384">
        <v>27.06</v>
      </c>
      <c r="E5384" t="s">
        <v>16</v>
      </c>
      <c r="F5384" t="s">
        <v>16</v>
      </c>
      <c r="H5384">
        <v>0.04</v>
      </c>
      <c r="I5384">
        <v>16.19</v>
      </c>
      <c r="J5384">
        <v>-0.7</v>
      </c>
      <c r="L5384">
        <v>-0.52</v>
      </c>
      <c r="M5384">
        <v>11.91</v>
      </c>
      <c r="N5384">
        <v>0.01</v>
      </c>
      <c r="O5384">
        <v>0.1</v>
      </c>
    </row>
    <row r="5385" spans="1:15">
      <c r="A5385" t="str">
        <f>"920427"</f>
        <v>920427</v>
      </c>
      <c r="B5385" t="s">
        <v>5430</v>
      </c>
      <c r="C5385">
        <v>-6.04</v>
      </c>
      <c r="D5385">
        <v>11.05</v>
      </c>
      <c r="E5385" t="s">
        <v>16</v>
      </c>
      <c r="F5385" t="s">
        <v>16</v>
      </c>
      <c r="H5385">
        <v>0</v>
      </c>
      <c r="I5385">
        <v>-22.07</v>
      </c>
      <c r="J5385">
        <v>-6.04</v>
      </c>
      <c r="L5385">
        <v>-1.36</v>
      </c>
      <c r="M5385">
        <v>5.21</v>
      </c>
      <c r="N5385">
        <v>0.01</v>
      </c>
      <c r="O5385">
        <v>0.32</v>
      </c>
    </row>
    <row r="5386" spans="1:15">
      <c r="A5386" t="str">
        <f>"920429"</f>
        <v>920429</v>
      </c>
      <c r="B5386" t="s">
        <v>5431</v>
      </c>
      <c r="C5386">
        <v>-3.76</v>
      </c>
      <c r="D5386">
        <v>9.98</v>
      </c>
      <c r="E5386" t="s">
        <v>16</v>
      </c>
      <c r="F5386" t="s">
        <v>16</v>
      </c>
      <c r="H5386">
        <v>0.3</v>
      </c>
      <c r="I5386">
        <v>-8.52</v>
      </c>
      <c r="J5386">
        <v>-4.04</v>
      </c>
      <c r="L5386">
        <v>0.29</v>
      </c>
      <c r="M5386">
        <v>15.52</v>
      </c>
      <c r="N5386">
        <v>0.02</v>
      </c>
      <c r="O5386">
        <v>1.76</v>
      </c>
    </row>
    <row r="5387" spans="1:15">
      <c r="A5387" t="str">
        <f>"920433"</f>
        <v>920433</v>
      </c>
      <c r="B5387" t="s">
        <v>5432</v>
      </c>
      <c r="C5387">
        <v>-1.3</v>
      </c>
      <c r="D5387">
        <v>4.55</v>
      </c>
      <c r="E5387" t="s">
        <v>16</v>
      </c>
      <c r="F5387" t="s">
        <v>16</v>
      </c>
      <c r="H5387">
        <v>0</v>
      </c>
      <c r="I5387">
        <v>-0.44</v>
      </c>
      <c r="J5387">
        <v>-1.94</v>
      </c>
      <c r="L5387">
        <v>-1.3</v>
      </c>
      <c r="M5387">
        <v>4.56</v>
      </c>
      <c r="N5387">
        <v>0.01</v>
      </c>
      <c r="O5387" t="s">
        <v>16</v>
      </c>
    </row>
    <row r="5388" spans="1:15">
      <c r="A5388" t="str">
        <f>"920436"</f>
        <v>920436</v>
      </c>
      <c r="B5388" t="s">
        <v>5433</v>
      </c>
      <c r="C5388">
        <v>-3.54</v>
      </c>
      <c r="D5388">
        <v>11.44</v>
      </c>
      <c r="E5388" t="s">
        <v>16</v>
      </c>
      <c r="F5388" t="s">
        <v>16</v>
      </c>
      <c r="H5388">
        <v>-0.51</v>
      </c>
      <c r="I5388">
        <v>-6.15</v>
      </c>
      <c r="J5388">
        <v>-4.03</v>
      </c>
      <c r="L5388">
        <v>0.51</v>
      </c>
      <c r="M5388">
        <v>5.63</v>
      </c>
      <c r="N5388">
        <v>0.01</v>
      </c>
      <c r="O5388">
        <v>2.25</v>
      </c>
    </row>
    <row r="5389" spans="1:15">
      <c r="A5389" t="str">
        <f>"920438"</f>
        <v>920438</v>
      </c>
      <c r="B5389" t="s">
        <v>5434</v>
      </c>
      <c r="C5389">
        <v>-1.14</v>
      </c>
      <c r="D5389">
        <v>104</v>
      </c>
      <c r="E5389" t="s">
        <v>16</v>
      </c>
      <c r="F5389" t="s">
        <v>16</v>
      </c>
      <c r="H5389">
        <v>-0.28</v>
      </c>
      <c r="I5389">
        <v>25.41</v>
      </c>
      <c r="J5389">
        <v>-0.95</v>
      </c>
      <c r="L5389">
        <v>-2.09</v>
      </c>
      <c r="M5389">
        <v>1532.84</v>
      </c>
      <c r="N5389">
        <v>0.17</v>
      </c>
      <c r="O5389">
        <v>0.95</v>
      </c>
    </row>
    <row r="5390" spans="1:15">
      <c r="A5390" t="str">
        <f>"920445"</f>
        <v>920445</v>
      </c>
      <c r="B5390" t="s">
        <v>5435</v>
      </c>
      <c r="C5390">
        <v>-3.06</v>
      </c>
      <c r="D5390">
        <v>6.97</v>
      </c>
      <c r="E5390" t="s">
        <v>16</v>
      </c>
      <c r="F5390" t="s">
        <v>16</v>
      </c>
      <c r="H5390">
        <v>-0.13</v>
      </c>
      <c r="I5390">
        <v>-7.19</v>
      </c>
      <c r="J5390">
        <v>-2.79</v>
      </c>
      <c r="L5390">
        <v>-0.56</v>
      </c>
      <c r="M5390">
        <v>0.71</v>
      </c>
      <c r="N5390">
        <v>0</v>
      </c>
      <c r="O5390">
        <v>0.76</v>
      </c>
    </row>
    <row r="5391" spans="1:15">
      <c r="A5391" t="str">
        <f>"920454"</f>
        <v>920454</v>
      </c>
      <c r="B5391" t="s">
        <v>5436</v>
      </c>
      <c r="C5391">
        <v>-2.31</v>
      </c>
      <c r="D5391">
        <v>12.25</v>
      </c>
      <c r="E5391" t="s">
        <v>16</v>
      </c>
      <c r="F5391" t="s">
        <v>16</v>
      </c>
      <c r="H5391">
        <v>0.99</v>
      </c>
      <c r="I5391">
        <v>-2.55</v>
      </c>
      <c r="J5391">
        <v>-2.31</v>
      </c>
      <c r="L5391">
        <v>0</v>
      </c>
      <c r="M5391">
        <v>0</v>
      </c>
      <c r="N5391">
        <v>0</v>
      </c>
      <c r="O5391">
        <v>0</v>
      </c>
    </row>
    <row r="5392" spans="1:15">
      <c r="A5392" t="str">
        <f>"920455"</f>
        <v>920455</v>
      </c>
      <c r="B5392" t="s">
        <v>5437</v>
      </c>
      <c r="C5392">
        <v>-4.78</v>
      </c>
      <c r="D5392">
        <v>6.18</v>
      </c>
      <c r="E5392" t="s">
        <v>16</v>
      </c>
      <c r="F5392" t="s">
        <v>16</v>
      </c>
      <c r="H5392">
        <v>-0.15</v>
      </c>
      <c r="I5392">
        <v>-5.79</v>
      </c>
      <c r="J5392">
        <v>-4.92</v>
      </c>
      <c r="L5392">
        <v>0.15</v>
      </c>
      <c r="M5392">
        <v>0</v>
      </c>
      <c r="N5392">
        <v>0</v>
      </c>
      <c r="O5392" t="s">
        <v>16</v>
      </c>
    </row>
    <row r="5393" spans="1:15">
      <c r="A5393" t="str">
        <f>"920469"</f>
        <v>920469</v>
      </c>
      <c r="B5393" t="s">
        <v>5438</v>
      </c>
      <c r="C5393">
        <v>-2.36</v>
      </c>
      <c r="D5393">
        <v>6.62</v>
      </c>
      <c r="E5393" t="s">
        <v>16</v>
      </c>
      <c r="F5393" t="s">
        <v>16</v>
      </c>
      <c r="H5393">
        <v>-0.29</v>
      </c>
      <c r="I5393">
        <v>-2.5</v>
      </c>
      <c r="J5393">
        <v>-2.79</v>
      </c>
      <c r="L5393">
        <v>-0.59</v>
      </c>
      <c r="M5393">
        <v>0</v>
      </c>
      <c r="N5393">
        <v>0</v>
      </c>
      <c r="O5393">
        <v>0</v>
      </c>
    </row>
    <row r="5394" spans="1:15">
      <c r="A5394" t="str">
        <f>"920471"</f>
        <v>920471</v>
      </c>
      <c r="B5394" t="s">
        <v>5439</v>
      </c>
      <c r="C5394">
        <v>-3.74</v>
      </c>
      <c r="D5394">
        <v>12.09</v>
      </c>
      <c r="E5394" t="s">
        <v>16</v>
      </c>
      <c r="F5394" t="s">
        <v>16</v>
      </c>
      <c r="H5394">
        <v>0.25</v>
      </c>
      <c r="I5394">
        <v>3.6</v>
      </c>
      <c r="J5394">
        <v>-4.65</v>
      </c>
      <c r="L5394">
        <v>0.96</v>
      </c>
      <c r="M5394">
        <v>7.35</v>
      </c>
      <c r="N5394">
        <v>0.02</v>
      </c>
      <c r="O5394">
        <v>8.28</v>
      </c>
    </row>
    <row r="5395" spans="1:15">
      <c r="A5395" t="str">
        <f>"920475"</f>
        <v>920475</v>
      </c>
      <c r="B5395" t="s">
        <v>5440</v>
      </c>
      <c r="C5395">
        <v>-2.95</v>
      </c>
      <c r="D5395">
        <v>12.83</v>
      </c>
      <c r="E5395" t="s">
        <v>16</v>
      </c>
      <c r="F5395" t="s">
        <v>16</v>
      </c>
      <c r="H5395">
        <v>-0.15</v>
      </c>
      <c r="I5395">
        <v>1.58</v>
      </c>
      <c r="J5395">
        <v>-2.8</v>
      </c>
      <c r="L5395">
        <v>-0.53</v>
      </c>
      <c r="M5395">
        <v>0</v>
      </c>
      <c r="N5395">
        <v>0</v>
      </c>
      <c r="O5395">
        <v>0</v>
      </c>
    </row>
    <row r="5396" spans="1:15">
      <c r="A5396" t="str">
        <f>"920476"</f>
        <v>920476</v>
      </c>
      <c r="B5396" t="s">
        <v>5441</v>
      </c>
      <c r="C5396">
        <v>-3.66</v>
      </c>
      <c r="D5396">
        <v>19.21</v>
      </c>
      <c r="E5396" t="s">
        <v>16</v>
      </c>
      <c r="F5396" t="s">
        <v>16</v>
      </c>
      <c r="H5396">
        <v>-0.61</v>
      </c>
      <c r="I5396">
        <v>-4</v>
      </c>
      <c r="J5396">
        <v>-3.52</v>
      </c>
      <c r="L5396">
        <v>-0.15</v>
      </c>
      <c r="M5396">
        <v>2.99</v>
      </c>
      <c r="N5396">
        <v>0</v>
      </c>
      <c r="O5396">
        <v>0.31</v>
      </c>
    </row>
    <row r="5397" spans="1:15">
      <c r="A5397" t="str">
        <f>"920478"</f>
        <v>920478</v>
      </c>
      <c r="B5397" t="s">
        <v>5442</v>
      </c>
      <c r="C5397">
        <v>-3.38</v>
      </c>
      <c r="D5397">
        <v>8.57</v>
      </c>
      <c r="E5397" t="s">
        <v>16</v>
      </c>
      <c r="F5397" t="s">
        <v>16</v>
      </c>
      <c r="H5397">
        <v>0.12</v>
      </c>
      <c r="I5397">
        <v>-7.35</v>
      </c>
      <c r="J5397">
        <v>-5.3</v>
      </c>
      <c r="L5397">
        <v>-0.11</v>
      </c>
      <c r="M5397">
        <v>0.58</v>
      </c>
      <c r="N5397">
        <v>0</v>
      </c>
      <c r="O5397">
        <v>0.6</v>
      </c>
    </row>
    <row r="5398" spans="1:15">
      <c r="A5398" t="str">
        <f>"920489"</f>
        <v>920489</v>
      </c>
      <c r="B5398" t="s">
        <v>5443</v>
      </c>
      <c r="C5398">
        <v>-4.74</v>
      </c>
      <c r="D5398">
        <v>15.08</v>
      </c>
      <c r="E5398" t="s">
        <v>16</v>
      </c>
      <c r="F5398" t="s">
        <v>16</v>
      </c>
      <c r="H5398">
        <v>-0.25</v>
      </c>
      <c r="I5398">
        <v>-2.96</v>
      </c>
      <c r="J5398">
        <v>-4.68</v>
      </c>
      <c r="L5398">
        <v>-0.82</v>
      </c>
      <c r="M5398">
        <v>52.53</v>
      </c>
      <c r="N5398">
        <v>0.04</v>
      </c>
      <c r="O5398">
        <v>0.91</v>
      </c>
    </row>
    <row r="5399" spans="1:15">
      <c r="A5399" t="str">
        <f>"920491"</f>
        <v>920491</v>
      </c>
      <c r="B5399" t="s">
        <v>5444</v>
      </c>
      <c r="C5399">
        <v>4.69</v>
      </c>
      <c r="D5399">
        <v>32.35</v>
      </c>
      <c r="E5399" t="s">
        <v>16</v>
      </c>
      <c r="F5399" t="s">
        <v>16</v>
      </c>
      <c r="H5399">
        <v>-0.33</v>
      </c>
      <c r="I5399">
        <v>18.41</v>
      </c>
      <c r="J5399">
        <v>-1.97</v>
      </c>
      <c r="L5399">
        <v>0.1</v>
      </c>
      <c r="M5399">
        <v>15.98</v>
      </c>
      <c r="N5399">
        <v>0</v>
      </c>
      <c r="O5399">
        <v>0.08</v>
      </c>
    </row>
    <row r="5400" spans="1:15">
      <c r="A5400" t="str">
        <f>"920493"</f>
        <v>920493</v>
      </c>
      <c r="B5400" t="s">
        <v>5445</v>
      </c>
      <c r="C5400">
        <v>1.07</v>
      </c>
      <c r="D5400">
        <v>133.59</v>
      </c>
      <c r="E5400" t="s">
        <v>16</v>
      </c>
      <c r="F5400" t="s">
        <v>16</v>
      </c>
      <c r="H5400">
        <v>0.07</v>
      </c>
      <c r="I5400">
        <v>-3.19</v>
      </c>
      <c r="J5400">
        <v>-1.45</v>
      </c>
      <c r="L5400">
        <v>1.38</v>
      </c>
      <c r="M5400">
        <v>128</v>
      </c>
      <c r="N5400">
        <v>0.03</v>
      </c>
      <c r="O5400">
        <v>1.31</v>
      </c>
    </row>
    <row r="5401" spans="1:15">
      <c r="A5401" t="str">
        <f>"920496"</f>
        <v>920496</v>
      </c>
      <c r="B5401" t="s">
        <v>5446</v>
      </c>
      <c r="C5401">
        <v>-3.78</v>
      </c>
      <c r="D5401">
        <v>6.87</v>
      </c>
      <c r="E5401" t="s">
        <v>16</v>
      </c>
      <c r="F5401" t="s">
        <v>16</v>
      </c>
      <c r="H5401">
        <v>-0.14</v>
      </c>
      <c r="I5401">
        <v>-9.49</v>
      </c>
      <c r="J5401">
        <v>-3.51</v>
      </c>
      <c r="L5401">
        <v>-0.28</v>
      </c>
      <c r="M5401">
        <v>0.32</v>
      </c>
      <c r="N5401">
        <v>0</v>
      </c>
      <c r="O5401">
        <v>0.9</v>
      </c>
    </row>
    <row r="5402" spans="1:15">
      <c r="A5402" t="str">
        <f>"920504"</f>
        <v>920504</v>
      </c>
      <c r="B5402" t="s">
        <v>5447</v>
      </c>
      <c r="C5402">
        <v>-2.55</v>
      </c>
      <c r="D5402">
        <v>16.83</v>
      </c>
      <c r="E5402" t="s">
        <v>16</v>
      </c>
      <c r="F5402" t="s">
        <v>16</v>
      </c>
      <c r="H5402">
        <v>-0.05</v>
      </c>
      <c r="I5402">
        <v>-4.92</v>
      </c>
      <c r="J5402">
        <v>-2.89</v>
      </c>
      <c r="L5402">
        <v>0.17</v>
      </c>
      <c r="M5402">
        <v>0</v>
      </c>
      <c r="N5402">
        <v>0</v>
      </c>
      <c r="O5402" t="s">
        <v>16</v>
      </c>
    </row>
    <row r="5403" spans="1:15">
      <c r="A5403" t="str">
        <f>"920505"</f>
        <v>920505</v>
      </c>
      <c r="B5403" t="s">
        <v>5448</v>
      </c>
      <c r="C5403">
        <v>1.69</v>
      </c>
      <c r="D5403">
        <v>35.6</v>
      </c>
      <c r="E5403" t="s">
        <v>16</v>
      </c>
      <c r="F5403" t="s">
        <v>16</v>
      </c>
      <c r="H5403">
        <v>0.14</v>
      </c>
      <c r="I5403">
        <v>6.55</v>
      </c>
      <c r="J5403">
        <v>-5.55</v>
      </c>
      <c r="L5403">
        <v>-0.06</v>
      </c>
      <c r="M5403">
        <v>2.45</v>
      </c>
      <c r="N5403">
        <v>0</v>
      </c>
      <c r="O5403">
        <v>0.04</v>
      </c>
    </row>
    <row r="5404" spans="1:15">
      <c r="A5404" t="str">
        <f>"920508"</f>
        <v>920508</v>
      </c>
      <c r="B5404" t="s">
        <v>5449</v>
      </c>
      <c r="C5404">
        <v>-3.03</v>
      </c>
      <c r="D5404">
        <v>15.06</v>
      </c>
      <c r="E5404" t="s">
        <v>16</v>
      </c>
      <c r="F5404" t="s">
        <v>16</v>
      </c>
      <c r="H5404">
        <v>-0.78</v>
      </c>
      <c r="I5404">
        <v>-4.74</v>
      </c>
      <c r="J5404">
        <v>-4.68</v>
      </c>
      <c r="L5404">
        <v>1.74</v>
      </c>
      <c r="M5404">
        <v>0.85</v>
      </c>
      <c r="N5404">
        <v>0</v>
      </c>
      <c r="O5404">
        <v>0.12</v>
      </c>
    </row>
    <row r="5405" spans="1:15">
      <c r="A5405" t="str">
        <f>"920509"</f>
        <v>920509</v>
      </c>
      <c r="B5405" t="s">
        <v>5450</v>
      </c>
      <c r="C5405">
        <v>2.47</v>
      </c>
      <c r="D5405">
        <v>33.16</v>
      </c>
      <c r="E5405" t="s">
        <v>16</v>
      </c>
      <c r="F5405" t="s">
        <v>16</v>
      </c>
      <c r="H5405">
        <v>0.79</v>
      </c>
      <c r="I5405">
        <v>8.72</v>
      </c>
      <c r="J5405">
        <v>-1.01</v>
      </c>
      <c r="L5405">
        <v>0.03</v>
      </c>
      <c r="M5405">
        <v>37.09</v>
      </c>
      <c r="N5405">
        <v>0.02</v>
      </c>
      <c r="O5405">
        <v>0.51</v>
      </c>
    </row>
    <row r="5406" spans="1:15">
      <c r="A5406" t="str">
        <f>"920510"</f>
        <v>920510</v>
      </c>
      <c r="B5406" t="s">
        <v>5451</v>
      </c>
      <c r="C5406">
        <v>7.87</v>
      </c>
      <c r="D5406">
        <v>20.7</v>
      </c>
      <c r="E5406" t="s">
        <v>16</v>
      </c>
      <c r="F5406" t="s">
        <v>16</v>
      </c>
      <c r="H5406">
        <v>-0.09</v>
      </c>
      <c r="I5406">
        <v>36.9</v>
      </c>
      <c r="J5406">
        <v>-1.38</v>
      </c>
      <c r="L5406">
        <v>1.41</v>
      </c>
      <c r="M5406">
        <v>117.49</v>
      </c>
      <c r="N5406">
        <v>0.09</v>
      </c>
      <c r="O5406">
        <v>1.24</v>
      </c>
    </row>
    <row r="5407" spans="1:15">
      <c r="A5407" t="str">
        <f>"920519"</f>
        <v>920519</v>
      </c>
      <c r="B5407" t="s">
        <v>5452</v>
      </c>
      <c r="C5407">
        <v>-3.09</v>
      </c>
      <c r="D5407">
        <v>9.71</v>
      </c>
      <c r="E5407" t="s">
        <v>16</v>
      </c>
      <c r="F5407" t="s">
        <v>16</v>
      </c>
      <c r="H5407">
        <v>0.31</v>
      </c>
      <c r="I5407">
        <v>-5.82</v>
      </c>
      <c r="J5407">
        <v>-2.71</v>
      </c>
      <c r="L5407">
        <v>-0.4</v>
      </c>
      <c r="M5407">
        <v>0.67</v>
      </c>
      <c r="N5407">
        <v>0</v>
      </c>
      <c r="O5407">
        <v>0.75</v>
      </c>
    </row>
    <row r="5408" spans="1:15">
      <c r="A5408" t="str">
        <f>"920522"</f>
        <v>920522</v>
      </c>
      <c r="B5408" t="s">
        <v>5453</v>
      </c>
      <c r="C5408">
        <v>-5.42</v>
      </c>
      <c r="D5408">
        <v>27.75</v>
      </c>
      <c r="E5408" t="s">
        <v>16</v>
      </c>
      <c r="F5408" t="s">
        <v>16</v>
      </c>
      <c r="H5408">
        <v>-0.17</v>
      </c>
      <c r="I5408">
        <v>-9.05</v>
      </c>
      <c r="J5408">
        <v>-4.54</v>
      </c>
      <c r="L5408">
        <v>-0.99</v>
      </c>
      <c r="M5408">
        <v>47.98</v>
      </c>
      <c r="N5408">
        <v>0.01</v>
      </c>
      <c r="O5408">
        <v>0.3</v>
      </c>
    </row>
    <row r="5409" spans="1:15">
      <c r="A5409" t="str">
        <f>"920523"</f>
        <v>920523</v>
      </c>
      <c r="B5409" t="s">
        <v>5454</v>
      </c>
      <c r="C5409">
        <v>-3.78</v>
      </c>
      <c r="D5409">
        <v>18.09</v>
      </c>
      <c r="E5409" t="s">
        <v>16</v>
      </c>
      <c r="F5409" t="s">
        <v>16</v>
      </c>
      <c r="H5409">
        <v>0.06</v>
      </c>
      <c r="I5409">
        <v>0.44</v>
      </c>
      <c r="J5409">
        <v>-3.78</v>
      </c>
      <c r="L5409">
        <v>0</v>
      </c>
      <c r="M5409">
        <v>0.61</v>
      </c>
      <c r="N5409">
        <v>0</v>
      </c>
      <c r="O5409">
        <v>0.02</v>
      </c>
    </row>
    <row r="5410" spans="1:15">
      <c r="A5410" t="str">
        <f>"920526"</f>
        <v>920526</v>
      </c>
      <c r="B5410" t="s">
        <v>5455</v>
      </c>
      <c r="C5410">
        <v>-4.3</v>
      </c>
      <c r="D5410">
        <v>29.57</v>
      </c>
      <c r="E5410" t="s">
        <v>16</v>
      </c>
      <c r="F5410" t="s">
        <v>16</v>
      </c>
      <c r="H5410">
        <v>-0.16</v>
      </c>
      <c r="I5410">
        <v>4.01</v>
      </c>
      <c r="J5410">
        <v>-4.55</v>
      </c>
      <c r="L5410">
        <v>-0.65</v>
      </c>
      <c r="M5410">
        <v>32.96</v>
      </c>
      <c r="N5410">
        <v>0.04</v>
      </c>
      <c r="O5410">
        <v>0.28</v>
      </c>
    </row>
    <row r="5411" spans="1:15">
      <c r="A5411" t="str">
        <f>"920527"</f>
        <v>920527</v>
      </c>
      <c r="B5411" t="s">
        <v>5456</v>
      </c>
      <c r="C5411">
        <v>-3.76</v>
      </c>
      <c r="D5411">
        <v>13.3</v>
      </c>
      <c r="E5411" t="s">
        <v>16</v>
      </c>
      <c r="F5411" t="s">
        <v>16</v>
      </c>
      <c r="H5411">
        <v>-0.59</v>
      </c>
      <c r="I5411">
        <v>-6.34</v>
      </c>
      <c r="J5411">
        <v>-3.9</v>
      </c>
      <c r="L5411">
        <v>-0.14</v>
      </c>
      <c r="M5411">
        <v>2.76</v>
      </c>
      <c r="N5411">
        <v>0.01</v>
      </c>
      <c r="O5411">
        <v>0.38</v>
      </c>
    </row>
    <row r="5412" spans="1:15">
      <c r="A5412" t="str">
        <f>"920533"</f>
        <v>920533</v>
      </c>
      <c r="B5412" t="s">
        <v>5457</v>
      </c>
      <c r="C5412">
        <v>-2.05</v>
      </c>
      <c r="D5412">
        <v>21.51</v>
      </c>
      <c r="E5412" t="s">
        <v>16</v>
      </c>
      <c r="F5412" t="s">
        <v>16</v>
      </c>
      <c r="H5412">
        <v>-0.36</v>
      </c>
      <c r="I5412">
        <v>-1.51</v>
      </c>
      <c r="J5412">
        <v>-3.15</v>
      </c>
      <c r="L5412">
        <v>0</v>
      </c>
      <c r="M5412">
        <v>5.05</v>
      </c>
      <c r="N5412">
        <v>0</v>
      </c>
      <c r="O5412">
        <v>0.38</v>
      </c>
    </row>
    <row r="5413" spans="1:15">
      <c r="A5413" t="str">
        <f>"920541"</f>
        <v>920541</v>
      </c>
      <c r="B5413" t="s">
        <v>5458</v>
      </c>
      <c r="C5413">
        <v>-3.81</v>
      </c>
      <c r="D5413">
        <v>10.09</v>
      </c>
      <c r="E5413" t="s">
        <v>16</v>
      </c>
      <c r="F5413" t="s">
        <v>16</v>
      </c>
      <c r="H5413">
        <v>0</v>
      </c>
      <c r="I5413">
        <v>-0.49</v>
      </c>
      <c r="J5413">
        <v>-4.81</v>
      </c>
      <c r="L5413">
        <v>1.05</v>
      </c>
      <c r="M5413">
        <v>1.17</v>
      </c>
      <c r="N5413">
        <v>0</v>
      </c>
      <c r="O5413">
        <v>0.03</v>
      </c>
    </row>
    <row r="5414" spans="1:15">
      <c r="A5414" t="str">
        <f>"920547"</f>
        <v>920547</v>
      </c>
      <c r="B5414" t="s">
        <v>5459</v>
      </c>
      <c r="C5414">
        <v>0</v>
      </c>
      <c r="D5414">
        <v>19.9</v>
      </c>
      <c r="E5414" t="s">
        <v>16</v>
      </c>
      <c r="F5414" t="s">
        <v>16</v>
      </c>
      <c r="H5414">
        <v>0.05</v>
      </c>
      <c r="I5414">
        <v>1.69</v>
      </c>
      <c r="J5414">
        <v>-0.7</v>
      </c>
      <c r="L5414">
        <v>0.35</v>
      </c>
      <c r="M5414">
        <v>0.2</v>
      </c>
      <c r="N5414">
        <v>0</v>
      </c>
      <c r="O5414">
        <v>0.07</v>
      </c>
    </row>
    <row r="5415" spans="1:15">
      <c r="A5415" t="str">
        <f>"920553"</f>
        <v>920553</v>
      </c>
      <c r="B5415" t="s">
        <v>5460</v>
      </c>
      <c r="C5415">
        <v>-4.83</v>
      </c>
      <c r="D5415">
        <v>6.9</v>
      </c>
      <c r="E5415" t="s">
        <v>16</v>
      </c>
      <c r="F5415" t="s">
        <v>16</v>
      </c>
      <c r="H5415">
        <v>-0.28</v>
      </c>
      <c r="I5415">
        <v>-4.3</v>
      </c>
      <c r="J5415">
        <v>-4.3</v>
      </c>
      <c r="L5415">
        <v>-0.55</v>
      </c>
      <c r="M5415">
        <v>0</v>
      </c>
      <c r="N5415">
        <v>0</v>
      </c>
      <c r="O5415">
        <v>0</v>
      </c>
    </row>
    <row r="5416" spans="1:15">
      <c r="A5416" t="str">
        <f>"920556"</f>
        <v>920556</v>
      </c>
      <c r="B5416" t="s">
        <v>5461</v>
      </c>
      <c r="C5416">
        <v>-3.65</v>
      </c>
      <c r="D5416">
        <v>7.65</v>
      </c>
      <c r="E5416" t="s">
        <v>16</v>
      </c>
      <c r="F5416" t="s">
        <v>16</v>
      </c>
      <c r="H5416">
        <v>0</v>
      </c>
      <c r="I5416">
        <v>-4.85</v>
      </c>
      <c r="J5416">
        <v>-4.26</v>
      </c>
      <c r="L5416">
        <v>-0.5</v>
      </c>
      <c r="M5416">
        <v>0</v>
      </c>
      <c r="N5416">
        <v>0</v>
      </c>
      <c r="O5416">
        <v>0</v>
      </c>
    </row>
    <row r="5417" spans="1:15">
      <c r="A5417" t="str">
        <f>"920564"</f>
        <v>920564</v>
      </c>
      <c r="B5417" t="s">
        <v>5462</v>
      </c>
      <c r="C5417">
        <v>-1.99</v>
      </c>
      <c r="D5417">
        <v>17.75</v>
      </c>
      <c r="E5417" t="s">
        <v>16</v>
      </c>
      <c r="F5417" t="s">
        <v>16</v>
      </c>
      <c r="H5417">
        <v>-0.1</v>
      </c>
      <c r="I5417">
        <v>-1.61</v>
      </c>
      <c r="J5417">
        <v>-3.95</v>
      </c>
      <c r="L5417">
        <v>0.28</v>
      </c>
      <c r="M5417">
        <v>2.73</v>
      </c>
      <c r="N5417">
        <v>0</v>
      </c>
      <c r="O5417">
        <v>0.42</v>
      </c>
    </row>
    <row r="5418" spans="1:15">
      <c r="A5418" t="str">
        <f>"920566"</f>
        <v>920566</v>
      </c>
      <c r="B5418" t="s">
        <v>5463</v>
      </c>
      <c r="C5418">
        <v>1.25</v>
      </c>
      <c r="D5418">
        <v>9.74</v>
      </c>
      <c r="E5418" t="s">
        <v>16</v>
      </c>
      <c r="F5418" t="s">
        <v>16</v>
      </c>
      <c r="H5418">
        <v>0</v>
      </c>
      <c r="I5418">
        <v>0.93</v>
      </c>
      <c r="J5418">
        <v>-0.61</v>
      </c>
      <c r="L5418">
        <v>0</v>
      </c>
      <c r="M5418">
        <v>0</v>
      </c>
      <c r="N5418">
        <v>0</v>
      </c>
      <c r="O5418" t="s">
        <v>16</v>
      </c>
    </row>
    <row r="5419" spans="1:15">
      <c r="A5419" t="str">
        <f>"920570"</f>
        <v>920570</v>
      </c>
      <c r="B5419" t="s">
        <v>5464</v>
      </c>
      <c r="C5419">
        <v>-2.43</v>
      </c>
      <c r="D5419">
        <v>26.15</v>
      </c>
      <c r="E5419" t="s">
        <v>16</v>
      </c>
      <c r="F5419" t="s">
        <v>16</v>
      </c>
      <c r="H5419">
        <v>0.77</v>
      </c>
      <c r="I5419">
        <v>1.24</v>
      </c>
      <c r="J5419">
        <v>-3.04</v>
      </c>
      <c r="L5419">
        <v>0.63</v>
      </c>
      <c r="M5419">
        <v>1.62</v>
      </c>
      <c r="N5419">
        <v>0</v>
      </c>
      <c r="O5419">
        <v>1.5</v>
      </c>
    </row>
    <row r="5420" spans="1:15">
      <c r="A5420" t="str">
        <f>"920571"</f>
        <v>920571</v>
      </c>
      <c r="B5420" t="s">
        <v>5465</v>
      </c>
      <c r="C5420">
        <v>-2.66</v>
      </c>
      <c r="D5420">
        <v>9.88</v>
      </c>
      <c r="E5420" t="s">
        <v>16</v>
      </c>
      <c r="F5420" t="s">
        <v>16</v>
      </c>
      <c r="H5420">
        <v>0.1</v>
      </c>
      <c r="I5420">
        <v>4.77</v>
      </c>
      <c r="J5420">
        <v>-3.52</v>
      </c>
      <c r="L5420">
        <v>-0.79</v>
      </c>
      <c r="M5420">
        <v>108.32</v>
      </c>
      <c r="N5420">
        <v>0.05</v>
      </c>
      <c r="O5420">
        <v>1.17</v>
      </c>
    </row>
    <row r="5421" spans="1:15">
      <c r="A5421" t="str">
        <f>"920575"</f>
        <v>920575</v>
      </c>
      <c r="B5421" t="s">
        <v>5466</v>
      </c>
      <c r="C5421">
        <v>2.46</v>
      </c>
      <c r="D5421">
        <v>4.16</v>
      </c>
      <c r="E5421" t="s">
        <v>16</v>
      </c>
      <c r="F5421" t="s">
        <v>16</v>
      </c>
      <c r="H5421">
        <v>-0.23</v>
      </c>
      <c r="I5421">
        <v>-1.65</v>
      </c>
      <c r="J5421">
        <v>-6.52</v>
      </c>
      <c r="L5421">
        <v>2.22</v>
      </c>
      <c r="M5421">
        <v>17.98</v>
      </c>
      <c r="N5421">
        <v>0.02</v>
      </c>
      <c r="O5421">
        <v>0.75</v>
      </c>
    </row>
    <row r="5422" spans="1:15">
      <c r="A5422" t="str">
        <f>"920576"</f>
        <v>920576</v>
      </c>
      <c r="B5422" t="s">
        <v>5467</v>
      </c>
      <c r="C5422">
        <v>-3.24</v>
      </c>
      <c r="D5422">
        <v>59.49</v>
      </c>
      <c r="E5422" t="s">
        <v>16</v>
      </c>
      <c r="F5422" t="s">
        <v>16</v>
      </c>
      <c r="H5422">
        <v>0.22</v>
      </c>
      <c r="I5422">
        <v>4.66</v>
      </c>
      <c r="J5422">
        <v>-2.76</v>
      </c>
      <c r="L5422">
        <v>-2.41</v>
      </c>
      <c r="M5422">
        <v>237.16</v>
      </c>
      <c r="N5422">
        <v>0.14</v>
      </c>
      <c r="O5422">
        <v>1.97</v>
      </c>
    </row>
    <row r="5423" spans="1:15">
      <c r="A5423" t="str">
        <f>"920578"</f>
        <v>920578</v>
      </c>
      <c r="B5423" t="s">
        <v>5468</v>
      </c>
      <c r="C5423">
        <v>1.4</v>
      </c>
      <c r="D5423">
        <v>20.28</v>
      </c>
      <c r="E5423" t="s">
        <v>16</v>
      </c>
      <c r="F5423" t="s">
        <v>16</v>
      </c>
      <c r="H5423">
        <v>0.85</v>
      </c>
      <c r="I5423">
        <v>25.26</v>
      </c>
      <c r="J5423">
        <v>-3.11</v>
      </c>
      <c r="L5423">
        <v>1</v>
      </c>
      <c r="M5423">
        <v>87.22</v>
      </c>
      <c r="N5423">
        <v>0.18</v>
      </c>
      <c r="O5423">
        <v>2.73</v>
      </c>
    </row>
    <row r="5424" spans="1:15">
      <c r="A5424" t="str">
        <f>"920579"</f>
        <v>920579</v>
      </c>
      <c r="B5424" t="s">
        <v>5469</v>
      </c>
      <c r="C5424">
        <v>-3.24</v>
      </c>
      <c r="D5424">
        <v>17.61</v>
      </c>
      <c r="E5424" t="s">
        <v>16</v>
      </c>
      <c r="F5424" t="s">
        <v>16</v>
      </c>
      <c r="H5424">
        <v>-0.16</v>
      </c>
      <c r="I5424">
        <v>9.58</v>
      </c>
      <c r="J5424">
        <v>-3.77</v>
      </c>
      <c r="L5424">
        <v>-1.1</v>
      </c>
      <c r="M5424">
        <v>36.54</v>
      </c>
      <c r="N5424">
        <v>0.05</v>
      </c>
      <c r="O5424">
        <v>4.95</v>
      </c>
    </row>
    <row r="5425" spans="1:15">
      <c r="A5425" t="str">
        <f>"920580"</f>
        <v>920580</v>
      </c>
      <c r="B5425" t="s">
        <v>5470</v>
      </c>
      <c r="C5425">
        <v>-2.48</v>
      </c>
      <c r="D5425">
        <v>12.21</v>
      </c>
      <c r="E5425" t="s">
        <v>16</v>
      </c>
      <c r="F5425" t="s">
        <v>16</v>
      </c>
      <c r="H5425">
        <v>-0.07</v>
      </c>
      <c r="I5425">
        <v>-9.56</v>
      </c>
      <c r="J5425">
        <v>-3.71</v>
      </c>
      <c r="L5425">
        <v>-0.88</v>
      </c>
      <c r="M5425">
        <v>0.5</v>
      </c>
      <c r="N5425">
        <v>0</v>
      </c>
      <c r="O5425">
        <v>0.02</v>
      </c>
    </row>
    <row r="5426" spans="1:15">
      <c r="A5426" t="str">
        <f>"920592"</f>
        <v>920592</v>
      </c>
      <c r="B5426" t="s">
        <v>5471</v>
      </c>
      <c r="C5426">
        <v>-3.73</v>
      </c>
      <c r="D5426">
        <v>24.03</v>
      </c>
      <c r="E5426" t="s">
        <v>16</v>
      </c>
      <c r="F5426" t="s">
        <v>16</v>
      </c>
      <c r="H5426">
        <v>-1.02</v>
      </c>
      <c r="I5426">
        <v>-9.25</v>
      </c>
      <c r="J5426">
        <v>-4.38</v>
      </c>
      <c r="L5426">
        <v>-1.24</v>
      </c>
      <c r="M5426">
        <v>37.17</v>
      </c>
      <c r="N5426">
        <v>0.05</v>
      </c>
      <c r="O5426">
        <v>0.89</v>
      </c>
    </row>
    <row r="5427" spans="1:15">
      <c r="A5427" t="str">
        <f>"920593"</f>
        <v>920593</v>
      </c>
      <c r="B5427" t="s">
        <v>5472</v>
      </c>
      <c r="C5427">
        <v>3.43</v>
      </c>
      <c r="D5427">
        <v>31.1</v>
      </c>
      <c r="E5427" t="s">
        <v>16</v>
      </c>
      <c r="F5427" t="s">
        <v>16</v>
      </c>
      <c r="H5427">
        <v>0.45</v>
      </c>
      <c r="I5427">
        <v>11.39</v>
      </c>
      <c r="J5427">
        <v>-0.19</v>
      </c>
      <c r="L5427">
        <v>0</v>
      </c>
      <c r="M5427">
        <v>67.06</v>
      </c>
      <c r="N5427">
        <v>0.03</v>
      </c>
      <c r="O5427">
        <v>1.81</v>
      </c>
    </row>
    <row r="5428" spans="1:15">
      <c r="A5428" t="str">
        <f>"920599"</f>
        <v>920599</v>
      </c>
      <c r="B5428" t="s">
        <v>5473</v>
      </c>
      <c r="C5428">
        <v>-4.92</v>
      </c>
      <c r="D5428">
        <v>16.61</v>
      </c>
      <c r="E5428" t="s">
        <v>16</v>
      </c>
      <c r="F5428" t="s">
        <v>16</v>
      </c>
      <c r="H5428">
        <v>0.06</v>
      </c>
      <c r="I5428">
        <v>0.85</v>
      </c>
      <c r="J5428">
        <v>-4.6</v>
      </c>
      <c r="L5428">
        <v>-0.34</v>
      </c>
      <c r="M5428">
        <v>3.48</v>
      </c>
      <c r="N5428">
        <v>0</v>
      </c>
      <c r="O5428">
        <v>0.77</v>
      </c>
    </row>
    <row r="5429" spans="1:15">
      <c r="A5429" t="str">
        <f>"920608"</f>
        <v>920608</v>
      </c>
      <c r="B5429" t="s">
        <v>5474</v>
      </c>
      <c r="C5429">
        <v>-2.76</v>
      </c>
      <c r="D5429">
        <v>13.39</v>
      </c>
      <c r="E5429" t="s">
        <v>16</v>
      </c>
      <c r="F5429" t="s">
        <v>16</v>
      </c>
      <c r="H5429">
        <v>1.36</v>
      </c>
      <c r="I5429">
        <v>-4.36</v>
      </c>
      <c r="J5429">
        <v>-2.97</v>
      </c>
      <c r="L5429">
        <v>0.22</v>
      </c>
      <c r="M5429">
        <v>0</v>
      </c>
      <c r="N5429">
        <v>0</v>
      </c>
      <c r="O5429" t="s">
        <v>16</v>
      </c>
    </row>
    <row r="5430" spans="1:15">
      <c r="A5430" t="str">
        <f>"920627"</f>
        <v>920627</v>
      </c>
      <c r="B5430" t="s">
        <v>5475</v>
      </c>
      <c r="C5430">
        <v>-2.61</v>
      </c>
      <c r="D5430">
        <v>16.8</v>
      </c>
      <c r="E5430" t="s">
        <v>16</v>
      </c>
      <c r="F5430" t="s">
        <v>16</v>
      </c>
      <c r="H5430">
        <v>-0.17</v>
      </c>
      <c r="I5430">
        <v>-2.61</v>
      </c>
      <c r="J5430">
        <v>-2.67</v>
      </c>
      <c r="L5430">
        <v>0.06</v>
      </c>
      <c r="M5430">
        <v>2.24</v>
      </c>
      <c r="N5430">
        <v>0</v>
      </c>
      <c r="O5430">
        <v>0.08</v>
      </c>
    </row>
    <row r="5431" spans="1:15">
      <c r="A5431" t="str">
        <f>"920634"</f>
        <v>920634</v>
      </c>
      <c r="B5431" t="s">
        <v>5476</v>
      </c>
      <c r="C5431">
        <v>2.88</v>
      </c>
      <c r="D5431">
        <v>19.62</v>
      </c>
      <c r="E5431" t="s">
        <v>16</v>
      </c>
      <c r="F5431" t="s">
        <v>16</v>
      </c>
      <c r="H5431">
        <v>0.1</v>
      </c>
      <c r="I5431">
        <v>18.69</v>
      </c>
      <c r="J5431">
        <v>-12.33</v>
      </c>
      <c r="L5431">
        <v>-1</v>
      </c>
      <c r="M5431">
        <v>22.91</v>
      </c>
      <c r="N5431">
        <v>0.06</v>
      </c>
      <c r="O5431">
        <v>0.13</v>
      </c>
    </row>
    <row r="5432" spans="1:15">
      <c r="A5432" t="str">
        <f>"920639"</f>
        <v>920639</v>
      </c>
      <c r="B5432" t="s">
        <v>5477</v>
      </c>
      <c r="C5432">
        <v>-4.23</v>
      </c>
      <c r="D5432">
        <v>6.56</v>
      </c>
      <c r="E5432" t="s">
        <v>16</v>
      </c>
      <c r="F5432" t="s">
        <v>16</v>
      </c>
      <c r="H5432">
        <v>-0.9</v>
      </c>
      <c r="I5432">
        <v>-6.55</v>
      </c>
      <c r="J5432">
        <v>-4.65</v>
      </c>
      <c r="L5432">
        <v>0.44</v>
      </c>
      <c r="M5432">
        <v>0.14</v>
      </c>
      <c r="N5432">
        <v>0</v>
      </c>
      <c r="O5432">
        <v>0.05</v>
      </c>
    </row>
    <row r="5433" spans="1:15">
      <c r="A5433" t="str">
        <f>"920640"</f>
        <v>920640</v>
      </c>
      <c r="B5433" t="s">
        <v>5478</v>
      </c>
      <c r="C5433">
        <v>-2.97</v>
      </c>
      <c r="D5433">
        <v>34</v>
      </c>
      <c r="E5433" t="s">
        <v>16</v>
      </c>
      <c r="F5433" t="s">
        <v>16</v>
      </c>
      <c r="H5433">
        <v>0</v>
      </c>
      <c r="I5433">
        <v>5.13</v>
      </c>
      <c r="J5433">
        <v>-4.87</v>
      </c>
      <c r="L5433">
        <v>1.83</v>
      </c>
      <c r="M5433">
        <v>159.7</v>
      </c>
      <c r="N5433">
        <v>0.05</v>
      </c>
      <c r="O5433">
        <v>1.29</v>
      </c>
    </row>
    <row r="5434" spans="1:15">
      <c r="A5434" t="str">
        <f>"920641"</f>
        <v>920641</v>
      </c>
      <c r="B5434" t="s">
        <v>5479</v>
      </c>
      <c r="C5434">
        <v>-4.2</v>
      </c>
      <c r="D5434">
        <v>15.28</v>
      </c>
      <c r="E5434" t="s">
        <v>16</v>
      </c>
      <c r="F5434" t="s">
        <v>16</v>
      </c>
      <c r="H5434">
        <v>0.13</v>
      </c>
      <c r="I5434">
        <v>-3.29</v>
      </c>
      <c r="J5434">
        <v>-4.44</v>
      </c>
      <c r="L5434">
        <v>0.25</v>
      </c>
      <c r="M5434">
        <v>15.99</v>
      </c>
      <c r="N5434">
        <v>0.03</v>
      </c>
      <c r="O5434">
        <v>7.69</v>
      </c>
    </row>
    <row r="5435" spans="1:15">
      <c r="A5435" t="str">
        <f>"920642"</f>
        <v>920642</v>
      </c>
      <c r="B5435" t="s">
        <v>5480</v>
      </c>
      <c r="C5435">
        <v>-2.22</v>
      </c>
      <c r="D5435">
        <v>11.89</v>
      </c>
      <c r="E5435" t="s">
        <v>16</v>
      </c>
      <c r="F5435" t="s">
        <v>16</v>
      </c>
      <c r="H5435">
        <v>-0.91</v>
      </c>
      <c r="I5435">
        <v>11.75</v>
      </c>
      <c r="J5435">
        <v>-3.96</v>
      </c>
      <c r="L5435">
        <v>-1.23</v>
      </c>
      <c r="M5435">
        <v>52.28</v>
      </c>
      <c r="N5435">
        <v>0.08</v>
      </c>
      <c r="O5435">
        <v>0.5</v>
      </c>
    </row>
    <row r="5436" spans="1:15">
      <c r="A5436" t="str">
        <f>"920651"</f>
        <v>920651</v>
      </c>
      <c r="B5436" t="s">
        <v>5481</v>
      </c>
      <c r="C5436">
        <v>-3.16</v>
      </c>
      <c r="D5436">
        <v>20.51</v>
      </c>
      <c r="E5436" t="s">
        <v>16</v>
      </c>
      <c r="F5436" t="s">
        <v>16</v>
      </c>
      <c r="H5436">
        <v>0.1</v>
      </c>
      <c r="I5436">
        <v>-6.56</v>
      </c>
      <c r="J5436">
        <v>-3.48</v>
      </c>
      <c r="L5436">
        <v>0.24</v>
      </c>
      <c r="M5436">
        <v>0.42</v>
      </c>
      <c r="N5436">
        <v>0</v>
      </c>
      <c r="O5436">
        <v>1.98</v>
      </c>
    </row>
    <row r="5437" spans="1:15">
      <c r="A5437" t="str">
        <f>"920656"</f>
        <v>920656</v>
      </c>
      <c r="B5437" t="s">
        <v>5482</v>
      </c>
      <c r="C5437">
        <v>-1.16</v>
      </c>
      <c r="D5437">
        <v>13.68</v>
      </c>
      <c r="E5437" t="s">
        <v>16</v>
      </c>
      <c r="F5437" t="s">
        <v>16</v>
      </c>
      <c r="H5437">
        <v>0.37</v>
      </c>
      <c r="I5437">
        <v>0.96</v>
      </c>
      <c r="J5437">
        <v>-1.72</v>
      </c>
      <c r="L5437">
        <v>-0.87</v>
      </c>
      <c r="M5437">
        <v>0</v>
      </c>
      <c r="N5437">
        <v>0</v>
      </c>
      <c r="O5437">
        <v>0</v>
      </c>
    </row>
    <row r="5438" spans="1:15">
      <c r="A5438" t="str">
        <f>"920662"</f>
        <v>920662</v>
      </c>
      <c r="B5438" t="s">
        <v>5483</v>
      </c>
      <c r="C5438">
        <v>-1.27</v>
      </c>
      <c r="D5438">
        <v>18.61</v>
      </c>
      <c r="E5438" t="s">
        <v>16</v>
      </c>
      <c r="F5438" t="s">
        <v>16</v>
      </c>
      <c r="H5438">
        <v>-0.47</v>
      </c>
      <c r="I5438">
        <v>-7.37</v>
      </c>
      <c r="J5438">
        <v>-5.96</v>
      </c>
      <c r="L5438">
        <v>1.49</v>
      </c>
      <c r="M5438">
        <v>1.34</v>
      </c>
      <c r="N5438">
        <v>0</v>
      </c>
      <c r="O5438" t="s">
        <v>16</v>
      </c>
    </row>
    <row r="5439" spans="1:15">
      <c r="A5439" t="str">
        <f>"920663"</f>
        <v>920663</v>
      </c>
      <c r="B5439" t="s">
        <v>5484</v>
      </c>
      <c r="C5439">
        <v>-0.8</v>
      </c>
      <c r="D5439">
        <v>13.6</v>
      </c>
      <c r="E5439" t="s">
        <v>16</v>
      </c>
      <c r="F5439" t="s">
        <v>16</v>
      </c>
      <c r="H5439">
        <v>0.74</v>
      </c>
      <c r="I5439">
        <v>-3.68</v>
      </c>
      <c r="J5439">
        <v>-2.51</v>
      </c>
      <c r="L5439">
        <v>0</v>
      </c>
      <c r="M5439">
        <v>0</v>
      </c>
      <c r="N5439">
        <v>0</v>
      </c>
      <c r="O5439">
        <v>0</v>
      </c>
    </row>
    <row r="5440" spans="1:15">
      <c r="A5440" t="str">
        <f>"920665"</f>
        <v>920665</v>
      </c>
      <c r="B5440" t="s">
        <v>5485</v>
      </c>
      <c r="C5440">
        <v>-7.79</v>
      </c>
      <c r="D5440">
        <v>10.54</v>
      </c>
      <c r="E5440" t="s">
        <v>16</v>
      </c>
      <c r="F5440" t="s">
        <v>16</v>
      </c>
      <c r="H5440">
        <v>-0.46</v>
      </c>
      <c r="I5440">
        <v>-20.15</v>
      </c>
      <c r="J5440">
        <v>-5.3</v>
      </c>
      <c r="L5440">
        <v>-2.62</v>
      </c>
      <c r="M5440">
        <v>53.09</v>
      </c>
      <c r="N5440">
        <v>0.12</v>
      </c>
      <c r="O5440">
        <v>6.91</v>
      </c>
    </row>
    <row r="5441" spans="1:15">
      <c r="A5441" t="str">
        <f>"920670"</f>
        <v>920670</v>
      </c>
      <c r="B5441" t="s">
        <v>5486</v>
      </c>
      <c r="C5441">
        <v>0</v>
      </c>
      <c r="D5441">
        <v>13.75</v>
      </c>
      <c r="E5441" t="s">
        <v>16</v>
      </c>
      <c r="F5441" t="s">
        <v>16</v>
      </c>
      <c r="H5441">
        <v>-0.28</v>
      </c>
      <c r="I5441">
        <v>-1.15</v>
      </c>
      <c r="J5441">
        <v>-2.76</v>
      </c>
      <c r="L5441">
        <v>-0.8</v>
      </c>
      <c r="M5441">
        <v>0.14</v>
      </c>
      <c r="N5441">
        <v>0</v>
      </c>
      <c r="O5441">
        <v>0.03</v>
      </c>
    </row>
    <row r="5442" spans="1:15">
      <c r="A5442" t="str">
        <f>"920675"</f>
        <v>920675</v>
      </c>
      <c r="B5442" t="s">
        <v>5487</v>
      </c>
      <c r="C5442" t="s">
        <v>16</v>
      </c>
      <c r="D5442">
        <v>8.34</v>
      </c>
      <c r="E5442" t="s">
        <v>16</v>
      </c>
      <c r="F5442" t="s">
        <v>16</v>
      </c>
      <c r="H5442" t="s">
        <v>16</v>
      </c>
      <c r="I5442">
        <v>4.77</v>
      </c>
      <c r="J5442" t="s">
        <v>16</v>
      </c>
      <c r="L5442" t="s">
        <v>16</v>
      </c>
      <c r="M5442">
        <v>0</v>
      </c>
      <c r="N5442" t="s">
        <v>16</v>
      </c>
      <c r="O5442" t="s">
        <v>16</v>
      </c>
    </row>
    <row r="5443" spans="1:15">
      <c r="A5443" t="str">
        <f>"920679"</f>
        <v>920679</v>
      </c>
      <c r="B5443" t="s">
        <v>5488</v>
      </c>
      <c r="C5443">
        <v>-3.46</v>
      </c>
      <c r="D5443">
        <v>15.61</v>
      </c>
      <c r="E5443" t="s">
        <v>16</v>
      </c>
      <c r="F5443" t="s">
        <v>16</v>
      </c>
      <c r="H5443">
        <v>1.17</v>
      </c>
      <c r="I5443">
        <v>-0.57</v>
      </c>
      <c r="J5443">
        <v>-3.34</v>
      </c>
      <c r="L5443">
        <v>-0.31</v>
      </c>
      <c r="M5443">
        <v>1.38</v>
      </c>
      <c r="N5443">
        <v>0</v>
      </c>
      <c r="O5443">
        <v>2.85</v>
      </c>
    </row>
    <row r="5444" spans="1:15">
      <c r="A5444" t="str">
        <f>"920682"</f>
        <v>920682</v>
      </c>
      <c r="B5444" t="s">
        <v>5489</v>
      </c>
      <c r="C5444">
        <v>-3.32</v>
      </c>
      <c r="D5444">
        <v>6.41</v>
      </c>
      <c r="E5444" t="s">
        <v>16</v>
      </c>
      <c r="F5444" t="s">
        <v>16</v>
      </c>
      <c r="H5444">
        <v>-0.15</v>
      </c>
      <c r="I5444">
        <v>0.94</v>
      </c>
      <c r="J5444">
        <v>-3.32</v>
      </c>
      <c r="L5444">
        <v>-0.15</v>
      </c>
      <c r="M5444">
        <v>1.16</v>
      </c>
      <c r="N5444">
        <v>0</v>
      </c>
      <c r="O5444">
        <v>0.37</v>
      </c>
    </row>
    <row r="5445" spans="1:15">
      <c r="A5445" t="str">
        <f>"920685"</f>
        <v>920685</v>
      </c>
      <c r="B5445" t="s">
        <v>5490</v>
      </c>
      <c r="C5445">
        <v>-0.45</v>
      </c>
      <c r="D5445">
        <v>11.06</v>
      </c>
      <c r="E5445" t="s">
        <v>16</v>
      </c>
      <c r="F5445" t="s">
        <v>16</v>
      </c>
      <c r="H5445">
        <v>0.91</v>
      </c>
      <c r="I5445">
        <v>1.1</v>
      </c>
      <c r="J5445">
        <v>-1.43</v>
      </c>
      <c r="L5445">
        <v>-0.09</v>
      </c>
      <c r="M5445">
        <v>1.07</v>
      </c>
      <c r="N5445">
        <v>0</v>
      </c>
      <c r="O5445">
        <v>0.48</v>
      </c>
    </row>
    <row r="5446" spans="1:15">
      <c r="A5446" t="str">
        <f>"920689"</f>
        <v>920689</v>
      </c>
      <c r="B5446" t="s">
        <v>5491</v>
      </c>
      <c r="C5446">
        <v>-1.61</v>
      </c>
      <c r="D5446">
        <v>24.43</v>
      </c>
      <c r="E5446" t="s">
        <v>16</v>
      </c>
      <c r="F5446" t="s">
        <v>16</v>
      </c>
      <c r="H5446">
        <v>-1.24</v>
      </c>
      <c r="I5446">
        <v>1.96</v>
      </c>
      <c r="J5446">
        <v>-3.4</v>
      </c>
      <c r="L5446">
        <v>0.28</v>
      </c>
      <c r="M5446">
        <v>25.91</v>
      </c>
      <c r="N5446">
        <v>0.03</v>
      </c>
      <c r="O5446">
        <v>1.1</v>
      </c>
    </row>
    <row r="5447" spans="1:15">
      <c r="A5447" t="str">
        <f>"920690"</f>
        <v>920690</v>
      </c>
      <c r="B5447" t="s">
        <v>5492</v>
      </c>
      <c r="C5447">
        <v>-2.59</v>
      </c>
      <c r="D5447">
        <v>16.95</v>
      </c>
      <c r="E5447" t="s">
        <v>16</v>
      </c>
      <c r="F5447" t="s">
        <v>16</v>
      </c>
      <c r="H5447">
        <v>-0.46</v>
      </c>
      <c r="I5447">
        <v>-7.93</v>
      </c>
      <c r="J5447">
        <v>-2.59</v>
      </c>
      <c r="L5447">
        <v>0</v>
      </c>
      <c r="M5447">
        <v>1.62</v>
      </c>
      <c r="N5447">
        <v>0</v>
      </c>
      <c r="O5447">
        <v>3.1</v>
      </c>
    </row>
    <row r="5448" spans="1:15">
      <c r="A5448" t="str">
        <f>"920693"</f>
        <v>920693</v>
      </c>
      <c r="B5448" t="s">
        <v>5493</v>
      </c>
      <c r="C5448">
        <v>2.26</v>
      </c>
      <c r="D5448">
        <v>27.1</v>
      </c>
      <c r="E5448" t="s">
        <v>16</v>
      </c>
      <c r="F5448" t="s">
        <v>16</v>
      </c>
      <c r="H5448">
        <v>0.26</v>
      </c>
      <c r="I5448">
        <v>1.23</v>
      </c>
      <c r="J5448">
        <v>-3.9</v>
      </c>
      <c r="L5448">
        <v>2.26</v>
      </c>
      <c r="M5448">
        <v>23.15</v>
      </c>
      <c r="N5448">
        <v>0.04</v>
      </c>
      <c r="O5448">
        <v>9.49</v>
      </c>
    </row>
    <row r="5449" spans="1:15">
      <c r="A5449" t="str">
        <f>"920694"</f>
        <v>920694</v>
      </c>
      <c r="B5449" t="s">
        <v>5494</v>
      </c>
      <c r="C5449">
        <v>-1.25</v>
      </c>
      <c r="D5449">
        <v>15.04</v>
      </c>
      <c r="E5449" t="s">
        <v>16</v>
      </c>
      <c r="F5449" t="s">
        <v>16</v>
      </c>
      <c r="H5449">
        <v>0.27</v>
      </c>
      <c r="I5449">
        <v>-0.73</v>
      </c>
      <c r="J5449">
        <v>-2.15</v>
      </c>
      <c r="L5449">
        <v>0.85</v>
      </c>
      <c r="M5449">
        <v>5.38</v>
      </c>
      <c r="N5449">
        <v>0.01</v>
      </c>
      <c r="O5449">
        <v>17.51</v>
      </c>
    </row>
    <row r="5450" spans="1:15">
      <c r="A5450" t="str">
        <f>"920699"</f>
        <v>920699</v>
      </c>
      <c r="B5450" t="s">
        <v>5495</v>
      </c>
      <c r="C5450">
        <v>0.44</v>
      </c>
      <c r="D5450">
        <v>73.5</v>
      </c>
      <c r="E5450" t="s">
        <v>16</v>
      </c>
      <c r="F5450" t="s">
        <v>16</v>
      </c>
      <c r="H5450">
        <v>-0.93</v>
      </c>
      <c r="I5450">
        <v>15.68</v>
      </c>
      <c r="J5450">
        <v>-2</v>
      </c>
      <c r="L5450">
        <v>0.97</v>
      </c>
      <c r="M5450">
        <v>4.15</v>
      </c>
      <c r="N5450">
        <v>0</v>
      </c>
      <c r="O5450">
        <v>0.24</v>
      </c>
    </row>
    <row r="5451" spans="1:15">
      <c r="A5451" t="str">
        <f>"920701"</f>
        <v>920701</v>
      </c>
      <c r="B5451" t="s">
        <v>5496</v>
      </c>
      <c r="C5451">
        <v>-2.58</v>
      </c>
      <c r="D5451">
        <v>12.09</v>
      </c>
      <c r="E5451" t="s">
        <v>16</v>
      </c>
      <c r="F5451" t="s">
        <v>16</v>
      </c>
      <c r="H5451">
        <v>0.08</v>
      </c>
      <c r="I5451">
        <v>-7</v>
      </c>
      <c r="J5451">
        <v>-2.81</v>
      </c>
      <c r="L5451">
        <v>0.16</v>
      </c>
      <c r="M5451">
        <v>0</v>
      </c>
      <c r="N5451">
        <v>0</v>
      </c>
      <c r="O5451" t="s">
        <v>16</v>
      </c>
    </row>
    <row r="5452" spans="1:15">
      <c r="A5452" t="str">
        <f>"920703"</f>
        <v>920703</v>
      </c>
      <c r="B5452" t="s">
        <v>5497</v>
      </c>
      <c r="C5452">
        <v>5.22</v>
      </c>
      <c r="D5452">
        <v>10.48</v>
      </c>
      <c r="E5452" t="s">
        <v>16</v>
      </c>
      <c r="F5452" t="s">
        <v>16</v>
      </c>
      <c r="H5452">
        <v>0.19</v>
      </c>
      <c r="I5452">
        <v>4.8</v>
      </c>
      <c r="J5452">
        <v>0</v>
      </c>
      <c r="L5452">
        <v>0.4</v>
      </c>
      <c r="M5452">
        <v>33.76</v>
      </c>
      <c r="N5452">
        <v>0.07</v>
      </c>
      <c r="O5452">
        <v>2.16</v>
      </c>
    </row>
    <row r="5453" spans="1:15">
      <c r="A5453" t="str">
        <f>"920706"</f>
        <v>920706</v>
      </c>
      <c r="B5453" t="s">
        <v>5498</v>
      </c>
      <c r="C5453">
        <v>-4.91</v>
      </c>
      <c r="D5453">
        <v>18.96</v>
      </c>
      <c r="E5453" t="s">
        <v>16</v>
      </c>
      <c r="F5453" t="s">
        <v>16</v>
      </c>
      <c r="H5453">
        <v>-0.31</v>
      </c>
      <c r="I5453">
        <v>3.78</v>
      </c>
      <c r="J5453">
        <v>-7.96</v>
      </c>
      <c r="L5453">
        <v>-1.35</v>
      </c>
      <c r="M5453">
        <v>23.25</v>
      </c>
      <c r="N5453">
        <v>0.04</v>
      </c>
      <c r="O5453">
        <v>0.34</v>
      </c>
    </row>
    <row r="5454" spans="1:15">
      <c r="A5454" t="str">
        <f>"920717"</f>
        <v>920717</v>
      </c>
      <c r="B5454" t="s">
        <v>5499</v>
      </c>
      <c r="C5454">
        <v>-3.98</v>
      </c>
      <c r="D5454">
        <v>6.99</v>
      </c>
      <c r="E5454" t="s">
        <v>16</v>
      </c>
      <c r="F5454" t="s">
        <v>16</v>
      </c>
      <c r="H5454">
        <v>0.58</v>
      </c>
      <c r="I5454">
        <v>-7.91</v>
      </c>
      <c r="J5454">
        <v>-3.72</v>
      </c>
      <c r="L5454">
        <v>-0.27</v>
      </c>
      <c r="M5454">
        <v>4.65</v>
      </c>
      <c r="N5454">
        <v>0.02</v>
      </c>
      <c r="O5454">
        <v>3.56</v>
      </c>
    </row>
    <row r="5455" spans="1:15">
      <c r="A5455" t="str">
        <f>"920718"</f>
        <v>920718</v>
      </c>
      <c r="B5455" t="s">
        <v>5500</v>
      </c>
      <c r="C5455">
        <v>-3.38</v>
      </c>
      <c r="D5455">
        <v>10</v>
      </c>
      <c r="E5455" t="s">
        <v>16</v>
      </c>
      <c r="F5455" t="s">
        <v>16</v>
      </c>
      <c r="H5455">
        <v>-0.29</v>
      </c>
      <c r="I5455">
        <v>-5.48</v>
      </c>
      <c r="J5455">
        <v>-3.38</v>
      </c>
      <c r="L5455">
        <v>0</v>
      </c>
      <c r="M5455">
        <v>0</v>
      </c>
      <c r="N5455">
        <v>0</v>
      </c>
      <c r="O5455" t="s">
        <v>16</v>
      </c>
    </row>
    <row r="5456" spans="1:15">
      <c r="A5456" t="str">
        <f>"920719"</f>
        <v>920719</v>
      </c>
      <c r="B5456" t="s">
        <v>5501</v>
      </c>
      <c r="C5456">
        <v>-1.59</v>
      </c>
      <c r="D5456">
        <v>9.9</v>
      </c>
      <c r="E5456" t="s">
        <v>16</v>
      </c>
      <c r="F5456" t="s">
        <v>16</v>
      </c>
      <c r="H5456">
        <v>-0.09</v>
      </c>
      <c r="I5456">
        <v>-1.69</v>
      </c>
      <c r="J5456">
        <v>-3.04</v>
      </c>
      <c r="L5456">
        <v>-0.6</v>
      </c>
      <c r="M5456">
        <v>0.2</v>
      </c>
      <c r="N5456">
        <v>0</v>
      </c>
      <c r="O5456">
        <v>0.02</v>
      </c>
    </row>
    <row r="5457" spans="1:15">
      <c r="A5457" t="str">
        <f>"920720"</f>
        <v>920720</v>
      </c>
      <c r="B5457" t="s">
        <v>5502</v>
      </c>
      <c r="C5457">
        <v>-0.95</v>
      </c>
      <c r="D5457">
        <v>10.42</v>
      </c>
      <c r="E5457" t="s">
        <v>16</v>
      </c>
      <c r="F5457" t="s">
        <v>16</v>
      </c>
      <c r="H5457">
        <v>0.1</v>
      </c>
      <c r="I5457">
        <v>1.86</v>
      </c>
      <c r="J5457">
        <v>-2.07</v>
      </c>
      <c r="L5457">
        <v>-0.38</v>
      </c>
      <c r="M5457">
        <v>1.05</v>
      </c>
      <c r="N5457">
        <v>0</v>
      </c>
      <c r="O5457">
        <v>0.03</v>
      </c>
    </row>
    <row r="5458" spans="1:15">
      <c r="A5458" t="str">
        <f>"920725"</f>
        <v>920725</v>
      </c>
      <c r="B5458" t="s">
        <v>5503</v>
      </c>
      <c r="C5458">
        <v>7.35</v>
      </c>
      <c r="D5458">
        <v>84.95</v>
      </c>
      <c r="E5458" t="s">
        <v>16</v>
      </c>
      <c r="F5458" t="s">
        <v>16</v>
      </c>
      <c r="H5458">
        <v>-0.04</v>
      </c>
      <c r="I5458">
        <v>-6.34</v>
      </c>
      <c r="J5458">
        <v>-12.01</v>
      </c>
      <c r="L5458">
        <v>1.35</v>
      </c>
      <c r="M5458">
        <v>528.33</v>
      </c>
      <c r="N5458">
        <v>0.25</v>
      </c>
      <c r="O5458">
        <v>0.9</v>
      </c>
    </row>
    <row r="5459" spans="1:15">
      <c r="A5459" t="str">
        <f>"920726"</f>
        <v>920726</v>
      </c>
      <c r="B5459" t="s">
        <v>5504</v>
      </c>
      <c r="C5459">
        <v>1.62</v>
      </c>
      <c r="D5459">
        <v>18.24</v>
      </c>
      <c r="E5459" t="s">
        <v>16</v>
      </c>
      <c r="F5459" t="s">
        <v>16</v>
      </c>
      <c r="H5459">
        <v>0</v>
      </c>
      <c r="I5459">
        <v>2.41</v>
      </c>
      <c r="J5459">
        <v>-2.36</v>
      </c>
      <c r="L5459">
        <v>0.84</v>
      </c>
      <c r="M5459">
        <v>108.78</v>
      </c>
      <c r="N5459">
        <v>0.22</v>
      </c>
      <c r="O5459">
        <v>0.92</v>
      </c>
    </row>
    <row r="5460" spans="1:15">
      <c r="A5460" t="str">
        <f>"920729"</f>
        <v>920729</v>
      </c>
      <c r="B5460" t="s">
        <v>5505</v>
      </c>
      <c r="C5460">
        <v>-2.94</v>
      </c>
      <c r="D5460">
        <v>6.6</v>
      </c>
      <c r="E5460" t="s">
        <v>16</v>
      </c>
      <c r="F5460" t="s">
        <v>16</v>
      </c>
      <c r="H5460">
        <v>-0.14</v>
      </c>
      <c r="I5460">
        <v>-6.38</v>
      </c>
      <c r="J5460">
        <v>-3.08</v>
      </c>
      <c r="L5460">
        <v>0</v>
      </c>
      <c r="M5460">
        <v>0.34</v>
      </c>
      <c r="N5460">
        <v>0</v>
      </c>
      <c r="O5460" t="s">
        <v>16</v>
      </c>
    </row>
    <row r="5461" spans="1:15">
      <c r="A5461" t="str">
        <f>"920735"</f>
        <v>920735</v>
      </c>
      <c r="B5461" t="s">
        <v>5506</v>
      </c>
      <c r="C5461">
        <v>-1.11</v>
      </c>
      <c r="D5461">
        <v>23.18</v>
      </c>
      <c r="E5461" t="s">
        <v>16</v>
      </c>
      <c r="F5461" t="s">
        <v>16</v>
      </c>
      <c r="H5461">
        <v>-0.03</v>
      </c>
      <c r="I5461">
        <v>-5.23</v>
      </c>
      <c r="J5461">
        <v>-3.98</v>
      </c>
      <c r="L5461">
        <v>-0.98</v>
      </c>
      <c r="M5461">
        <v>5.57</v>
      </c>
      <c r="N5461">
        <v>0</v>
      </c>
      <c r="O5461">
        <v>0.73</v>
      </c>
    </row>
    <row r="5462" spans="1:15">
      <c r="A5462" t="str">
        <f>"920748"</f>
        <v>920748</v>
      </c>
      <c r="B5462" t="s">
        <v>5507</v>
      </c>
      <c r="C5462">
        <v>-3.03</v>
      </c>
      <c r="D5462">
        <v>23.99</v>
      </c>
      <c r="E5462" t="s">
        <v>16</v>
      </c>
      <c r="F5462" t="s">
        <v>16</v>
      </c>
      <c r="H5462">
        <v>1.05</v>
      </c>
      <c r="I5462">
        <v>-8.61</v>
      </c>
      <c r="J5462">
        <v>-2.48</v>
      </c>
      <c r="L5462">
        <v>-0.93</v>
      </c>
      <c r="M5462">
        <v>1.9</v>
      </c>
      <c r="N5462">
        <v>0.01</v>
      </c>
      <c r="O5462">
        <v>0.3</v>
      </c>
    </row>
    <row r="5463" spans="1:15">
      <c r="A5463" t="str">
        <f>"920751"</f>
        <v>920751</v>
      </c>
      <c r="B5463" t="s">
        <v>5508</v>
      </c>
      <c r="C5463">
        <v>-4.19</v>
      </c>
      <c r="D5463">
        <v>22.2</v>
      </c>
      <c r="E5463" t="s">
        <v>16</v>
      </c>
      <c r="F5463" t="s">
        <v>16</v>
      </c>
      <c r="H5463">
        <v>0.23</v>
      </c>
      <c r="I5463">
        <v>-2.12</v>
      </c>
      <c r="J5463">
        <v>-5.53</v>
      </c>
      <c r="L5463">
        <v>0</v>
      </c>
      <c r="M5463">
        <v>2.32</v>
      </c>
      <c r="N5463">
        <v>0</v>
      </c>
      <c r="O5463">
        <v>5.01</v>
      </c>
    </row>
    <row r="5464" spans="1:15">
      <c r="A5464" t="str">
        <f>"920753"</f>
        <v>920753</v>
      </c>
      <c r="B5464" t="s">
        <v>5509</v>
      </c>
      <c r="C5464">
        <v>-4.64</v>
      </c>
      <c r="D5464">
        <v>18.3</v>
      </c>
      <c r="E5464" t="s">
        <v>16</v>
      </c>
      <c r="F5464" t="s">
        <v>16</v>
      </c>
      <c r="H5464">
        <v>-0.43</v>
      </c>
      <c r="I5464">
        <v>20</v>
      </c>
      <c r="J5464">
        <v>-11.59</v>
      </c>
      <c r="L5464">
        <v>-1.82</v>
      </c>
      <c r="M5464">
        <v>125.95</v>
      </c>
      <c r="N5464">
        <v>0.3</v>
      </c>
      <c r="O5464">
        <v>334.26</v>
      </c>
    </row>
    <row r="5465" spans="1:15">
      <c r="A5465" t="str">
        <f>"920765"</f>
        <v>920765</v>
      </c>
      <c r="B5465" t="s">
        <v>5510</v>
      </c>
      <c r="C5465">
        <v>-3.34</v>
      </c>
      <c r="D5465">
        <v>12.15</v>
      </c>
      <c r="E5465" t="s">
        <v>16</v>
      </c>
      <c r="F5465" t="s">
        <v>16</v>
      </c>
      <c r="H5465">
        <v>-0.73</v>
      </c>
      <c r="I5465">
        <v>-8.09</v>
      </c>
      <c r="J5465">
        <v>-3.34</v>
      </c>
      <c r="L5465">
        <v>-0.56</v>
      </c>
      <c r="M5465">
        <v>8.69</v>
      </c>
      <c r="N5465">
        <v>0.03</v>
      </c>
      <c r="O5465">
        <v>34.76</v>
      </c>
    </row>
    <row r="5466" spans="1:15">
      <c r="A5466" t="str">
        <f>"920768"</f>
        <v>920768</v>
      </c>
      <c r="B5466" t="s">
        <v>5511</v>
      </c>
      <c r="C5466">
        <v>-1.44</v>
      </c>
      <c r="D5466">
        <v>7.51</v>
      </c>
      <c r="E5466" t="s">
        <v>16</v>
      </c>
      <c r="F5466" t="s">
        <v>16</v>
      </c>
      <c r="H5466">
        <v>0.67</v>
      </c>
      <c r="I5466">
        <v>-2.21</v>
      </c>
      <c r="J5466">
        <v>-1.83</v>
      </c>
      <c r="L5466">
        <v>-0.52</v>
      </c>
      <c r="M5466">
        <v>0.43</v>
      </c>
      <c r="N5466">
        <v>0</v>
      </c>
      <c r="O5466">
        <v>0.07</v>
      </c>
    </row>
    <row r="5467" spans="1:15">
      <c r="A5467" t="str">
        <f>"920770"</f>
        <v>920770</v>
      </c>
      <c r="B5467" t="s">
        <v>5512</v>
      </c>
      <c r="C5467">
        <v>-1.79</v>
      </c>
      <c r="D5467">
        <v>12.05</v>
      </c>
      <c r="E5467" t="s">
        <v>16</v>
      </c>
      <c r="F5467" t="s">
        <v>16</v>
      </c>
      <c r="H5467">
        <v>0.33</v>
      </c>
      <c r="I5467">
        <v>-8.3</v>
      </c>
      <c r="J5467">
        <v>-1.31</v>
      </c>
      <c r="L5467">
        <v>-0.49</v>
      </c>
      <c r="M5467">
        <v>6.47</v>
      </c>
      <c r="N5467">
        <v>0.01</v>
      </c>
      <c r="O5467">
        <v>1.23</v>
      </c>
    </row>
    <row r="5468" spans="1:15">
      <c r="A5468" t="str">
        <f>"920779"</f>
        <v>920779</v>
      </c>
      <c r="B5468" t="s">
        <v>5513</v>
      </c>
      <c r="C5468">
        <v>-2.99</v>
      </c>
      <c r="D5468">
        <v>25.61</v>
      </c>
      <c r="E5468" t="s">
        <v>16</v>
      </c>
      <c r="F5468" t="s">
        <v>16</v>
      </c>
      <c r="H5468">
        <v>-0.69</v>
      </c>
      <c r="I5468">
        <v>-5.88</v>
      </c>
      <c r="J5468">
        <v>-3.03</v>
      </c>
      <c r="L5468">
        <v>0.04</v>
      </c>
      <c r="M5468">
        <v>0</v>
      </c>
      <c r="N5468">
        <v>0</v>
      </c>
      <c r="O5468">
        <v>0</v>
      </c>
    </row>
    <row r="5469" spans="1:15">
      <c r="A5469" t="str">
        <f>"920781"</f>
        <v>920781</v>
      </c>
      <c r="B5469" t="s">
        <v>5514</v>
      </c>
      <c r="C5469">
        <v>-3.48</v>
      </c>
      <c r="D5469">
        <v>5.83</v>
      </c>
      <c r="E5469" t="s">
        <v>16</v>
      </c>
      <c r="F5469" t="s">
        <v>16</v>
      </c>
      <c r="H5469">
        <v>-0.16</v>
      </c>
      <c r="I5469">
        <v>-5.51</v>
      </c>
      <c r="J5469">
        <v>-3.64</v>
      </c>
      <c r="L5469">
        <v>-0.33</v>
      </c>
      <c r="M5469">
        <v>3.01</v>
      </c>
      <c r="N5469">
        <v>0.01</v>
      </c>
      <c r="O5469">
        <v>0.53</v>
      </c>
    </row>
    <row r="5470" spans="1:15">
      <c r="A5470" t="str">
        <f>"920786"</f>
        <v>920786</v>
      </c>
      <c r="B5470" t="s">
        <v>5515</v>
      </c>
      <c r="C5470">
        <v>-2.68</v>
      </c>
      <c r="D5470">
        <v>6.9</v>
      </c>
      <c r="E5470" t="s">
        <v>16</v>
      </c>
      <c r="F5470" t="s">
        <v>16</v>
      </c>
      <c r="H5470">
        <v>-0.13</v>
      </c>
      <c r="I5470">
        <v>-13.97</v>
      </c>
      <c r="J5470">
        <v>-4.03</v>
      </c>
      <c r="L5470">
        <v>0</v>
      </c>
      <c r="M5470">
        <v>7.04</v>
      </c>
      <c r="N5470">
        <v>0.01</v>
      </c>
      <c r="O5470">
        <v>0.24</v>
      </c>
    </row>
    <row r="5471" spans="1:15">
      <c r="A5471" t="str">
        <f>"920790"</f>
        <v>920790</v>
      </c>
      <c r="B5471" t="s">
        <v>5516</v>
      </c>
      <c r="C5471">
        <v>-1.08</v>
      </c>
      <c r="D5471">
        <v>20.08</v>
      </c>
      <c r="E5471" t="s">
        <v>16</v>
      </c>
      <c r="F5471" t="s">
        <v>16</v>
      </c>
      <c r="H5471">
        <v>0.4</v>
      </c>
      <c r="I5471">
        <v>10.39</v>
      </c>
      <c r="J5471">
        <v>-3.28</v>
      </c>
      <c r="L5471">
        <v>0.49</v>
      </c>
      <c r="M5471">
        <v>40.09</v>
      </c>
      <c r="N5471">
        <v>0.08</v>
      </c>
      <c r="O5471">
        <v>0.45</v>
      </c>
    </row>
    <row r="5472" spans="1:15">
      <c r="A5472" t="str">
        <f>"920792"</f>
        <v>920792</v>
      </c>
      <c r="B5472" t="s">
        <v>5517</v>
      </c>
      <c r="C5472">
        <v>-1.67</v>
      </c>
      <c r="D5472">
        <v>10.02</v>
      </c>
      <c r="E5472" t="s">
        <v>16</v>
      </c>
      <c r="F5472" t="s">
        <v>16</v>
      </c>
      <c r="H5472">
        <v>0.1</v>
      </c>
      <c r="I5472">
        <v>0.3</v>
      </c>
      <c r="J5472">
        <v>-1.96</v>
      </c>
      <c r="L5472">
        <v>-0.2</v>
      </c>
      <c r="M5472">
        <v>0</v>
      </c>
      <c r="N5472">
        <v>0</v>
      </c>
      <c r="O5472" t="s">
        <v>16</v>
      </c>
    </row>
    <row r="5473" spans="1:15">
      <c r="A5473" t="str">
        <f>"920799"</f>
        <v>920799</v>
      </c>
      <c r="B5473" t="s">
        <v>5518</v>
      </c>
      <c r="C5473">
        <v>-4.04</v>
      </c>
      <c r="D5473">
        <v>29.18</v>
      </c>
      <c r="E5473" t="s">
        <v>16</v>
      </c>
      <c r="F5473" t="s">
        <v>16</v>
      </c>
      <c r="H5473">
        <v>-0.4</v>
      </c>
      <c r="I5473">
        <v>0.93</v>
      </c>
      <c r="J5473">
        <v>-4.01</v>
      </c>
      <c r="L5473">
        <v>-1.74</v>
      </c>
      <c r="M5473">
        <v>144.32</v>
      </c>
      <c r="N5473">
        <v>0.06</v>
      </c>
      <c r="O5473">
        <v>4.09</v>
      </c>
    </row>
    <row r="5474" spans="1:15">
      <c r="A5474" t="str">
        <f>"920802"</f>
        <v>920802</v>
      </c>
      <c r="B5474" t="s">
        <v>5519</v>
      </c>
      <c r="C5474">
        <v>-0.62</v>
      </c>
      <c r="D5474">
        <v>11.31</v>
      </c>
      <c r="E5474" t="s">
        <v>16</v>
      </c>
      <c r="F5474" t="s">
        <v>16</v>
      </c>
      <c r="H5474">
        <v>1.89</v>
      </c>
      <c r="I5474">
        <v>-3.42</v>
      </c>
      <c r="J5474">
        <v>-1.91</v>
      </c>
      <c r="L5474">
        <v>1.32</v>
      </c>
      <c r="M5474">
        <v>0</v>
      </c>
      <c r="N5474">
        <v>0</v>
      </c>
      <c r="O5474">
        <v>0</v>
      </c>
    </row>
    <row r="5475" spans="1:15">
      <c r="A5475" t="str">
        <f>"920806"</f>
        <v>920806</v>
      </c>
      <c r="B5475" t="s">
        <v>5520</v>
      </c>
      <c r="C5475">
        <v>-2.73</v>
      </c>
      <c r="D5475">
        <v>10.33</v>
      </c>
      <c r="E5475" t="s">
        <v>16</v>
      </c>
      <c r="F5475" t="s">
        <v>16</v>
      </c>
      <c r="H5475">
        <v>0.39</v>
      </c>
      <c r="I5475">
        <v>0.58</v>
      </c>
      <c r="J5475">
        <v>-2.55</v>
      </c>
      <c r="L5475">
        <v>-0.94</v>
      </c>
      <c r="M5475">
        <v>4.94</v>
      </c>
      <c r="N5475">
        <v>0</v>
      </c>
      <c r="O5475">
        <v>0.33</v>
      </c>
    </row>
    <row r="5476" spans="1:15">
      <c r="A5476" t="str">
        <f>"920807"</f>
        <v>920807</v>
      </c>
      <c r="B5476" t="s">
        <v>5521</v>
      </c>
      <c r="C5476">
        <v>5.14</v>
      </c>
      <c r="D5476">
        <v>12.68</v>
      </c>
      <c r="E5476" t="s">
        <v>16</v>
      </c>
      <c r="F5476" t="s">
        <v>16</v>
      </c>
      <c r="H5476">
        <v>0.4</v>
      </c>
      <c r="I5476">
        <v>-3.94</v>
      </c>
      <c r="J5476">
        <v>-6.63</v>
      </c>
      <c r="L5476">
        <v>3.98</v>
      </c>
      <c r="M5476">
        <v>49.23</v>
      </c>
      <c r="N5476">
        <v>0.05</v>
      </c>
      <c r="O5476">
        <v>0.31</v>
      </c>
    </row>
    <row r="5477" spans="1:15">
      <c r="A5477" t="str">
        <f>"920808"</f>
        <v>920808</v>
      </c>
      <c r="B5477" t="s">
        <v>5522</v>
      </c>
      <c r="C5477">
        <v>1.9</v>
      </c>
      <c r="D5477">
        <v>76.82</v>
      </c>
      <c r="E5477" t="s">
        <v>16</v>
      </c>
      <c r="F5477" t="s">
        <v>16</v>
      </c>
      <c r="H5477">
        <v>-0.18</v>
      </c>
      <c r="I5477">
        <v>4.66</v>
      </c>
      <c r="J5477">
        <v>-2.5</v>
      </c>
      <c r="L5477">
        <v>-1.13</v>
      </c>
      <c r="M5477">
        <v>125.93</v>
      </c>
      <c r="N5477">
        <v>0.03</v>
      </c>
      <c r="O5477">
        <v>1.15</v>
      </c>
    </row>
    <row r="5478" spans="1:15">
      <c r="A5478" t="str">
        <f>"920809"</f>
        <v>920809</v>
      </c>
      <c r="B5478" t="s">
        <v>5523</v>
      </c>
      <c r="C5478">
        <v>-2.69</v>
      </c>
      <c r="D5478">
        <v>8.33</v>
      </c>
      <c r="E5478" t="s">
        <v>16</v>
      </c>
      <c r="F5478" t="s">
        <v>16</v>
      </c>
      <c r="H5478">
        <v>-0.11</v>
      </c>
      <c r="I5478">
        <v>5.98</v>
      </c>
      <c r="J5478">
        <v>-4.58</v>
      </c>
      <c r="L5478">
        <v>-1.29</v>
      </c>
      <c r="M5478">
        <v>25.6</v>
      </c>
      <c r="N5478">
        <v>0.01</v>
      </c>
      <c r="O5478">
        <v>0.39</v>
      </c>
    </row>
    <row r="5479" spans="1:15">
      <c r="A5479" t="str">
        <f>"920810"</f>
        <v>920810</v>
      </c>
      <c r="B5479" t="s">
        <v>5524</v>
      </c>
      <c r="C5479">
        <v>-4.43</v>
      </c>
      <c r="D5479">
        <v>8.19</v>
      </c>
      <c r="E5479" t="s">
        <v>16</v>
      </c>
      <c r="F5479" t="s">
        <v>16</v>
      </c>
      <c r="H5479">
        <v>-0.6</v>
      </c>
      <c r="I5479">
        <v>-9.1</v>
      </c>
      <c r="J5479">
        <v>-5.54</v>
      </c>
      <c r="L5479">
        <v>-0.23</v>
      </c>
      <c r="M5479">
        <v>5.99</v>
      </c>
      <c r="N5479">
        <v>0.02</v>
      </c>
      <c r="O5479" t="s">
        <v>16</v>
      </c>
    </row>
    <row r="5480" spans="1:15">
      <c r="A5480" t="str">
        <f>"920819"</f>
        <v>920819</v>
      </c>
      <c r="B5480" t="s">
        <v>5525</v>
      </c>
      <c r="C5480">
        <v>-2.11</v>
      </c>
      <c r="D5480">
        <v>2.78</v>
      </c>
      <c r="E5480" t="s">
        <v>16</v>
      </c>
      <c r="F5480" t="s">
        <v>16</v>
      </c>
      <c r="H5480">
        <v>-0.7</v>
      </c>
      <c r="I5480">
        <v>-5.12</v>
      </c>
      <c r="J5480">
        <v>-2.46</v>
      </c>
      <c r="L5480">
        <v>0</v>
      </c>
      <c r="M5480">
        <v>0.06</v>
      </c>
      <c r="N5480">
        <v>0</v>
      </c>
      <c r="O5480">
        <v>0.21</v>
      </c>
    </row>
    <row r="5481" spans="1:15">
      <c r="A5481" t="str">
        <f>"920821"</f>
        <v>920821</v>
      </c>
      <c r="B5481" t="s">
        <v>5526</v>
      </c>
      <c r="C5481">
        <v>-2.54</v>
      </c>
      <c r="D5481">
        <v>22.67</v>
      </c>
      <c r="E5481" t="s">
        <v>16</v>
      </c>
      <c r="F5481" t="s">
        <v>16</v>
      </c>
      <c r="H5481">
        <v>0.04</v>
      </c>
      <c r="I5481">
        <v>0.35</v>
      </c>
      <c r="J5481">
        <v>-3.41</v>
      </c>
      <c r="L5481">
        <v>-1.16</v>
      </c>
      <c r="M5481">
        <v>69.79</v>
      </c>
      <c r="N5481">
        <v>0.08</v>
      </c>
      <c r="O5481">
        <v>1.81</v>
      </c>
    </row>
    <row r="5482" spans="1:15">
      <c r="A5482" t="str">
        <f>"920826"</f>
        <v>920826</v>
      </c>
      <c r="B5482" t="s">
        <v>5527</v>
      </c>
      <c r="C5482">
        <v>-3.4</v>
      </c>
      <c r="D5482">
        <v>8.81</v>
      </c>
      <c r="E5482" t="s">
        <v>16</v>
      </c>
      <c r="F5482" t="s">
        <v>16</v>
      </c>
      <c r="H5482">
        <v>0</v>
      </c>
      <c r="I5482">
        <v>-12.6</v>
      </c>
      <c r="J5482">
        <v>-4.03</v>
      </c>
      <c r="L5482">
        <v>0.44</v>
      </c>
      <c r="M5482">
        <v>0.18</v>
      </c>
      <c r="N5482">
        <v>0</v>
      </c>
      <c r="O5482">
        <v>0.02</v>
      </c>
    </row>
    <row r="5483" spans="1:15">
      <c r="A5483" t="str">
        <f>"920832"</f>
        <v>920832</v>
      </c>
      <c r="B5483" t="s">
        <v>5528</v>
      </c>
      <c r="C5483">
        <v>-0.79</v>
      </c>
      <c r="D5483">
        <v>6.3</v>
      </c>
      <c r="E5483" t="s">
        <v>16</v>
      </c>
      <c r="F5483" t="s">
        <v>16</v>
      </c>
      <c r="H5483">
        <v>0.16</v>
      </c>
      <c r="I5483">
        <v>-9.35</v>
      </c>
      <c r="J5483">
        <v>-2.17</v>
      </c>
      <c r="L5483">
        <v>0.47</v>
      </c>
      <c r="M5483">
        <v>0.96</v>
      </c>
      <c r="N5483">
        <v>0</v>
      </c>
      <c r="O5483" t="s">
        <v>16</v>
      </c>
    </row>
    <row r="5484" spans="1:15">
      <c r="A5484" t="str">
        <f>"920833"</f>
        <v>920833</v>
      </c>
      <c r="B5484" t="s">
        <v>5529</v>
      </c>
      <c r="C5484">
        <v>-0.14</v>
      </c>
      <c r="D5484">
        <v>14.03</v>
      </c>
      <c r="E5484" t="s">
        <v>16</v>
      </c>
      <c r="F5484" t="s">
        <v>16</v>
      </c>
      <c r="H5484">
        <v>1.15</v>
      </c>
      <c r="I5484">
        <v>1.45</v>
      </c>
      <c r="J5484">
        <v>-1.06</v>
      </c>
      <c r="L5484">
        <v>0.78</v>
      </c>
      <c r="M5484">
        <v>6.52</v>
      </c>
      <c r="N5484">
        <v>0.01</v>
      </c>
      <c r="O5484">
        <v>7.67</v>
      </c>
    </row>
    <row r="5485" spans="1:15">
      <c r="A5485" t="str">
        <f>"920834"</f>
        <v>920834</v>
      </c>
      <c r="B5485" t="s">
        <v>5530</v>
      </c>
      <c r="C5485">
        <v>-4.24</v>
      </c>
      <c r="D5485">
        <v>9.49</v>
      </c>
      <c r="E5485" t="s">
        <v>16</v>
      </c>
      <c r="F5485" t="s">
        <v>16</v>
      </c>
      <c r="H5485">
        <v>0.64</v>
      </c>
      <c r="I5485">
        <v>-6.13</v>
      </c>
      <c r="J5485">
        <v>-3.65</v>
      </c>
      <c r="L5485">
        <v>-0.61</v>
      </c>
      <c r="M5485">
        <v>0</v>
      </c>
      <c r="N5485">
        <v>0</v>
      </c>
      <c r="O5485">
        <v>0</v>
      </c>
    </row>
    <row r="5486" spans="1:15">
      <c r="A5486" t="str">
        <f>"920837"</f>
        <v>920837</v>
      </c>
      <c r="B5486" t="s">
        <v>5531</v>
      </c>
      <c r="C5486">
        <v>-3.4</v>
      </c>
      <c r="D5486">
        <v>10.5</v>
      </c>
      <c r="E5486" t="s">
        <v>16</v>
      </c>
      <c r="F5486" t="s">
        <v>16</v>
      </c>
      <c r="H5486">
        <v>0.1</v>
      </c>
      <c r="I5486">
        <v>-3.58</v>
      </c>
      <c r="J5486">
        <v>-3.4</v>
      </c>
      <c r="L5486">
        <v>0</v>
      </c>
      <c r="M5486">
        <v>2.72</v>
      </c>
      <c r="N5486">
        <v>0.01</v>
      </c>
      <c r="O5486" t="s">
        <v>16</v>
      </c>
    </row>
    <row r="5487" spans="1:15">
      <c r="A5487" t="str">
        <f>"920839"</f>
        <v>920839</v>
      </c>
      <c r="B5487" t="s">
        <v>5532</v>
      </c>
      <c r="C5487">
        <v>-2.77</v>
      </c>
      <c r="D5487">
        <v>27.35</v>
      </c>
      <c r="E5487" t="s">
        <v>16</v>
      </c>
      <c r="F5487" t="s">
        <v>16</v>
      </c>
      <c r="H5487">
        <v>-0.61</v>
      </c>
      <c r="I5487">
        <v>5.39</v>
      </c>
      <c r="J5487">
        <v>-3.6</v>
      </c>
      <c r="L5487">
        <v>0.85</v>
      </c>
      <c r="M5487">
        <v>2.32</v>
      </c>
      <c r="N5487">
        <v>0</v>
      </c>
      <c r="O5487">
        <v>0.21</v>
      </c>
    </row>
    <row r="5488" spans="1:15">
      <c r="A5488" t="str">
        <f>"920855"</f>
        <v>920855</v>
      </c>
      <c r="B5488" t="s">
        <v>5533</v>
      </c>
      <c r="C5488">
        <v>-2.74</v>
      </c>
      <c r="D5488">
        <v>12.42</v>
      </c>
      <c r="E5488" t="s">
        <v>16</v>
      </c>
      <c r="F5488" t="s">
        <v>16</v>
      </c>
      <c r="H5488">
        <v>1.64</v>
      </c>
      <c r="I5488">
        <v>-6.9</v>
      </c>
      <c r="J5488">
        <v>-2.66</v>
      </c>
      <c r="L5488">
        <v>-0.08</v>
      </c>
      <c r="M5488">
        <v>0.75</v>
      </c>
      <c r="N5488">
        <v>0</v>
      </c>
      <c r="O5488">
        <v>0.33</v>
      </c>
    </row>
    <row r="5489" spans="1:15">
      <c r="A5489" t="str">
        <f>"920856"</f>
        <v>920856</v>
      </c>
      <c r="B5489" t="s">
        <v>5534</v>
      </c>
      <c r="C5489">
        <v>-4.09</v>
      </c>
      <c r="D5489">
        <v>9.15</v>
      </c>
      <c r="E5489" t="s">
        <v>16</v>
      </c>
      <c r="F5489" t="s">
        <v>16</v>
      </c>
      <c r="H5489">
        <v>-0.1</v>
      </c>
      <c r="I5489">
        <v>-7.58</v>
      </c>
      <c r="J5489">
        <v>-3.28</v>
      </c>
      <c r="L5489">
        <v>-0.84</v>
      </c>
      <c r="M5489">
        <v>2.65</v>
      </c>
      <c r="N5489">
        <v>0.01</v>
      </c>
      <c r="O5489">
        <v>0.47</v>
      </c>
    </row>
    <row r="5490" spans="1:15">
      <c r="A5490" t="str">
        <f>"920857"</f>
        <v>920857</v>
      </c>
      <c r="B5490" t="s">
        <v>5535</v>
      </c>
      <c r="C5490">
        <v>-5.54</v>
      </c>
      <c r="D5490">
        <v>15.18</v>
      </c>
      <c r="E5490" t="s">
        <v>16</v>
      </c>
      <c r="F5490" t="s">
        <v>16</v>
      </c>
      <c r="H5490">
        <v>-0.45</v>
      </c>
      <c r="I5490">
        <v>-19.26</v>
      </c>
      <c r="J5490">
        <v>-4.83</v>
      </c>
      <c r="L5490">
        <v>-0.81</v>
      </c>
      <c r="M5490">
        <v>3.83</v>
      </c>
      <c r="N5490">
        <v>0.01</v>
      </c>
      <c r="O5490">
        <v>0.89</v>
      </c>
    </row>
    <row r="5491" spans="1:15">
      <c r="A5491" t="str">
        <f>"920866"</f>
        <v>920866</v>
      </c>
      <c r="B5491" t="s">
        <v>5536</v>
      </c>
      <c r="C5491">
        <v>-3.59</v>
      </c>
      <c r="D5491">
        <v>6.18</v>
      </c>
      <c r="E5491" t="s">
        <v>16</v>
      </c>
      <c r="F5491" t="s">
        <v>16</v>
      </c>
      <c r="H5491">
        <v>-0.31</v>
      </c>
      <c r="I5491">
        <v>-4.92</v>
      </c>
      <c r="J5491">
        <v>-2.83</v>
      </c>
      <c r="L5491">
        <v>-0.78</v>
      </c>
      <c r="M5491">
        <v>0.06</v>
      </c>
      <c r="N5491">
        <v>0</v>
      </c>
      <c r="O5491" t="s">
        <v>16</v>
      </c>
    </row>
    <row r="5492" spans="1:15">
      <c r="A5492" t="str">
        <f>"920870"</f>
        <v>920870</v>
      </c>
      <c r="B5492" t="s">
        <v>5537</v>
      </c>
      <c r="C5492">
        <v>-2.34</v>
      </c>
      <c r="D5492">
        <v>13.36</v>
      </c>
      <c r="E5492" t="s">
        <v>16</v>
      </c>
      <c r="F5492" t="s">
        <v>16</v>
      </c>
      <c r="H5492">
        <v>-0.44</v>
      </c>
      <c r="I5492">
        <v>-0.45</v>
      </c>
      <c r="J5492">
        <v>-2.84</v>
      </c>
      <c r="L5492">
        <v>-0.44</v>
      </c>
      <c r="M5492">
        <v>1.48</v>
      </c>
      <c r="N5492">
        <v>0</v>
      </c>
      <c r="O5492">
        <v>1.81</v>
      </c>
    </row>
    <row r="5493" spans="1:15">
      <c r="A5493" t="str">
        <f>"920871"</f>
        <v>920871</v>
      </c>
      <c r="B5493" t="s">
        <v>5538</v>
      </c>
      <c r="C5493">
        <v>-2.95</v>
      </c>
      <c r="D5493">
        <v>11.85</v>
      </c>
      <c r="E5493" t="s">
        <v>16</v>
      </c>
      <c r="F5493" t="s">
        <v>16</v>
      </c>
      <c r="H5493">
        <v>0</v>
      </c>
      <c r="I5493">
        <v>-3.74</v>
      </c>
      <c r="J5493">
        <v>-3.27</v>
      </c>
      <c r="L5493">
        <v>-0.49</v>
      </c>
      <c r="M5493">
        <v>5.29</v>
      </c>
      <c r="N5493">
        <v>0.02</v>
      </c>
      <c r="O5493">
        <v>5.44</v>
      </c>
    </row>
    <row r="5494" spans="1:15">
      <c r="A5494" t="str">
        <f>"920873"</f>
        <v>920873</v>
      </c>
      <c r="B5494" t="s">
        <v>5539</v>
      </c>
      <c r="C5494">
        <v>-5.11</v>
      </c>
      <c r="D5494">
        <v>7.61</v>
      </c>
      <c r="E5494" t="s">
        <v>16</v>
      </c>
      <c r="F5494" t="s">
        <v>16</v>
      </c>
      <c r="H5494">
        <v>0.53</v>
      </c>
      <c r="I5494">
        <v>-6.28</v>
      </c>
      <c r="J5494">
        <v>-4.99</v>
      </c>
      <c r="L5494">
        <v>-0.25</v>
      </c>
      <c r="M5494">
        <v>36.53</v>
      </c>
      <c r="N5494">
        <v>0.04</v>
      </c>
      <c r="O5494">
        <v>4.57</v>
      </c>
    </row>
    <row r="5495" spans="1:15">
      <c r="A5495" t="str">
        <f>"920876"</f>
        <v>920876</v>
      </c>
      <c r="B5495" t="s">
        <v>5540</v>
      </c>
      <c r="C5495">
        <v>-3</v>
      </c>
      <c r="D5495">
        <v>18.74</v>
      </c>
      <c r="E5495" t="s">
        <v>16</v>
      </c>
      <c r="F5495" t="s">
        <v>16</v>
      </c>
      <c r="H5495">
        <v>-0.04</v>
      </c>
      <c r="I5495">
        <v>-18.49</v>
      </c>
      <c r="J5495">
        <v>-3.2</v>
      </c>
      <c r="L5495">
        <v>0.16</v>
      </c>
      <c r="M5495">
        <v>0</v>
      </c>
      <c r="N5495">
        <v>0</v>
      </c>
      <c r="O5495">
        <v>0</v>
      </c>
    </row>
    <row r="5496" spans="1:15">
      <c r="A5496" t="str">
        <f>"920879"</f>
        <v>920879</v>
      </c>
      <c r="B5496" t="s">
        <v>5541</v>
      </c>
      <c r="C5496">
        <v>-4.21</v>
      </c>
      <c r="D5496">
        <v>14.78</v>
      </c>
      <c r="E5496" t="s">
        <v>16</v>
      </c>
      <c r="F5496" t="s">
        <v>16</v>
      </c>
      <c r="H5496">
        <v>-0.46</v>
      </c>
      <c r="I5496">
        <v>-9.44</v>
      </c>
      <c r="J5496">
        <v>-5.44</v>
      </c>
      <c r="L5496">
        <v>-1.62</v>
      </c>
      <c r="M5496">
        <v>56.61</v>
      </c>
      <c r="N5496">
        <v>0.05</v>
      </c>
      <c r="O5496">
        <v>12.03</v>
      </c>
    </row>
    <row r="5497" spans="1:15">
      <c r="A5497" t="str">
        <f>"920885"</f>
        <v>920885</v>
      </c>
      <c r="B5497" t="s">
        <v>5542</v>
      </c>
      <c r="C5497">
        <v>-3.62</v>
      </c>
      <c r="D5497">
        <v>14.36</v>
      </c>
      <c r="E5497" t="s">
        <v>16</v>
      </c>
      <c r="F5497" t="s">
        <v>16</v>
      </c>
      <c r="H5497">
        <v>0</v>
      </c>
      <c r="I5497">
        <v>1.06</v>
      </c>
      <c r="J5497">
        <v>-3.23</v>
      </c>
      <c r="L5497">
        <v>-1.07</v>
      </c>
      <c r="M5497">
        <v>20.5</v>
      </c>
      <c r="N5497">
        <v>0.02</v>
      </c>
      <c r="O5497">
        <v>0.56</v>
      </c>
    </row>
    <row r="5498" spans="1:15">
      <c r="A5498" t="str">
        <f>"920892"</f>
        <v>920892</v>
      </c>
      <c r="B5498" t="s">
        <v>5543</v>
      </c>
      <c r="C5498">
        <v>-2.42</v>
      </c>
      <c r="D5498">
        <v>12.1</v>
      </c>
      <c r="E5498" t="s">
        <v>16</v>
      </c>
      <c r="F5498" t="s">
        <v>16</v>
      </c>
      <c r="H5498">
        <v>0.67</v>
      </c>
      <c r="I5498">
        <v>0</v>
      </c>
      <c r="J5498">
        <v>-2.89</v>
      </c>
      <c r="L5498">
        <v>0.48</v>
      </c>
      <c r="M5498">
        <v>18.44</v>
      </c>
      <c r="N5498">
        <v>0.03</v>
      </c>
      <c r="O5498">
        <v>147.99</v>
      </c>
    </row>
    <row r="5499" spans="1:15">
      <c r="A5499" t="str">
        <f>"920895"</f>
        <v>920895</v>
      </c>
      <c r="B5499" t="s">
        <v>5544</v>
      </c>
      <c r="C5499">
        <v>-4.63</v>
      </c>
      <c r="D5499">
        <v>12.56</v>
      </c>
      <c r="E5499" t="s">
        <v>16</v>
      </c>
      <c r="F5499" t="s">
        <v>16</v>
      </c>
      <c r="H5499">
        <v>0.64</v>
      </c>
      <c r="I5499">
        <v>-6.13</v>
      </c>
      <c r="J5499">
        <v>-4.78</v>
      </c>
      <c r="L5499">
        <v>-1.29</v>
      </c>
      <c r="M5499">
        <v>8.93</v>
      </c>
      <c r="N5499">
        <v>0.03</v>
      </c>
      <c r="O5499">
        <v>7.63</v>
      </c>
    </row>
    <row r="5500" spans="1:15">
      <c r="A5500" t="str">
        <f>"920896"</f>
        <v>920896</v>
      </c>
      <c r="B5500" t="s">
        <v>5545</v>
      </c>
      <c r="C5500">
        <v>-3.63</v>
      </c>
      <c r="D5500">
        <v>13.55</v>
      </c>
      <c r="E5500" t="s">
        <v>16</v>
      </c>
      <c r="F5500" t="s">
        <v>16</v>
      </c>
      <c r="H5500">
        <v>-0.28</v>
      </c>
      <c r="I5500">
        <v>-5.9</v>
      </c>
      <c r="J5500">
        <v>-4.58</v>
      </c>
      <c r="L5500">
        <v>-0.36</v>
      </c>
      <c r="M5500">
        <v>0</v>
      </c>
      <c r="N5500">
        <v>0</v>
      </c>
      <c r="O5500">
        <v>0</v>
      </c>
    </row>
    <row r="5501" spans="1:15">
      <c r="A5501" t="str">
        <f>"920906"</f>
        <v>920906</v>
      </c>
      <c r="B5501" t="s">
        <v>5546</v>
      </c>
      <c r="C5501">
        <v>-3.4</v>
      </c>
      <c r="D5501">
        <v>18.76</v>
      </c>
      <c r="E5501" t="s">
        <v>16</v>
      </c>
      <c r="F5501" t="s">
        <v>16</v>
      </c>
      <c r="H5501">
        <v>-0.57</v>
      </c>
      <c r="I5501">
        <v>-6.29</v>
      </c>
      <c r="J5501">
        <v>-4.14</v>
      </c>
      <c r="L5501">
        <v>0.77</v>
      </c>
      <c r="M5501">
        <v>2.54</v>
      </c>
      <c r="N5501">
        <v>0.01</v>
      </c>
      <c r="O5501">
        <v>0.48</v>
      </c>
    </row>
    <row r="5502" spans="1:15">
      <c r="A5502" t="str">
        <f>"920914"</f>
        <v>920914</v>
      </c>
      <c r="B5502" t="s">
        <v>5547</v>
      </c>
      <c r="C5502">
        <v>-2.38</v>
      </c>
      <c r="D5502">
        <v>21.36</v>
      </c>
      <c r="E5502" t="s">
        <v>16</v>
      </c>
      <c r="F5502" t="s">
        <v>16</v>
      </c>
      <c r="H5502">
        <v>-0.18</v>
      </c>
      <c r="I5502">
        <v>2.15</v>
      </c>
      <c r="J5502">
        <v>-5.28</v>
      </c>
      <c r="L5502">
        <v>1.46</v>
      </c>
      <c r="M5502">
        <v>10.92</v>
      </c>
      <c r="N5502">
        <v>0.01</v>
      </c>
      <c r="O5502">
        <v>1.45</v>
      </c>
    </row>
    <row r="5503" spans="1:15">
      <c r="A5503" t="str">
        <f>"920924"</f>
        <v>920924</v>
      </c>
      <c r="B5503" t="s">
        <v>5548</v>
      </c>
      <c r="C5503">
        <v>-2.36</v>
      </c>
      <c r="D5503">
        <v>16.16</v>
      </c>
      <c r="E5503" t="s">
        <v>16</v>
      </c>
      <c r="F5503" t="s">
        <v>16</v>
      </c>
      <c r="H5503">
        <v>-0.11</v>
      </c>
      <c r="I5503">
        <v>-3.69</v>
      </c>
      <c r="J5503">
        <v>-4.27</v>
      </c>
      <c r="L5503">
        <v>-0.18</v>
      </c>
      <c r="M5503">
        <v>6.61</v>
      </c>
      <c r="N5503">
        <v>0.01</v>
      </c>
      <c r="O5503">
        <v>1.6</v>
      </c>
    </row>
    <row r="5504" spans="1:15">
      <c r="A5504" t="str">
        <f>"920925"</f>
        <v>920925</v>
      </c>
      <c r="B5504" t="s">
        <v>5549</v>
      </c>
      <c r="C5504">
        <v>-3.1</v>
      </c>
      <c r="D5504">
        <v>11.55</v>
      </c>
      <c r="E5504" t="s">
        <v>16</v>
      </c>
      <c r="F5504" t="s">
        <v>16</v>
      </c>
      <c r="H5504">
        <v>-0.25</v>
      </c>
      <c r="I5504">
        <v>-7.38</v>
      </c>
      <c r="J5504">
        <v>-6.02</v>
      </c>
      <c r="L5504">
        <v>0.34</v>
      </c>
      <c r="M5504">
        <v>13.14</v>
      </c>
      <c r="N5504">
        <v>0.03</v>
      </c>
      <c r="O5504">
        <v>3.66</v>
      </c>
    </row>
    <row r="5505" spans="1:15">
      <c r="A5505" t="str">
        <f>"920926"</f>
        <v>920926</v>
      </c>
      <c r="B5505" t="s">
        <v>5550</v>
      </c>
      <c r="C5505">
        <v>-3.48</v>
      </c>
      <c r="D5505">
        <v>10.82</v>
      </c>
      <c r="E5505" t="s">
        <v>16</v>
      </c>
      <c r="F5505" t="s">
        <v>16</v>
      </c>
      <c r="H5505">
        <v>0.19</v>
      </c>
      <c r="I5505">
        <v>-6.56</v>
      </c>
      <c r="J5505">
        <v>-6.4</v>
      </c>
      <c r="L5505">
        <v>1.07</v>
      </c>
      <c r="M5505">
        <v>6.32</v>
      </c>
      <c r="N5505">
        <v>0.02</v>
      </c>
      <c r="O5505" t="s">
        <v>16</v>
      </c>
    </row>
    <row r="5506" spans="1:15">
      <c r="A5506" t="str">
        <f>"920931"</f>
        <v>920931</v>
      </c>
      <c r="B5506" t="s">
        <v>5551</v>
      </c>
      <c r="C5506">
        <v>-2.09</v>
      </c>
      <c r="D5506">
        <v>9.82</v>
      </c>
      <c r="E5506" t="s">
        <v>16</v>
      </c>
      <c r="F5506" t="s">
        <v>16</v>
      </c>
      <c r="H5506">
        <v>0.2</v>
      </c>
      <c r="I5506">
        <v>-4.66</v>
      </c>
      <c r="J5506">
        <v>-2.29</v>
      </c>
      <c r="L5506">
        <v>-0.2</v>
      </c>
      <c r="M5506">
        <v>4.87</v>
      </c>
      <c r="N5506">
        <v>0.02</v>
      </c>
      <c r="O5506">
        <v>1.57</v>
      </c>
    </row>
    <row r="5507" spans="1:15">
      <c r="A5507" t="str">
        <f>"920932"</f>
        <v>920932</v>
      </c>
      <c r="B5507" t="s">
        <v>5552</v>
      </c>
      <c r="C5507">
        <v>-1.69</v>
      </c>
      <c r="D5507">
        <v>14.57</v>
      </c>
      <c r="E5507" t="s">
        <v>16</v>
      </c>
      <c r="F5507" t="s">
        <v>16</v>
      </c>
      <c r="H5507">
        <v>-0.33</v>
      </c>
      <c r="I5507">
        <v>-15.59</v>
      </c>
      <c r="J5507">
        <v>-2.08</v>
      </c>
      <c r="L5507">
        <v>0.2</v>
      </c>
      <c r="M5507">
        <v>4.42</v>
      </c>
      <c r="N5507">
        <v>0</v>
      </c>
      <c r="O5507">
        <v>1.57</v>
      </c>
    </row>
    <row r="5508" spans="1:15">
      <c r="A5508" t="str">
        <f>"920942"</f>
        <v>920942</v>
      </c>
      <c r="B5508" t="s">
        <v>5553</v>
      </c>
      <c r="C5508">
        <v>-4.51</v>
      </c>
      <c r="D5508">
        <v>19.91</v>
      </c>
      <c r="E5508" t="s">
        <v>16</v>
      </c>
      <c r="F5508" t="s">
        <v>16</v>
      </c>
      <c r="H5508">
        <v>-0.09</v>
      </c>
      <c r="I5508">
        <v>-6.35</v>
      </c>
      <c r="J5508">
        <v>-4.92</v>
      </c>
      <c r="L5508">
        <v>-1.2</v>
      </c>
      <c r="M5508">
        <v>36.57</v>
      </c>
      <c r="N5508">
        <v>0.05</v>
      </c>
      <c r="O5508">
        <v>17.75</v>
      </c>
    </row>
    <row r="5509" spans="1:15">
      <c r="A5509" t="str">
        <f>"920943"</f>
        <v>920943</v>
      </c>
      <c r="B5509" t="s">
        <v>5554</v>
      </c>
      <c r="C5509">
        <v>-2.12</v>
      </c>
      <c r="D5509">
        <v>14.32</v>
      </c>
      <c r="E5509" t="s">
        <v>16</v>
      </c>
      <c r="F5509" t="s">
        <v>16</v>
      </c>
      <c r="H5509">
        <v>-0.48</v>
      </c>
      <c r="I5509">
        <v>1.27</v>
      </c>
      <c r="J5509">
        <v>-1.85</v>
      </c>
      <c r="L5509">
        <v>-0.82</v>
      </c>
      <c r="M5509">
        <v>8.02</v>
      </c>
      <c r="N5509">
        <v>0.02</v>
      </c>
      <c r="O5509">
        <v>27.64</v>
      </c>
    </row>
    <row r="5510" spans="1:15">
      <c r="A5510" t="str">
        <f>"920946"</f>
        <v>920946</v>
      </c>
      <c r="B5510" t="s">
        <v>5555</v>
      </c>
      <c r="C5510">
        <v>0.44</v>
      </c>
      <c r="D5510">
        <v>9.14</v>
      </c>
      <c r="E5510" t="s">
        <v>16</v>
      </c>
      <c r="F5510" t="s">
        <v>16</v>
      </c>
      <c r="H5510">
        <v>0.33</v>
      </c>
      <c r="I5510">
        <v>1.44</v>
      </c>
      <c r="J5510">
        <v>-2.04</v>
      </c>
      <c r="L5510">
        <v>0</v>
      </c>
      <c r="M5510">
        <v>0.09</v>
      </c>
      <c r="N5510">
        <v>0</v>
      </c>
      <c r="O5510">
        <v>0.01</v>
      </c>
    </row>
    <row r="5511" spans="1:15">
      <c r="A5511" t="str">
        <f>"920950"</f>
        <v>920950</v>
      </c>
      <c r="B5511" t="s">
        <v>5556</v>
      </c>
      <c r="C5511">
        <v>-3.3</v>
      </c>
      <c r="D5511">
        <v>13.19</v>
      </c>
      <c r="E5511" t="s">
        <v>16</v>
      </c>
      <c r="F5511" t="s">
        <v>16</v>
      </c>
      <c r="H5511">
        <v>0</v>
      </c>
      <c r="I5511">
        <v>-2.08</v>
      </c>
      <c r="J5511">
        <v>-3.37</v>
      </c>
      <c r="L5511">
        <v>-0.59</v>
      </c>
      <c r="M5511">
        <v>0</v>
      </c>
      <c r="N5511">
        <v>0</v>
      </c>
      <c r="O5511">
        <v>0</v>
      </c>
    </row>
    <row r="5512" spans="1:15">
      <c r="A5512" t="str">
        <f>"920953"</f>
        <v>920953</v>
      </c>
      <c r="B5512" t="s">
        <v>5557</v>
      </c>
      <c r="C5512">
        <v>-1.88</v>
      </c>
      <c r="D5512">
        <v>24.48</v>
      </c>
      <c r="E5512" t="s">
        <v>16</v>
      </c>
      <c r="F5512" t="s">
        <v>16</v>
      </c>
      <c r="H5512">
        <v>-0.48</v>
      </c>
      <c r="I5512">
        <v>-4.38</v>
      </c>
      <c r="J5512">
        <v>-2.59</v>
      </c>
      <c r="L5512">
        <v>-0.8</v>
      </c>
      <c r="M5512">
        <v>7.8</v>
      </c>
      <c r="N5512">
        <v>0.01</v>
      </c>
      <c r="O5512" t="s">
        <v>16</v>
      </c>
    </row>
    <row r="5513" spans="1:15">
      <c r="A5513" t="str">
        <f>"920957"</f>
        <v>920957</v>
      </c>
      <c r="B5513" t="s">
        <v>5558</v>
      </c>
      <c r="C5513">
        <v>-4.16</v>
      </c>
      <c r="D5513">
        <v>9.22</v>
      </c>
      <c r="E5513" t="s">
        <v>16</v>
      </c>
      <c r="F5513" t="s">
        <v>16</v>
      </c>
      <c r="H5513">
        <v>0.11</v>
      </c>
      <c r="I5513">
        <v>-5.34</v>
      </c>
      <c r="J5513">
        <v>-4.75</v>
      </c>
      <c r="L5513">
        <v>-0.73</v>
      </c>
      <c r="M5513">
        <v>0</v>
      </c>
      <c r="N5513">
        <v>0</v>
      </c>
      <c r="O5513">
        <v>0</v>
      </c>
    </row>
    <row r="5514" spans="1:15">
      <c r="A5514" t="str">
        <f>"920961"</f>
        <v>920961</v>
      </c>
      <c r="B5514" t="s">
        <v>5559</v>
      </c>
      <c r="C5514">
        <v>1.13</v>
      </c>
      <c r="D5514">
        <v>26.05</v>
      </c>
      <c r="E5514" t="s">
        <v>16</v>
      </c>
      <c r="F5514" t="s">
        <v>16</v>
      </c>
      <c r="H5514">
        <v>-0.41</v>
      </c>
      <c r="I5514">
        <v>54.23</v>
      </c>
      <c r="J5514">
        <v>-3.02</v>
      </c>
      <c r="L5514">
        <v>-4.58</v>
      </c>
      <c r="M5514">
        <v>691.18</v>
      </c>
      <c r="N5514">
        <v>0.35</v>
      </c>
      <c r="O5514">
        <v>4.32</v>
      </c>
    </row>
    <row r="5515" spans="1:15">
      <c r="A5515" t="str">
        <f>"920964"</f>
        <v>920964</v>
      </c>
      <c r="B5515" t="s">
        <v>5560</v>
      </c>
      <c r="C5515">
        <v>-4.12</v>
      </c>
      <c r="D5515">
        <v>4.65</v>
      </c>
      <c r="E5515" t="s">
        <v>16</v>
      </c>
      <c r="F5515" t="s">
        <v>16</v>
      </c>
      <c r="H5515">
        <v>-0.2</v>
      </c>
      <c r="I5515">
        <v>-4.12</v>
      </c>
      <c r="J5515">
        <v>-4.32</v>
      </c>
      <c r="L5515">
        <v>-0.21</v>
      </c>
      <c r="M5515">
        <v>3.96</v>
      </c>
      <c r="N5515">
        <v>0.01</v>
      </c>
      <c r="O5515">
        <v>1.01</v>
      </c>
    </row>
    <row r="5516" spans="1:15">
      <c r="A5516" t="str">
        <f>"920970"</f>
        <v>920970</v>
      </c>
      <c r="B5516" t="s">
        <v>5561</v>
      </c>
      <c r="C5516">
        <v>-4.34</v>
      </c>
      <c r="D5516">
        <v>5.51</v>
      </c>
      <c r="E5516" t="s">
        <v>16</v>
      </c>
      <c r="F5516" t="s">
        <v>16</v>
      </c>
      <c r="H5516">
        <v>-0.17</v>
      </c>
      <c r="I5516">
        <v>-8.62</v>
      </c>
      <c r="J5516">
        <v>-4.17</v>
      </c>
      <c r="L5516">
        <v>-0.17</v>
      </c>
      <c r="M5516">
        <v>6.27</v>
      </c>
      <c r="N5516">
        <v>0.02</v>
      </c>
      <c r="O5516">
        <v>2.37</v>
      </c>
    </row>
    <row r="5517" spans="1:15">
      <c r="A5517" t="str">
        <f>"920971"</f>
        <v>920971</v>
      </c>
      <c r="B5517" t="s">
        <v>5562</v>
      </c>
      <c r="C5517">
        <v>10.87</v>
      </c>
      <c r="D5517">
        <v>42.55</v>
      </c>
      <c r="E5517" t="s">
        <v>16</v>
      </c>
      <c r="F5517" t="s">
        <v>16</v>
      </c>
      <c r="H5517">
        <v>-0.11</v>
      </c>
      <c r="I5517">
        <v>3.5</v>
      </c>
      <c r="J5517">
        <v>-0.33</v>
      </c>
      <c r="L5517">
        <v>-1.04</v>
      </c>
      <c r="M5517">
        <v>221.96</v>
      </c>
      <c r="N5517">
        <v>0.13</v>
      </c>
      <c r="O5517">
        <v>0.67</v>
      </c>
    </row>
    <row r="5518" spans="1:15">
      <c r="A5518" t="str">
        <f>"920974"</f>
        <v>920974</v>
      </c>
      <c r="B5518" t="s">
        <v>5563</v>
      </c>
      <c r="C5518">
        <v>-3</v>
      </c>
      <c r="D5518">
        <v>6.79</v>
      </c>
      <c r="E5518" t="s">
        <v>16</v>
      </c>
      <c r="F5518" t="s">
        <v>16</v>
      </c>
      <c r="H5518">
        <v>1.19</v>
      </c>
      <c r="I5518">
        <v>-6.73</v>
      </c>
      <c r="J5518">
        <v>-2.44</v>
      </c>
      <c r="L5518">
        <v>-0.57</v>
      </c>
      <c r="M5518">
        <v>0</v>
      </c>
      <c r="N5518">
        <v>0</v>
      </c>
      <c r="O5518">
        <v>0</v>
      </c>
    </row>
    <row r="5519" spans="1:15">
      <c r="A5519" t="str">
        <f>"920976"</f>
        <v>920976</v>
      </c>
      <c r="B5519" t="s">
        <v>5564</v>
      </c>
      <c r="C5519">
        <v>-2.54</v>
      </c>
      <c r="D5519">
        <v>18.78</v>
      </c>
      <c r="E5519" t="s">
        <v>16</v>
      </c>
      <c r="F5519" t="s">
        <v>16</v>
      </c>
      <c r="H5519">
        <v>-0.36</v>
      </c>
      <c r="I5519">
        <v>-11.21</v>
      </c>
      <c r="J5519">
        <v>-3.69</v>
      </c>
      <c r="L5519">
        <v>1.19</v>
      </c>
      <c r="M5519">
        <v>2.78</v>
      </c>
      <c r="N5519">
        <v>0.01</v>
      </c>
      <c r="O5519">
        <v>1.19</v>
      </c>
    </row>
    <row r="5520" spans="1:15">
      <c r="A5520" t="str">
        <f>"920978"</f>
        <v>920978</v>
      </c>
      <c r="B5520" t="s">
        <v>5565</v>
      </c>
      <c r="C5520">
        <v>-0.71</v>
      </c>
      <c r="D5520">
        <v>22.4</v>
      </c>
      <c r="E5520" t="s">
        <v>16</v>
      </c>
      <c r="F5520" t="s">
        <v>16</v>
      </c>
      <c r="H5520">
        <v>0.36</v>
      </c>
      <c r="I5520">
        <v>0.86</v>
      </c>
      <c r="J5520">
        <v>-2.35</v>
      </c>
      <c r="L5520">
        <v>0</v>
      </c>
      <c r="M5520">
        <v>2.21</v>
      </c>
      <c r="N5520">
        <v>0</v>
      </c>
      <c r="O5520">
        <v>0.04</v>
      </c>
    </row>
    <row r="5521" spans="1:15">
      <c r="A5521" t="str">
        <f>"920981"</f>
        <v>920981</v>
      </c>
      <c r="B5521" t="s">
        <v>5566</v>
      </c>
      <c r="C5521">
        <v>-1.48</v>
      </c>
      <c r="D5521">
        <v>41.26</v>
      </c>
      <c r="E5521" t="s">
        <v>16</v>
      </c>
      <c r="F5521" t="s">
        <v>16</v>
      </c>
      <c r="H5521">
        <v>0.02</v>
      </c>
      <c r="I5521">
        <v>-1.34</v>
      </c>
      <c r="J5521">
        <v>-5.15</v>
      </c>
      <c r="L5521">
        <v>0</v>
      </c>
      <c r="M5521">
        <v>60.13</v>
      </c>
      <c r="N5521">
        <v>0.06</v>
      </c>
      <c r="O5521">
        <v>0.3</v>
      </c>
    </row>
    <row r="5522" spans="1:15">
      <c r="A5522" t="str">
        <f>"920982"</f>
        <v>920982</v>
      </c>
      <c r="B5522" t="s">
        <v>5567</v>
      </c>
      <c r="C5522">
        <v>-0.82</v>
      </c>
      <c r="D5522">
        <v>151.3</v>
      </c>
      <c r="E5522" t="s">
        <v>16</v>
      </c>
      <c r="F5522" t="s">
        <v>16</v>
      </c>
      <c r="H5522">
        <v>0.05</v>
      </c>
      <c r="I5522">
        <v>-1.08</v>
      </c>
      <c r="J5522">
        <v>-2.26</v>
      </c>
      <c r="L5522">
        <v>-0.35</v>
      </c>
      <c r="M5522">
        <v>11.55</v>
      </c>
      <c r="N5522">
        <v>0</v>
      </c>
      <c r="O5522">
        <v>0.36</v>
      </c>
    </row>
    <row r="5523" spans="1:15">
      <c r="A5523" t="str">
        <f>"920985"</f>
        <v>920985</v>
      </c>
      <c r="B5523" t="s">
        <v>5568</v>
      </c>
      <c r="C5523">
        <v>-3.63</v>
      </c>
      <c r="D5523">
        <v>5.05</v>
      </c>
      <c r="E5523" t="s">
        <v>16</v>
      </c>
      <c r="F5523" t="s">
        <v>16</v>
      </c>
      <c r="H5523">
        <v>-0.19</v>
      </c>
      <c r="I5523">
        <v>-9.82</v>
      </c>
      <c r="J5523">
        <v>-3.81</v>
      </c>
      <c r="L5523">
        <v>0.19</v>
      </c>
      <c r="M5523">
        <v>0</v>
      </c>
      <c r="N5523">
        <v>0</v>
      </c>
      <c r="O5523">
        <v>0</v>
      </c>
    </row>
    <row r="5524" spans="1:15">
      <c r="A5524" t="str">
        <f>"920992"</f>
        <v>920992</v>
      </c>
      <c r="B5524" t="s">
        <v>5569</v>
      </c>
      <c r="C5524">
        <v>-2.99</v>
      </c>
      <c r="D5524">
        <v>12.65</v>
      </c>
      <c r="E5524" t="s">
        <v>16</v>
      </c>
      <c r="F5524" t="s">
        <v>16</v>
      </c>
      <c r="H5524">
        <v>-0.85</v>
      </c>
      <c r="I5524">
        <v>-0.32</v>
      </c>
      <c r="J5524">
        <v>-6.02</v>
      </c>
      <c r="L5524">
        <v>-1.53</v>
      </c>
      <c r="M5524">
        <v>42.07</v>
      </c>
      <c r="N5524">
        <v>0.1</v>
      </c>
      <c r="O5524">
        <v>18.2</v>
      </c>
    </row>
    <row r="5525" spans="1:15">
      <c r="A5525" t="str">
        <f>"920072"</f>
        <v>920072</v>
      </c>
      <c r="B5525" t="s">
        <v>5570</v>
      </c>
      <c r="C5525" t="s">
        <v>16</v>
      </c>
      <c r="D5525">
        <v>0</v>
      </c>
      <c r="E5525" t="s">
        <v>16</v>
      </c>
      <c r="F5525" t="s">
        <v>16</v>
      </c>
      <c r="H5525" t="s">
        <v>16</v>
      </c>
      <c r="I5525" t="s">
        <v>16</v>
      </c>
      <c r="J5525" t="s">
        <v>16</v>
      </c>
      <c r="L5525" t="s">
        <v>16</v>
      </c>
      <c r="M5525">
        <v>0</v>
      </c>
      <c r="N5525" t="s">
        <v>16</v>
      </c>
      <c r="O5525" t="s">
        <v>16</v>
      </c>
    </row>
    <row r="5526" spans="1:15">
      <c r="A5526" t="str">
        <f>"920193"</f>
        <v>920193</v>
      </c>
      <c r="B5526" t="s">
        <v>5571</v>
      </c>
      <c r="C5526" t="s">
        <v>16</v>
      </c>
      <c r="D5526">
        <v>0</v>
      </c>
      <c r="E5526" t="s">
        <v>16</v>
      </c>
      <c r="F5526" t="s">
        <v>16</v>
      </c>
      <c r="H5526" t="s">
        <v>16</v>
      </c>
      <c r="I5526" t="s">
        <v>16</v>
      </c>
      <c r="J5526" t="s">
        <v>16</v>
      </c>
      <c r="L5526" t="s">
        <v>16</v>
      </c>
      <c r="M5526">
        <v>0</v>
      </c>
      <c r="N5526" t="s">
        <v>16</v>
      </c>
      <c r="O5526" t="s">
        <v>16</v>
      </c>
    </row>
    <row r="5527" spans="1:15">
      <c r="A5527" t="s">
        <v>5572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全部Ａ股20260620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闫军辉</cp:lastModifiedBy>
  <dcterms:created xsi:type="dcterms:W3CDTF">2026-06-20T05:20:06Z</dcterms:created>
  <dcterms:modified xsi:type="dcterms:W3CDTF">2026-06-20T05:24:54Z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7464CD39C77745A6B4143C548DBB3565_13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